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281C95FB-7E07-4CB4-A16F-F759AE4FA6E1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Sheet9" sheetId="11" r:id="rId1"/>
    <sheet name="Sheet8" sheetId="10" r:id="rId2"/>
    <sheet name="Sheet7" sheetId="9" r:id="rId3"/>
    <sheet name="Sheet6" sheetId="8" r:id="rId4"/>
    <sheet name="Sheet5" sheetId="7" r:id="rId5"/>
    <sheet name="Sheet4" sheetId="6" r:id="rId6"/>
    <sheet name="Sheet3" sheetId="5" r:id="rId7"/>
    <sheet name="Sheet2" sheetId="4" r:id="rId8"/>
    <sheet name="Sheet1" sheetId="3" r:id="rId9"/>
  </sheets>
  <calcPr calcId="191029"/>
</workbook>
</file>

<file path=xl/calcChain.xml><?xml version="1.0" encoding="utf-8"?>
<calcChain xmlns="http://schemas.openxmlformats.org/spreadsheetml/2006/main">
  <c r="D522" i="11" l="1"/>
  <c r="D527" i="11" s="1"/>
  <c r="T60" i="11" s="1"/>
  <c r="H486" i="11"/>
  <c r="D486" i="11"/>
  <c r="I441" i="11"/>
  <c r="I446" i="11" s="1"/>
  <c r="C441" i="11"/>
  <c r="I432" i="11"/>
  <c r="I437" i="11" s="1"/>
  <c r="X50" i="11" s="1"/>
  <c r="I423" i="11"/>
  <c r="I428" i="11" s="1"/>
  <c r="X49" i="11" s="1"/>
  <c r="D388" i="11"/>
  <c r="H378" i="11"/>
  <c r="C378" i="11"/>
  <c r="C360" i="11"/>
  <c r="D334" i="11"/>
  <c r="C334" i="11"/>
  <c r="H333" i="11"/>
  <c r="C315" i="11"/>
  <c r="H298" i="11"/>
  <c r="D298" i="11"/>
  <c r="H291" i="11"/>
  <c r="I289" i="11"/>
  <c r="H278" i="11"/>
  <c r="H269" i="11"/>
  <c r="I261" i="11"/>
  <c r="D242" i="11"/>
  <c r="C242" i="11"/>
  <c r="I233" i="11"/>
  <c r="I238" i="11" s="1"/>
  <c r="X28" i="11" s="1"/>
  <c r="C198" i="11"/>
  <c r="C197" i="11"/>
  <c r="H188" i="11"/>
  <c r="I179" i="11"/>
  <c r="I184" i="11" s="1"/>
  <c r="X22" i="11" s="1"/>
  <c r="C179" i="11"/>
  <c r="I161" i="11"/>
  <c r="I166" i="11" s="1"/>
  <c r="X20" i="11" s="1"/>
  <c r="C161" i="11"/>
  <c r="H127" i="11"/>
  <c r="I126" i="11"/>
  <c r="C126" i="11"/>
  <c r="H100" i="11"/>
  <c r="D100" i="11"/>
  <c r="I99" i="11"/>
  <c r="C99" i="11"/>
  <c r="D91" i="11"/>
  <c r="I81" i="11"/>
  <c r="C81" i="11"/>
  <c r="I80" i="11"/>
  <c r="I77" i="11"/>
  <c r="I66" i="11"/>
  <c r="C66" i="11"/>
  <c r="V65" i="11"/>
  <c r="U65" i="11"/>
  <c r="Z64" i="11"/>
  <c r="Y64" i="11"/>
  <c r="V64" i="11"/>
  <c r="U64" i="11"/>
  <c r="Z63" i="11"/>
  <c r="Y63" i="11"/>
  <c r="V63" i="11"/>
  <c r="U63" i="11"/>
  <c r="Z62" i="11"/>
  <c r="Y62" i="11"/>
  <c r="V62" i="11"/>
  <c r="U62" i="11"/>
  <c r="Z61" i="11"/>
  <c r="Y61" i="11"/>
  <c r="V61" i="11"/>
  <c r="U61" i="11"/>
  <c r="Z60" i="11"/>
  <c r="Y60" i="11"/>
  <c r="V60" i="11"/>
  <c r="U60" i="11"/>
  <c r="Z59" i="11"/>
  <c r="Y59" i="11"/>
  <c r="V59" i="11"/>
  <c r="U59" i="11"/>
  <c r="Z58" i="11"/>
  <c r="Y58" i="11"/>
  <c r="V58" i="11"/>
  <c r="U58" i="11"/>
  <c r="Z57" i="11"/>
  <c r="Y57" i="11"/>
  <c r="V57" i="11"/>
  <c r="U57" i="11"/>
  <c r="D57" i="11"/>
  <c r="C57" i="11"/>
  <c r="Z55" i="11"/>
  <c r="Y55" i="11"/>
  <c r="V55" i="11"/>
  <c r="U55" i="11"/>
  <c r="Z54" i="11"/>
  <c r="Y54" i="11"/>
  <c r="V54" i="11"/>
  <c r="U54" i="11"/>
  <c r="Z53" i="11"/>
  <c r="Y53" i="11"/>
  <c r="V53" i="11"/>
  <c r="U53" i="11"/>
  <c r="Z52" i="11"/>
  <c r="Y52" i="11"/>
  <c r="V52" i="11"/>
  <c r="U52" i="11"/>
  <c r="Z51" i="11"/>
  <c r="Y51" i="11"/>
  <c r="X51" i="11"/>
  <c r="V51" i="11"/>
  <c r="U51" i="11"/>
  <c r="Z50" i="11"/>
  <c r="Y50" i="11"/>
  <c r="V50" i="11"/>
  <c r="U50" i="11"/>
  <c r="Z49" i="11"/>
  <c r="Y49" i="11"/>
  <c r="V49" i="11"/>
  <c r="U49" i="11"/>
  <c r="Z48" i="11"/>
  <c r="Y48" i="11"/>
  <c r="V48" i="11"/>
  <c r="U48" i="11"/>
  <c r="Z47" i="11"/>
  <c r="Y47" i="11"/>
  <c r="V47" i="11"/>
  <c r="U47" i="11"/>
  <c r="Z46" i="11"/>
  <c r="Y46" i="11"/>
  <c r="V46" i="11"/>
  <c r="U46" i="11"/>
  <c r="Z45" i="11"/>
  <c r="Y45" i="11"/>
  <c r="V45" i="11"/>
  <c r="U45" i="11"/>
  <c r="Z44" i="11"/>
  <c r="Y44" i="11"/>
  <c r="V44" i="11"/>
  <c r="U44" i="11"/>
  <c r="Z43" i="11"/>
  <c r="Y43" i="11"/>
  <c r="V43" i="11"/>
  <c r="U43" i="11"/>
  <c r="Z42" i="11"/>
  <c r="Y42" i="11"/>
  <c r="V42" i="11"/>
  <c r="U42" i="11"/>
  <c r="Z41" i="11"/>
  <c r="Y41" i="11"/>
  <c r="V41" i="11"/>
  <c r="U41" i="11"/>
  <c r="Z40" i="11"/>
  <c r="Y40" i="11"/>
  <c r="V40" i="11"/>
  <c r="U40" i="11"/>
  <c r="I40" i="11"/>
  <c r="H40" i="11"/>
  <c r="Z39" i="11"/>
  <c r="Y39" i="11"/>
  <c r="V39" i="11"/>
  <c r="U39" i="11"/>
  <c r="D39" i="11"/>
  <c r="Z38" i="11"/>
  <c r="Y38" i="11"/>
  <c r="V38" i="11"/>
  <c r="U38" i="11"/>
  <c r="Z37" i="11"/>
  <c r="Y37" i="11"/>
  <c r="V37" i="11"/>
  <c r="U37" i="11"/>
  <c r="Z36" i="11"/>
  <c r="Y36" i="11"/>
  <c r="V36" i="11"/>
  <c r="U36" i="11"/>
  <c r="Z35" i="11"/>
  <c r="Y35" i="11"/>
  <c r="V35" i="11"/>
  <c r="U35" i="11"/>
  <c r="Z34" i="11"/>
  <c r="Y34" i="11"/>
  <c r="V34" i="11"/>
  <c r="U34" i="11"/>
  <c r="Z33" i="11"/>
  <c r="Y33" i="11"/>
  <c r="V33" i="11"/>
  <c r="U33" i="11"/>
  <c r="Z32" i="11"/>
  <c r="Y32" i="11"/>
  <c r="V32" i="11"/>
  <c r="U32" i="11"/>
  <c r="Z31" i="11"/>
  <c r="Y31" i="11"/>
  <c r="V31" i="11"/>
  <c r="U31" i="11"/>
  <c r="C31" i="11"/>
  <c r="Z30" i="11"/>
  <c r="Y30" i="11"/>
  <c r="V30" i="11"/>
  <c r="U30" i="11"/>
  <c r="D30" i="11"/>
  <c r="Z29" i="11"/>
  <c r="Y29" i="11"/>
  <c r="V29" i="11"/>
  <c r="U29" i="11"/>
  <c r="Z28" i="11"/>
  <c r="Y28" i="11"/>
  <c r="V28" i="11"/>
  <c r="U28" i="11"/>
  <c r="Z27" i="11"/>
  <c r="Y27" i="11"/>
  <c r="V27" i="11"/>
  <c r="U27" i="11"/>
  <c r="Z26" i="11"/>
  <c r="Y26" i="11"/>
  <c r="Z25" i="11"/>
  <c r="Y25" i="11"/>
  <c r="V25" i="11"/>
  <c r="U25" i="11"/>
  <c r="Z24" i="11"/>
  <c r="Y24" i="11"/>
  <c r="V24" i="11"/>
  <c r="U24" i="11"/>
  <c r="Z23" i="11"/>
  <c r="Y23" i="11"/>
  <c r="V23" i="11"/>
  <c r="U23" i="11"/>
  <c r="Z22" i="11"/>
  <c r="Y22" i="11"/>
  <c r="V22" i="11"/>
  <c r="U22" i="11"/>
  <c r="I22" i="11"/>
  <c r="H22" i="11"/>
  <c r="D22" i="11"/>
  <c r="C22" i="11"/>
  <c r="Z21" i="11"/>
  <c r="Y21" i="11"/>
  <c r="V21" i="11"/>
  <c r="U21" i="11"/>
  <c r="C21" i="11"/>
  <c r="Z20" i="11"/>
  <c r="Y20" i="11"/>
  <c r="V20" i="11"/>
  <c r="U20" i="11"/>
  <c r="Z19" i="11"/>
  <c r="Y19" i="11"/>
  <c r="V19" i="11"/>
  <c r="U19" i="11"/>
  <c r="Z18" i="11"/>
  <c r="Y18" i="11"/>
  <c r="V18" i="11"/>
  <c r="U18" i="11"/>
  <c r="Z17" i="11"/>
  <c r="Y17" i="11"/>
  <c r="V17" i="11"/>
  <c r="U17" i="11"/>
  <c r="Z16" i="11"/>
  <c r="Y16" i="11"/>
  <c r="V16" i="11"/>
  <c r="U16" i="11"/>
  <c r="R16" i="11"/>
  <c r="Q16" i="11"/>
  <c r="P16" i="11"/>
  <c r="O16" i="11"/>
  <c r="Z15" i="11"/>
  <c r="Y15" i="11"/>
  <c r="V15" i="11"/>
  <c r="U15" i="11"/>
  <c r="R15" i="11"/>
  <c r="Q15" i="11"/>
  <c r="P15" i="11"/>
  <c r="O15" i="11"/>
  <c r="Z14" i="11"/>
  <c r="Y14" i="11"/>
  <c r="V14" i="11"/>
  <c r="U14" i="11"/>
  <c r="R14" i="11"/>
  <c r="Q14" i="11"/>
  <c r="P14" i="11"/>
  <c r="O14" i="11"/>
  <c r="Z13" i="11"/>
  <c r="Y13" i="11"/>
  <c r="V13" i="11"/>
  <c r="U13" i="11"/>
  <c r="R13" i="11"/>
  <c r="Q13" i="11"/>
  <c r="I57" i="11" s="1"/>
  <c r="P13" i="11"/>
  <c r="H57" i="11" s="1"/>
  <c r="O13" i="11"/>
  <c r="I13" i="11"/>
  <c r="H13" i="11"/>
  <c r="Z12" i="11"/>
  <c r="Y12" i="11"/>
  <c r="V12" i="11"/>
  <c r="U12" i="11"/>
  <c r="R12" i="11"/>
  <c r="Q12" i="11"/>
  <c r="P12" i="11"/>
  <c r="O12" i="11"/>
  <c r="D12" i="11"/>
  <c r="D17" i="11" s="1"/>
  <c r="T4" i="11" s="1"/>
  <c r="C12" i="11"/>
  <c r="Z11" i="11"/>
  <c r="Y11" i="11"/>
  <c r="V11" i="11"/>
  <c r="U11" i="11"/>
  <c r="R11" i="11"/>
  <c r="Q11" i="11"/>
  <c r="P11" i="11"/>
  <c r="O11" i="11"/>
  <c r="Z10" i="11"/>
  <c r="Y10" i="11"/>
  <c r="V10" i="11"/>
  <c r="U10" i="11"/>
  <c r="R10" i="11"/>
  <c r="Q10" i="11"/>
  <c r="D146" i="11" s="1"/>
  <c r="P10" i="11"/>
  <c r="O10" i="11"/>
  <c r="Z9" i="11"/>
  <c r="Y9" i="11"/>
  <c r="V9" i="11"/>
  <c r="U9" i="11"/>
  <c r="R9" i="11"/>
  <c r="Q9" i="11"/>
  <c r="P9" i="11"/>
  <c r="O9" i="11"/>
  <c r="C251" i="11" s="1"/>
  <c r="Z8" i="11"/>
  <c r="Y8" i="11"/>
  <c r="V8" i="11"/>
  <c r="U8" i="11"/>
  <c r="R8" i="11"/>
  <c r="I125" i="11" s="1"/>
  <c r="Q8" i="11"/>
  <c r="P8" i="11"/>
  <c r="O8" i="11"/>
  <c r="Z7" i="11"/>
  <c r="Y7" i="11"/>
  <c r="V7" i="11"/>
  <c r="U7" i="11"/>
  <c r="R7" i="11"/>
  <c r="I567" i="11" s="1"/>
  <c r="I572" i="11" s="1"/>
  <c r="Q7" i="11"/>
  <c r="P7" i="11"/>
  <c r="O7" i="11"/>
  <c r="Z6" i="11"/>
  <c r="Y6" i="11"/>
  <c r="V6" i="11"/>
  <c r="U6" i="11"/>
  <c r="R6" i="11"/>
  <c r="I513" i="11" s="1"/>
  <c r="I518" i="11" s="1"/>
  <c r="X59" i="11" s="1"/>
  <c r="Q6" i="11"/>
  <c r="P6" i="11"/>
  <c r="O6" i="11"/>
  <c r="Z5" i="11"/>
  <c r="Y5" i="11"/>
  <c r="V5" i="11"/>
  <c r="U5" i="11"/>
  <c r="R5" i="11"/>
  <c r="Q5" i="11"/>
  <c r="P5" i="11"/>
  <c r="O5" i="11"/>
  <c r="Z4" i="11"/>
  <c r="Y4" i="11"/>
  <c r="V4" i="11"/>
  <c r="U4" i="11"/>
  <c r="R4" i="11"/>
  <c r="Q4" i="11"/>
  <c r="D450" i="11" s="1"/>
  <c r="D455" i="11" s="1"/>
  <c r="T52" i="11" s="1"/>
  <c r="P4" i="11"/>
  <c r="O4" i="11"/>
  <c r="Z3" i="11"/>
  <c r="Y3" i="11"/>
  <c r="V3" i="11"/>
  <c r="U3" i="11"/>
  <c r="R3" i="11"/>
  <c r="I333" i="11" s="1"/>
  <c r="I338" i="11" s="1"/>
  <c r="X39" i="11" s="1"/>
  <c r="Q3" i="11"/>
  <c r="D297" i="11" s="1"/>
  <c r="P3" i="11"/>
  <c r="O3" i="11"/>
  <c r="I3" i="11"/>
  <c r="I8" i="11" s="1"/>
  <c r="H3" i="11"/>
  <c r="I498" i="10"/>
  <c r="H498" i="10"/>
  <c r="H496" i="10"/>
  <c r="I495" i="10"/>
  <c r="H495" i="10"/>
  <c r="I441" i="10"/>
  <c r="I446" i="10" s="1"/>
  <c r="X51" i="10" s="1"/>
  <c r="I432" i="10"/>
  <c r="I437" i="10" s="1"/>
  <c r="X50" i="10" s="1"/>
  <c r="H432" i="10"/>
  <c r="D361" i="10"/>
  <c r="I351" i="10"/>
  <c r="I356" i="10" s="1"/>
  <c r="X41" i="10" s="1"/>
  <c r="I333" i="10"/>
  <c r="I338" i="10" s="1"/>
  <c r="X39" i="10" s="1"/>
  <c r="D306" i="10"/>
  <c r="I298" i="10"/>
  <c r="H298" i="10"/>
  <c r="D298" i="10"/>
  <c r="D297" i="10"/>
  <c r="D278" i="10"/>
  <c r="I261" i="10"/>
  <c r="I251" i="10"/>
  <c r="I256" i="10" s="1"/>
  <c r="X30" i="10" s="1"/>
  <c r="C251" i="10"/>
  <c r="C206" i="10"/>
  <c r="I197" i="10"/>
  <c r="I202" i="10" s="1"/>
  <c r="X24" i="10" s="1"/>
  <c r="H153" i="10"/>
  <c r="I152" i="10"/>
  <c r="H152" i="10"/>
  <c r="C143" i="10"/>
  <c r="D135" i="10"/>
  <c r="I127" i="10"/>
  <c r="I117" i="10"/>
  <c r="D116" i="10"/>
  <c r="C116" i="10"/>
  <c r="I109" i="10"/>
  <c r="H109" i="10"/>
  <c r="H107" i="10"/>
  <c r="I83" i="10"/>
  <c r="H83" i="10"/>
  <c r="C83" i="10"/>
  <c r="C80" i="10"/>
  <c r="C66" i="10"/>
  <c r="Z65" i="10"/>
  <c r="Y65" i="10"/>
  <c r="V65" i="10"/>
  <c r="U65" i="10"/>
  <c r="Z64" i="10"/>
  <c r="Y64" i="10"/>
  <c r="V64" i="10"/>
  <c r="U64" i="10"/>
  <c r="Z63" i="10"/>
  <c r="Y63" i="10"/>
  <c r="V63" i="10"/>
  <c r="U63" i="10"/>
  <c r="Z62" i="10"/>
  <c r="Y62" i="10"/>
  <c r="V62" i="10"/>
  <c r="U62" i="10"/>
  <c r="Z61" i="10"/>
  <c r="Y61" i="10"/>
  <c r="V61" i="10"/>
  <c r="U61" i="10"/>
  <c r="Z60" i="10"/>
  <c r="Y60" i="10"/>
  <c r="V60" i="10"/>
  <c r="U60" i="10"/>
  <c r="Z59" i="10"/>
  <c r="Y59" i="10"/>
  <c r="V59" i="10"/>
  <c r="U59" i="10"/>
  <c r="Z58" i="10"/>
  <c r="Y58" i="10"/>
  <c r="V58" i="10"/>
  <c r="U58" i="10"/>
  <c r="Z57" i="10"/>
  <c r="Y57" i="10"/>
  <c r="V57" i="10"/>
  <c r="U57" i="10"/>
  <c r="Z55" i="10"/>
  <c r="Y55" i="10"/>
  <c r="V55" i="10"/>
  <c r="U55" i="10"/>
  <c r="Z54" i="10"/>
  <c r="Y54" i="10"/>
  <c r="V54" i="10"/>
  <c r="U54" i="10"/>
  <c r="Z53" i="10"/>
  <c r="Y53" i="10"/>
  <c r="V53" i="10"/>
  <c r="U53" i="10"/>
  <c r="Z52" i="10"/>
  <c r="Y52" i="10"/>
  <c r="V52" i="10"/>
  <c r="U52" i="10"/>
  <c r="Z51" i="10"/>
  <c r="Y51" i="10"/>
  <c r="V51" i="10"/>
  <c r="U51" i="10"/>
  <c r="Z50" i="10"/>
  <c r="Y50" i="10"/>
  <c r="V50" i="10"/>
  <c r="U50" i="10"/>
  <c r="Z49" i="10"/>
  <c r="Y49" i="10"/>
  <c r="V49" i="10"/>
  <c r="U49" i="10"/>
  <c r="I49" i="10"/>
  <c r="H49" i="10"/>
  <c r="Z48" i="10"/>
  <c r="Y48" i="10"/>
  <c r="V48" i="10"/>
  <c r="U48" i="10"/>
  <c r="Z47" i="10"/>
  <c r="Y47" i="10"/>
  <c r="V47" i="10"/>
  <c r="U47" i="10"/>
  <c r="Z46" i="10"/>
  <c r="Y46" i="10"/>
  <c r="V46" i="10"/>
  <c r="U46" i="10"/>
  <c r="Z45" i="10"/>
  <c r="Y45" i="10"/>
  <c r="V45" i="10"/>
  <c r="U45" i="10"/>
  <c r="Z44" i="10"/>
  <c r="Y44" i="10"/>
  <c r="V44" i="10"/>
  <c r="U44" i="10"/>
  <c r="Z43" i="10"/>
  <c r="Y43" i="10"/>
  <c r="V43" i="10"/>
  <c r="U43" i="10"/>
  <c r="Z42" i="10"/>
  <c r="Y42" i="10"/>
  <c r="V42" i="10"/>
  <c r="U42" i="10"/>
  <c r="Z41" i="10"/>
  <c r="Y41" i="10"/>
  <c r="V41" i="10"/>
  <c r="U41" i="10"/>
  <c r="Z40" i="10"/>
  <c r="Y40" i="10"/>
  <c r="V40" i="10"/>
  <c r="U40" i="10"/>
  <c r="Z39" i="10"/>
  <c r="Y39" i="10"/>
  <c r="V39" i="10"/>
  <c r="U39" i="10"/>
  <c r="Z38" i="10"/>
  <c r="Y38" i="10"/>
  <c r="V38" i="10"/>
  <c r="U38" i="10"/>
  <c r="Z37" i="10"/>
  <c r="Y37" i="10"/>
  <c r="V37" i="10"/>
  <c r="U37" i="10"/>
  <c r="Z36" i="10"/>
  <c r="Y36" i="10"/>
  <c r="V36" i="10"/>
  <c r="U36" i="10"/>
  <c r="Z35" i="10"/>
  <c r="Y35" i="10"/>
  <c r="V35" i="10"/>
  <c r="U35" i="10"/>
  <c r="Z34" i="10"/>
  <c r="Y34" i="10"/>
  <c r="V34" i="10"/>
  <c r="U34" i="10"/>
  <c r="Z33" i="10"/>
  <c r="Y33" i="10"/>
  <c r="V33" i="10"/>
  <c r="U33" i="10"/>
  <c r="Z32" i="10"/>
  <c r="Y32" i="10"/>
  <c r="V32" i="10"/>
  <c r="U32" i="10"/>
  <c r="Z31" i="10"/>
  <c r="Y31" i="10"/>
  <c r="V31" i="10"/>
  <c r="U31" i="10"/>
  <c r="Z30" i="10"/>
  <c r="Y30" i="10"/>
  <c r="V30" i="10"/>
  <c r="U30" i="10"/>
  <c r="Z29" i="10"/>
  <c r="Y29" i="10"/>
  <c r="V29" i="10"/>
  <c r="U29" i="10"/>
  <c r="Z28" i="10"/>
  <c r="Y28" i="10"/>
  <c r="V28" i="10"/>
  <c r="U28" i="10"/>
  <c r="Z27" i="10"/>
  <c r="Y27" i="10"/>
  <c r="V27" i="10"/>
  <c r="U27" i="10"/>
  <c r="Z26" i="10"/>
  <c r="Y26" i="10"/>
  <c r="Z25" i="10"/>
  <c r="Y25" i="10"/>
  <c r="V25" i="10"/>
  <c r="U25" i="10"/>
  <c r="Z24" i="10"/>
  <c r="Y24" i="10"/>
  <c r="V24" i="10"/>
  <c r="U24" i="10"/>
  <c r="Z23" i="10"/>
  <c r="Y23" i="10"/>
  <c r="V23" i="10"/>
  <c r="U23" i="10"/>
  <c r="Z22" i="10"/>
  <c r="Y22" i="10"/>
  <c r="V22" i="10"/>
  <c r="U22" i="10"/>
  <c r="Z21" i="10"/>
  <c r="Y21" i="10"/>
  <c r="V21" i="10"/>
  <c r="U21" i="10"/>
  <c r="Z20" i="10"/>
  <c r="Y20" i="10"/>
  <c r="V20" i="10"/>
  <c r="U20" i="10"/>
  <c r="Z19" i="10"/>
  <c r="Y19" i="10"/>
  <c r="V19" i="10"/>
  <c r="U19" i="10"/>
  <c r="Z18" i="10"/>
  <c r="Y18" i="10"/>
  <c r="V18" i="10"/>
  <c r="U18" i="10"/>
  <c r="R18" i="10"/>
  <c r="Q18" i="10"/>
  <c r="P18" i="10"/>
  <c r="O18" i="10"/>
  <c r="Z17" i="10"/>
  <c r="Y17" i="10"/>
  <c r="V17" i="10"/>
  <c r="U17" i="10"/>
  <c r="Z16" i="10"/>
  <c r="Y16" i="10"/>
  <c r="V16" i="10"/>
  <c r="U16" i="10"/>
  <c r="R16" i="10"/>
  <c r="Q16" i="10"/>
  <c r="D82" i="10" s="1"/>
  <c r="P16" i="10"/>
  <c r="O16" i="10"/>
  <c r="Z15" i="10"/>
  <c r="Y15" i="10"/>
  <c r="V15" i="10"/>
  <c r="U15" i="10"/>
  <c r="R15" i="10"/>
  <c r="Q15" i="10"/>
  <c r="P15" i="10"/>
  <c r="O15" i="10"/>
  <c r="Z14" i="10"/>
  <c r="Y14" i="10"/>
  <c r="V14" i="10"/>
  <c r="U14" i="10"/>
  <c r="R14" i="10"/>
  <c r="Q14" i="10"/>
  <c r="P14" i="10"/>
  <c r="O14" i="10"/>
  <c r="Z13" i="10"/>
  <c r="Y13" i="10"/>
  <c r="V13" i="10"/>
  <c r="U13" i="10"/>
  <c r="R13" i="10"/>
  <c r="Q13" i="10"/>
  <c r="P13" i="10"/>
  <c r="O13" i="10"/>
  <c r="Z12" i="10"/>
  <c r="Y12" i="10"/>
  <c r="V12" i="10"/>
  <c r="U12" i="10"/>
  <c r="R12" i="10"/>
  <c r="Q12" i="10"/>
  <c r="P12" i="10"/>
  <c r="O12" i="10"/>
  <c r="Z11" i="10"/>
  <c r="Y11" i="10"/>
  <c r="V11" i="10"/>
  <c r="U11" i="10"/>
  <c r="R11" i="10"/>
  <c r="Q11" i="10"/>
  <c r="P11" i="10"/>
  <c r="O11" i="10"/>
  <c r="Z10" i="10"/>
  <c r="Y10" i="10"/>
  <c r="V10" i="10"/>
  <c r="U10" i="10"/>
  <c r="R10" i="10"/>
  <c r="Q10" i="10"/>
  <c r="P10" i="10"/>
  <c r="O10" i="10"/>
  <c r="Z9" i="10"/>
  <c r="Y9" i="10"/>
  <c r="V9" i="10"/>
  <c r="U9" i="10"/>
  <c r="R9" i="10"/>
  <c r="Q9" i="10"/>
  <c r="P9" i="10"/>
  <c r="O9" i="10"/>
  <c r="Z8" i="10"/>
  <c r="Y8" i="10"/>
  <c r="V8" i="10"/>
  <c r="U8" i="10"/>
  <c r="R8" i="10"/>
  <c r="Q8" i="10"/>
  <c r="P8" i="10"/>
  <c r="O8" i="10"/>
  <c r="C307" i="10" s="1"/>
  <c r="Z7" i="10"/>
  <c r="Y7" i="10"/>
  <c r="V7" i="10"/>
  <c r="U7" i="10"/>
  <c r="R7" i="10"/>
  <c r="Q7" i="10"/>
  <c r="P7" i="10"/>
  <c r="O7" i="10"/>
  <c r="Z6" i="10"/>
  <c r="Y6" i="10"/>
  <c r="V6" i="10"/>
  <c r="U6" i="10"/>
  <c r="R6" i="10"/>
  <c r="Q6" i="10"/>
  <c r="I279" i="10" s="1"/>
  <c r="P6" i="10"/>
  <c r="O6" i="10"/>
  <c r="Z5" i="10"/>
  <c r="Y5" i="10"/>
  <c r="V5" i="10"/>
  <c r="U5" i="10"/>
  <c r="R5" i="10"/>
  <c r="Q5" i="10"/>
  <c r="P5" i="10"/>
  <c r="O5" i="10"/>
  <c r="Z4" i="10"/>
  <c r="Y4" i="10"/>
  <c r="V4" i="10"/>
  <c r="U4" i="10"/>
  <c r="R4" i="10"/>
  <c r="Q4" i="10"/>
  <c r="P4" i="10"/>
  <c r="O4" i="10"/>
  <c r="Z3" i="10"/>
  <c r="Y3" i="10"/>
  <c r="V3" i="10"/>
  <c r="U3" i="10"/>
  <c r="R3" i="10"/>
  <c r="Q3" i="10"/>
  <c r="I531" i="10" s="1"/>
  <c r="I536" i="10" s="1"/>
  <c r="X61" i="10" s="1"/>
  <c r="P3" i="10"/>
  <c r="O3" i="10"/>
  <c r="C460" i="10" s="1"/>
  <c r="H531" i="9"/>
  <c r="I496" i="9"/>
  <c r="I495" i="9"/>
  <c r="D487" i="9"/>
  <c r="C487" i="9"/>
  <c r="C460" i="9"/>
  <c r="I459" i="9"/>
  <c r="I464" i="9" s="1"/>
  <c r="X53" i="9" s="1"/>
  <c r="I441" i="9"/>
  <c r="I446" i="9" s="1"/>
  <c r="X51" i="9" s="1"/>
  <c r="H441" i="9"/>
  <c r="D396" i="9"/>
  <c r="D401" i="9" s="1"/>
  <c r="T46" i="9" s="1"/>
  <c r="I369" i="9"/>
  <c r="I374" i="9" s="1"/>
  <c r="X43" i="9" s="1"/>
  <c r="H369" i="9"/>
  <c r="D361" i="9"/>
  <c r="I290" i="9"/>
  <c r="D289" i="9"/>
  <c r="C289" i="9"/>
  <c r="I282" i="9"/>
  <c r="I233" i="9"/>
  <c r="I238" i="9" s="1"/>
  <c r="X28" i="9" s="1"/>
  <c r="H233" i="9"/>
  <c r="D233" i="9"/>
  <c r="D238" i="9" s="1"/>
  <c r="T28" i="9" s="1"/>
  <c r="C233" i="9"/>
  <c r="H215" i="9"/>
  <c r="I197" i="9"/>
  <c r="I202" i="9" s="1"/>
  <c r="X24" i="9" s="1"/>
  <c r="I152" i="9"/>
  <c r="H152" i="9"/>
  <c r="I134" i="9"/>
  <c r="I139" i="9" s="1"/>
  <c r="X17" i="9" s="1"/>
  <c r="H134" i="9"/>
  <c r="D134" i="9"/>
  <c r="I127" i="9"/>
  <c r="D126" i="9"/>
  <c r="C126" i="9"/>
  <c r="H109" i="9"/>
  <c r="C90" i="9"/>
  <c r="I89" i="9"/>
  <c r="I94" i="9" s="1"/>
  <c r="H89" i="9"/>
  <c r="D89" i="9"/>
  <c r="C89" i="9"/>
  <c r="Z65" i="9"/>
  <c r="Y65" i="9"/>
  <c r="V65" i="9"/>
  <c r="U65" i="9"/>
  <c r="Z64" i="9"/>
  <c r="Y64" i="9"/>
  <c r="V64" i="9"/>
  <c r="U64" i="9"/>
  <c r="Z63" i="9"/>
  <c r="Y63" i="9"/>
  <c r="V63" i="9"/>
  <c r="U63" i="9"/>
  <c r="Z62" i="9"/>
  <c r="Y62" i="9"/>
  <c r="V62" i="9"/>
  <c r="U62" i="9"/>
  <c r="Z61" i="9"/>
  <c r="Y61" i="9"/>
  <c r="V61" i="9"/>
  <c r="U61" i="9"/>
  <c r="Z60" i="9"/>
  <c r="Y60" i="9"/>
  <c r="V60" i="9"/>
  <c r="U60" i="9"/>
  <c r="Z59" i="9"/>
  <c r="Y59" i="9"/>
  <c r="V59" i="9"/>
  <c r="U59" i="9"/>
  <c r="Z58" i="9"/>
  <c r="Y58" i="9"/>
  <c r="V58" i="9"/>
  <c r="U58" i="9"/>
  <c r="Z57" i="9"/>
  <c r="Y57" i="9"/>
  <c r="V57" i="9"/>
  <c r="U57" i="9"/>
  <c r="Z55" i="9"/>
  <c r="Y55" i="9"/>
  <c r="V55" i="9"/>
  <c r="U55" i="9"/>
  <c r="Z54" i="9"/>
  <c r="Y54" i="9"/>
  <c r="V54" i="9"/>
  <c r="U54" i="9"/>
  <c r="Z53" i="9"/>
  <c r="Y53" i="9"/>
  <c r="V53" i="9"/>
  <c r="U53" i="9"/>
  <c r="Z52" i="9"/>
  <c r="Y52" i="9"/>
  <c r="V52" i="9"/>
  <c r="U52" i="9"/>
  <c r="Z51" i="9"/>
  <c r="Y51" i="9"/>
  <c r="V51" i="9"/>
  <c r="U51" i="9"/>
  <c r="Z50" i="9"/>
  <c r="Y50" i="9"/>
  <c r="V50" i="9"/>
  <c r="U50" i="9"/>
  <c r="Z49" i="9"/>
  <c r="Y49" i="9"/>
  <c r="V49" i="9"/>
  <c r="U49" i="9"/>
  <c r="Z48" i="9"/>
  <c r="Y48" i="9"/>
  <c r="V48" i="9"/>
  <c r="U48" i="9"/>
  <c r="D48" i="9"/>
  <c r="D53" i="9" s="1"/>
  <c r="T8" i="9" s="1"/>
  <c r="Z47" i="9"/>
  <c r="Y47" i="9"/>
  <c r="V47" i="9"/>
  <c r="U47" i="9"/>
  <c r="Z46" i="9"/>
  <c r="Y46" i="9"/>
  <c r="V46" i="9"/>
  <c r="U46" i="9"/>
  <c r="Z45" i="9"/>
  <c r="Y45" i="9"/>
  <c r="V45" i="9"/>
  <c r="U45" i="9"/>
  <c r="Z44" i="9"/>
  <c r="Y44" i="9"/>
  <c r="V44" i="9"/>
  <c r="U44" i="9"/>
  <c r="Z43" i="9"/>
  <c r="Y43" i="9"/>
  <c r="V43" i="9"/>
  <c r="U43" i="9"/>
  <c r="Z42" i="9"/>
  <c r="Y42" i="9"/>
  <c r="V42" i="9"/>
  <c r="U42" i="9"/>
  <c r="Z41" i="9"/>
  <c r="Y41" i="9"/>
  <c r="V41" i="9"/>
  <c r="U41" i="9"/>
  <c r="Z40" i="9"/>
  <c r="Y40" i="9"/>
  <c r="V40" i="9"/>
  <c r="U40" i="9"/>
  <c r="Z39" i="9"/>
  <c r="Y39" i="9"/>
  <c r="V39" i="9"/>
  <c r="U39" i="9"/>
  <c r="D39" i="9"/>
  <c r="C39" i="9"/>
  <c r="Z38" i="9"/>
  <c r="Y38" i="9"/>
  <c r="V38" i="9"/>
  <c r="U38" i="9"/>
  <c r="Z37" i="9"/>
  <c r="Y37" i="9"/>
  <c r="V37" i="9"/>
  <c r="U37" i="9"/>
  <c r="Z36" i="9"/>
  <c r="Y36" i="9"/>
  <c r="V36" i="9"/>
  <c r="U36" i="9"/>
  <c r="Z35" i="9"/>
  <c r="Y35" i="9"/>
  <c r="V35" i="9"/>
  <c r="U35" i="9"/>
  <c r="Z34" i="9"/>
  <c r="Y34" i="9"/>
  <c r="V34" i="9"/>
  <c r="U34" i="9"/>
  <c r="Z33" i="9"/>
  <c r="Y33" i="9"/>
  <c r="V33" i="9"/>
  <c r="U33" i="9"/>
  <c r="Z32" i="9"/>
  <c r="Y32" i="9"/>
  <c r="V32" i="9"/>
  <c r="U32" i="9"/>
  <c r="Z31" i="9"/>
  <c r="Y31" i="9"/>
  <c r="V31" i="9"/>
  <c r="U31" i="9"/>
  <c r="Z30" i="9"/>
  <c r="Y30" i="9"/>
  <c r="V30" i="9"/>
  <c r="U30" i="9"/>
  <c r="H30" i="9"/>
  <c r="Z29" i="9"/>
  <c r="Y29" i="9"/>
  <c r="V29" i="9"/>
  <c r="U29" i="9"/>
  <c r="Z28" i="9"/>
  <c r="Y28" i="9"/>
  <c r="V28" i="9"/>
  <c r="U28" i="9"/>
  <c r="Z27" i="9"/>
  <c r="Y27" i="9"/>
  <c r="V27" i="9"/>
  <c r="U27" i="9"/>
  <c r="Z26" i="9"/>
  <c r="Y26" i="9"/>
  <c r="Z25" i="9"/>
  <c r="Y25" i="9"/>
  <c r="V25" i="9"/>
  <c r="U25" i="9"/>
  <c r="Z24" i="9"/>
  <c r="Y24" i="9"/>
  <c r="V24" i="9"/>
  <c r="U24" i="9"/>
  <c r="Z23" i="9"/>
  <c r="Y23" i="9"/>
  <c r="V23" i="9"/>
  <c r="U23" i="9"/>
  <c r="Z22" i="9"/>
  <c r="Y22" i="9"/>
  <c r="V22" i="9"/>
  <c r="U22" i="9"/>
  <c r="Z21" i="9"/>
  <c r="Y21" i="9"/>
  <c r="V21" i="9"/>
  <c r="U21" i="9"/>
  <c r="Z20" i="9"/>
  <c r="Y20" i="9"/>
  <c r="V20" i="9"/>
  <c r="U20" i="9"/>
  <c r="Z19" i="9"/>
  <c r="Y19" i="9"/>
  <c r="V19" i="9"/>
  <c r="U19" i="9"/>
  <c r="Z18" i="9"/>
  <c r="Y18" i="9"/>
  <c r="V18" i="9"/>
  <c r="U18" i="9"/>
  <c r="R18" i="9"/>
  <c r="Q18" i="9"/>
  <c r="P18" i="9"/>
  <c r="O18" i="9"/>
  <c r="Z17" i="9"/>
  <c r="Y17" i="9"/>
  <c r="V17" i="9"/>
  <c r="U17" i="9"/>
  <c r="Z16" i="9"/>
  <c r="Y16" i="9"/>
  <c r="V16" i="9"/>
  <c r="U16" i="9"/>
  <c r="R16" i="9"/>
  <c r="Q16" i="9"/>
  <c r="P16" i="9"/>
  <c r="O16" i="9"/>
  <c r="Z15" i="9"/>
  <c r="Y15" i="9"/>
  <c r="V15" i="9"/>
  <c r="U15" i="9"/>
  <c r="R15" i="9"/>
  <c r="Q15" i="9"/>
  <c r="P15" i="9"/>
  <c r="O15" i="9"/>
  <c r="Z14" i="9"/>
  <c r="Y14" i="9"/>
  <c r="V14" i="9"/>
  <c r="U14" i="9"/>
  <c r="R14" i="9"/>
  <c r="Q14" i="9"/>
  <c r="P14" i="9"/>
  <c r="O14" i="9"/>
  <c r="Z13" i="9"/>
  <c r="Y13" i="9"/>
  <c r="V13" i="9"/>
  <c r="U13" i="9"/>
  <c r="R13" i="9"/>
  <c r="Q13" i="9"/>
  <c r="P13" i="9"/>
  <c r="O13" i="9"/>
  <c r="Z12" i="9"/>
  <c r="Y12" i="9"/>
  <c r="X12" i="9"/>
  <c r="V12" i="9"/>
  <c r="U12" i="9"/>
  <c r="R12" i="9"/>
  <c r="Q12" i="9"/>
  <c r="P12" i="9"/>
  <c r="O12" i="9"/>
  <c r="Z11" i="9"/>
  <c r="Y11" i="9"/>
  <c r="V11" i="9"/>
  <c r="U11" i="9"/>
  <c r="R11" i="9"/>
  <c r="Q11" i="9"/>
  <c r="P11" i="9"/>
  <c r="O11" i="9"/>
  <c r="Z10" i="9"/>
  <c r="Y10" i="9"/>
  <c r="V10" i="9"/>
  <c r="U10" i="9"/>
  <c r="R10" i="9"/>
  <c r="Q10" i="9"/>
  <c r="P10" i="9"/>
  <c r="O10" i="9"/>
  <c r="Z9" i="9"/>
  <c r="Y9" i="9"/>
  <c r="V9" i="9"/>
  <c r="U9" i="9"/>
  <c r="R9" i="9"/>
  <c r="Q9" i="9"/>
  <c r="P9" i="9"/>
  <c r="O9" i="9"/>
  <c r="Z8" i="9"/>
  <c r="Y8" i="9"/>
  <c r="V8" i="9"/>
  <c r="U8" i="9"/>
  <c r="R8" i="9"/>
  <c r="Q8" i="9"/>
  <c r="P8" i="9"/>
  <c r="O8" i="9"/>
  <c r="C188" i="9" s="1"/>
  <c r="Z7" i="9"/>
  <c r="Y7" i="9"/>
  <c r="V7" i="9"/>
  <c r="U7" i="9"/>
  <c r="R7" i="9"/>
  <c r="Q7" i="9"/>
  <c r="P7" i="9"/>
  <c r="O7" i="9"/>
  <c r="Z6" i="9"/>
  <c r="Y6" i="9"/>
  <c r="V6" i="9"/>
  <c r="U6" i="9"/>
  <c r="R6" i="9"/>
  <c r="Q6" i="9"/>
  <c r="D351" i="9" s="1"/>
  <c r="D356" i="9" s="1"/>
  <c r="T41" i="9" s="1"/>
  <c r="P6" i="9"/>
  <c r="O6" i="9"/>
  <c r="C540" i="9" s="1"/>
  <c r="Z5" i="9"/>
  <c r="Y5" i="9"/>
  <c r="V5" i="9"/>
  <c r="U5" i="9"/>
  <c r="R5" i="9"/>
  <c r="Q5" i="9"/>
  <c r="P5" i="9"/>
  <c r="O5" i="9"/>
  <c r="Z4" i="9"/>
  <c r="Y4" i="9"/>
  <c r="V4" i="9"/>
  <c r="U4" i="9"/>
  <c r="R4" i="9"/>
  <c r="Q4" i="9"/>
  <c r="P4" i="9"/>
  <c r="O4" i="9"/>
  <c r="Z3" i="9"/>
  <c r="Y3" i="9"/>
  <c r="V3" i="9"/>
  <c r="U3" i="9"/>
  <c r="R3" i="9"/>
  <c r="Q3" i="9"/>
  <c r="D477" i="9" s="1"/>
  <c r="D482" i="9" s="1"/>
  <c r="T55" i="9" s="1"/>
  <c r="P3" i="9"/>
  <c r="H127" i="9" s="1"/>
  <c r="O3" i="9"/>
  <c r="H405" i="9" s="1"/>
  <c r="D522" i="8"/>
  <c r="D527" i="8" s="1"/>
  <c r="T60" i="8" s="1"/>
  <c r="C504" i="8"/>
  <c r="H497" i="8"/>
  <c r="I496" i="8"/>
  <c r="I468" i="8"/>
  <c r="I473" i="8" s="1"/>
  <c r="X54" i="8" s="1"/>
  <c r="D460" i="8"/>
  <c r="H423" i="8"/>
  <c r="C396" i="8"/>
  <c r="H387" i="8"/>
  <c r="D334" i="8"/>
  <c r="D338" i="8" s="1"/>
  <c r="T39" i="8" s="1"/>
  <c r="C334" i="8"/>
  <c r="I333" i="8"/>
  <c r="I338" i="8" s="1"/>
  <c r="X39" i="8" s="1"/>
  <c r="H333" i="8"/>
  <c r="D333" i="8"/>
  <c r="D316" i="8"/>
  <c r="C315" i="8"/>
  <c r="I289" i="8"/>
  <c r="H283" i="8"/>
  <c r="C269" i="8"/>
  <c r="H243" i="8"/>
  <c r="H233" i="8"/>
  <c r="C224" i="8"/>
  <c r="I206" i="8"/>
  <c r="I171" i="8"/>
  <c r="D170" i="8"/>
  <c r="D144" i="8"/>
  <c r="C144" i="8"/>
  <c r="I127" i="8"/>
  <c r="H127" i="8"/>
  <c r="I126" i="8"/>
  <c r="H126" i="8"/>
  <c r="C126" i="8"/>
  <c r="D118" i="8"/>
  <c r="H117" i="8"/>
  <c r="I109" i="8"/>
  <c r="H109" i="8"/>
  <c r="C99" i="8"/>
  <c r="C91" i="8"/>
  <c r="D83" i="8"/>
  <c r="C83" i="8"/>
  <c r="C80" i="8"/>
  <c r="H79" i="8"/>
  <c r="H67" i="8"/>
  <c r="V66" i="8"/>
  <c r="U66" i="8"/>
  <c r="Z65" i="8"/>
  <c r="Y65" i="8"/>
  <c r="V65" i="8"/>
  <c r="U65" i="8"/>
  <c r="Z64" i="8"/>
  <c r="Y64" i="8"/>
  <c r="V64" i="8"/>
  <c r="U64" i="8"/>
  <c r="Z63" i="8"/>
  <c r="Y63" i="8"/>
  <c r="V63" i="8"/>
  <c r="U63" i="8"/>
  <c r="Z62" i="8"/>
  <c r="Y62" i="8"/>
  <c r="V62" i="8"/>
  <c r="U62" i="8"/>
  <c r="Z61" i="8"/>
  <c r="Y61" i="8"/>
  <c r="V61" i="8"/>
  <c r="U61" i="8"/>
  <c r="Z60" i="8"/>
  <c r="Y60" i="8"/>
  <c r="V60" i="8"/>
  <c r="U60" i="8"/>
  <c r="Z59" i="8"/>
  <c r="Y59" i="8"/>
  <c r="V59" i="8"/>
  <c r="U59" i="8"/>
  <c r="Z58" i="8"/>
  <c r="Y58" i="8"/>
  <c r="V58" i="8"/>
  <c r="U58" i="8"/>
  <c r="Z57" i="8"/>
  <c r="Y57" i="8"/>
  <c r="V57" i="8"/>
  <c r="U57" i="8"/>
  <c r="Z55" i="8"/>
  <c r="Y55" i="8"/>
  <c r="V55" i="8"/>
  <c r="U55" i="8"/>
  <c r="Z54" i="8"/>
  <c r="Y54" i="8"/>
  <c r="V54" i="8"/>
  <c r="U54" i="8"/>
  <c r="Z53" i="8"/>
  <c r="Y53" i="8"/>
  <c r="V53" i="8"/>
  <c r="U53" i="8"/>
  <c r="Z52" i="8"/>
  <c r="Y52" i="8"/>
  <c r="V52" i="8"/>
  <c r="U52" i="8"/>
  <c r="Z51" i="8"/>
  <c r="Y51" i="8"/>
  <c r="V51" i="8"/>
  <c r="U51" i="8"/>
  <c r="Z50" i="8"/>
  <c r="Y50" i="8"/>
  <c r="V50" i="8"/>
  <c r="U50" i="8"/>
  <c r="Z49" i="8"/>
  <c r="Y49" i="8"/>
  <c r="V49" i="8"/>
  <c r="U49" i="8"/>
  <c r="Z48" i="8"/>
  <c r="Y48" i="8"/>
  <c r="V48" i="8"/>
  <c r="U48" i="8"/>
  <c r="Z47" i="8"/>
  <c r="Y47" i="8"/>
  <c r="V47" i="8"/>
  <c r="U47" i="8"/>
  <c r="Z46" i="8"/>
  <c r="Y46" i="8"/>
  <c r="V46" i="8"/>
  <c r="U46" i="8"/>
  <c r="Z45" i="8"/>
  <c r="Y45" i="8"/>
  <c r="V45" i="8"/>
  <c r="U45" i="8"/>
  <c r="Z44" i="8"/>
  <c r="Y44" i="8"/>
  <c r="V44" i="8"/>
  <c r="U44" i="8"/>
  <c r="Z43" i="8"/>
  <c r="Y43" i="8"/>
  <c r="V43" i="8"/>
  <c r="U43" i="8"/>
  <c r="Z42" i="8"/>
  <c r="Y42" i="8"/>
  <c r="V42" i="8"/>
  <c r="U42" i="8"/>
  <c r="Z41" i="8"/>
  <c r="Y41" i="8"/>
  <c r="V41" i="8"/>
  <c r="U41" i="8"/>
  <c r="Z40" i="8"/>
  <c r="Y40" i="8"/>
  <c r="V40" i="8"/>
  <c r="U40" i="8"/>
  <c r="Z39" i="8"/>
  <c r="Y39" i="8"/>
  <c r="V39" i="8"/>
  <c r="U39" i="8"/>
  <c r="D39" i="8"/>
  <c r="C39" i="8"/>
  <c r="Z38" i="8"/>
  <c r="Y38" i="8"/>
  <c r="V38" i="8"/>
  <c r="U38" i="8"/>
  <c r="Z37" i="8"/>
  <c r="Y37" i="8"/>
  <c r="V37" i="8"/>
  <c r="U37" i="8"/>
  <c r="Z36" i="8"/>
  <c r="Y36" i="8"/>
  <c r="V36" i="8"/>
  <c r="U36" i="8"/>
  <c r="Z35" i="8"/>
  <c r="Y35" i="8"/>
  <c r="V35" i="8"/>
  <c r="U35" i="8"/>
  <c r="Z34" i="8"/>
  <c r="Y34" i="8"/>
  <c r="V34" i="8"/>
  <c r="U34" i="8"/>
  <c r="Z33" i="8"/>
  <c r="Y33" i="8"/>
  <c r="V33" i="8"/>
  <c r="U33" i="8"/>
  <c r="Z32" i="8"/>
  <c r="Y32" i="8"/>
  <c r="V32" i="8"/>
  <c r="U32" i="8"/>
  <c r="Z31" i="8"/>
  <c r="Y31" i="8"/>
  <c r="V31" i="8"/>
  <c r="U31" i="8"/>
  <c r="Z30" i="8"/>
  <c r="Y30" i="8"/>
  <c r="V30" i="8"/>
  <c r="U30" i="8"/>
  <c r="Z29" i="8"/>
  <c r="Y29" i="8"/>
  <c r="V29" i="8"/>
  <c r="U29" i="8"/>
  <c r="Z28" i="8"/>
  <c r="Y28" i="8"/>
  <c r="V28" i="8"/>
  <c r="U28" i="8"/>
  <c r="Z27" i="8"/>
  <c r="Y27" i="8"/>
  <c r="V27" i="8"/>
  <c r="U27" i="8"/>
  <c r="Z26" i="8"/>
  <c r="Y26" i="8"/>
  <c r="V26" i="8"/>
  <c r="U26" i="8"/>
  <c r="Z25" i="8"/>
  <c r="Y25" i="8"/>
  <c r="V25" i="8"/>
  <c r="U25" i="8"/>
  <c r="Z24" i="8"/>
  <c r="Y24" i="8"/>
  <c r="V24" i="8"/>
  <c r="U24" i="8"/>
  <c r="Z23" i="8"/>
  <c r="Y23" i="8"/>
  <c r="V23" i="8"/>
  <c r="U23" i="8"/>
  <c r="Z22" i="8"/>
  <c r="Y22" i="8"/>
  <c r="V22" i="8"/>
  <c r="U22" i="8"/>
  <c r="C22" i="8"/>
  <c r="Z21" i="8"/>
  <c r="Y21" i="8"/>
  <c r="V21" i="8"/>
  <c r="U21" i="8"/>
  <c r="Z20" i="8"/>
  <c r="Y20" i="8"/>
  <c r="V20" i="8"/>
  <c r="U20" i="8"/>
  <c r="Z19" i="8"/>
  <c r="Y19" i="8"/>
  <c r="V19" i="8"/>
  <c r="U19" i="8"/>
  <c r="Z18" i="8"/>
  <c r="Y18" i="8"/>
  <c r="V18" i="8"/>
  <c r="U18" i="8"/>
  <c r="R18" i="8"/>
  <c r="Q18" i="8"/>
  <c r="P18" i="8"/>
  <c r="O18" i="8"/>
  <c r="Z17" i="8"/>
  <c r="Y17" i="8"/>
  <c r="V17" i="8"/>
  <c r="U17" i="8"/>
  <c r="Z16" i="8"/>
  <c r="Y16" i="8"/>
  <c r="V16" i="8"/>
  <c r="U16" i="8"/>
  <c r="R16" i="8"/>
  <c r="Q16" i="8"/>
  <c r="P16" i="8"/>
  <c r="O16" i="8"/>
  <c r="Z15" i="8"/>
  <c r="Y15" i="8"/>
  <c r="V15" i="8"/>
  <c r="U15" i="8"/>
  <c r="R15" i="8"/>
  <c r="Q15" i="8"/>
  <c r="P15" i="8"/>
  <c r="O15" i="8"/>
  <c r="Z14" i="8"/>
  <c r="Y14" i="8"/>
  <c r="V14" i="8"/>
  <c r="U14" i="8"/>
  <c r="R14" i="8"/>
  <c r="Q14" i="8"/>
  <c r="P14" i="8"/>
  <c r="O14" i="8"/>
  <c r="Z13" i="8"/>
  <c r="Y13" i="8"/>
  <c r="V13" i="8"/>
  <c r="U13" i="8"/>
  <c r="R13" i="8"/>
  <c r="Q13" i="8"/>
  <c r="P13" i="8"/>
  <c r="O13" i="8"/>
  <c r="Z12" i="8"/>
  <c r="Y12" i="8"/>
  <c r="V12" i="8"/>
  <c r="U12" i="8"/>
  <c r="R12" i="8"/>
  <c r="Q12" i="8"/>
  <c r="P12" i="8"/>
  <c r="O12" i="8"/>
  <c r="I12" i="8"/>
  <c r="I17" i="8" s="1"/>
  <c r="X4" i="8" s="1"/>
  <c r="Z11" i="8"/>
  <c r="Y11" i="8"/>
  <c r="V11" i="8"/>
  <c r="U11" i="8"/>
  <c r="R11" i="8"/>
  <c r="Q11" i="8"/>
  <c r="P11" i="8"/>
  <c r="O11" i="8"/>
  <c r="Z10" i="8"/>
  <c r="Y10" i="8"/>
  <c r="V10" i="8"/>
  <c r="U10" i="8"/>
  <c r="R10" i="8"/>
  <c r="Q10" i="8"/>
  <c r="P10" i="8"/>
  <c r="O10" i="8"/>
  <c r="Z9" i="8"/>
  <c r="Y9" i="8"/>
  <c r="V9" i="8"/>
  <c r="U9" i="8"/>
  <c r="R9" i="8"/>
  <c r="Q9" i="8"/>
  <c r="P9" i="8"/>
  <c r="O9" i="8"/>
  <c r="Z8" i="8"/>
  <c r="Y8" i="8"/>
  <c r="V8" i="8"/>
  <c r="U8" i="8"/>
  <c r="R8" i="8"/>
  <c r="Q8" i="8"/>
  <c r="P8" i="8"/>
  <c r="O8" i="8"/>
  <c r="Z7" i="8"/>
  <c r="Y7" i="8"/>
  <c r="V7" i="8"/>
  <c r="U7" i="8"/>
  <c r="R7" i="8"/>
  <c r="Q7" i="8"/>
  <c r="P7" i="8"/>
  <c r="O7" i="8"/>
  <c r="H306" i="8" s="1"/>
  <c r="J306" i="8" s="1"/>
  <c r="Z6" i="8"/>
  <c r="Y6" i="8"/>
  <c r="V6" i="8"/>
  <c r="U6" i="8"/>
  <c r="R6" i="8"/>
  <c r="Q6" i="8"/>
  <c r="P6" i="8"/>
  <c r="O6" i="8"/>
  <c r="Z5" i="8"/>
  <c r="Y5" i="8"/>
  <c r="V5" i="8"/>
  <c r="U5" i="8"/>
  <c r="R5" i="8"/>
  <c r="Q5" i="8"/>
  <c r="I360" i="8" s="1"/>
  <c r="I365" i="8" s="1"/>
  <c r="X42" i="8" s="1"/>
  <c r="P5" i="8"/>
  <c r="O5" i="8"/>
  <c r="Z4" i="8"/>
  <c r="Y4" i="8"/>
  <c r="V4" i="8"/>
  <c r="U4" i="8"/>
  <c r="R4" i="8"/>
  <c r="Q4" i="8"/>
  <c r="D450" i="8" s="1"/>
  <c r="D455" i="8" s="1"/>
  <c r="T52" i="8" s="1"/>
  <c r="P4" i="8"/>
  <c r="O4" i="8"/>
  <c r="C4" i="8"/>
  <c r="Z3" i="8"/>
  <c r="Y3" i="8"/>
  <c r="V3" i="8"/>
  <c r="U3" i="8"/>
  <c r="R3" i="8"/>
  <c r="Q3" i="8"/>
  <c r="I567" i="8" s="1"/>
  <c r="I572" i="8" s="1"/>
  <c r="X65" i="8" s="1"/>
  <c r="P3" i="8"/>
  <c r="O3" i="8"/>
  <c r="C531" i="7"/>
  <c r="H523" i="7"/>
  <c r="H522" i="7"/>
  <c r="C495" i="7"/>
  <c r="C487" i="7"/>
  <c r="I477" i="7"/>
  <c r="I482" i="7" s="1"/>
  <c r="X55" i="7" s="1"/>
  <c r="C468" i="7"/>
  <c r="I441" i="7"/>
  <c r="I446" i="7" s="1"/>
  <c r="X51" i="7" s="1"/>
  <c r="H441" i="7"/>
  <c r="D441" i="7"/>
  <c r="D446" i="7" s="1"/>
  <c r="T51" i="7" s="1"/>
  <c r="H396" i="7"/>
  <c r="H387" i="7"/>
  <c r="I378" i="7"/>
  <c r="I383" i="7" s="1"/>
  <c r="X44" i="7" s="1"/>
  <c r="I342" i="7"/>
  <c r="I347" i="7" s="1"/>
  <c r="X40" i="7" s="1"/>
  <c r="C342" i="7"/>
  <c r="H324" i="7"/>
  <c r="D316" i="7"/>
  <c r="C316" i="7"/>
  <c r="C315" i="7"/>
  <c r="H298" i="7"/>
  <c r="D298" i="7"/>
  <c r="H290" i="7"/>
  <c r="H283" i="7"/>
  <c r="H281" i="7"/>
  <c r="H280" i="7"/>
  <c r="I279" i="7"/>
  <c r="D279" i="7"/>
  <c r="C261" i="7"/>
  <c r="H251" i="7"/>
  <c r="H244" i="7"/>
  <c r="I243" i="7"/>
  <c r="H243" i="7"/>
  <c r="I242" i="7"/>
  <c r="H242" i="7"/>
  <c r="I233" i="7"/>
  <c r="I238" i="7" s="1"/>
  <c r="X28" i="7" s="1"/>
  <c r="H224" i="7"/>
  <c r="H207" i="7"/>
  <c r="D207" i="7"/>
  <c r="C207" i="7"/>
  <c r="D206" i="7"/>
  <c r="D211" i="7" s="1"/>
  <c r="T25" i="7" s="1"/>
  <c r="I202" i="7"/>
  <c r="H188" i="7"/>
  <c r="H179" i="7"/>
  <c r="H171" i="7"/>
  <c r="H170" i="7"/>
  <c r="D170" i="7"/>
  <c r="C170" i="7"/>
  <c r="H154" i="7"/>
  <c r="C144" i="7"/>
  <c r="C143" i="7"/>
  <c r="D135" i="7"/>
  <c r="H127" i="7"/>
  <c r="H126" i="7"/>
  <c r="D126" i="7"/>
  <c r="C126" i="7"/>
  <c r="H116" i="7"/>
  <c r="D116" i="7"/>
  <c r="C116" i="7"/>
  <c r="H109" i="7"/>
  <c r="I108" i="7"/>
  <c r="H108" i="7"/>
  <c r="H89" i="7"/>
  <c r="D89" i="7"/>
  <c r="C89" i="7"/>
  <c r="H84" i="7"/>
  <c r="C82" i="7"/>
  <c r="C80" i="7"/>
  <c r="C76" i="7"/>
  <c r="H75" i="7"/>
  <c r="D67" i="7"/>
  <c r="V66" i="7"/>
  <c r="U66" i="7"/>
  <c r="Z65" i="7"/>
  <c r="Y65" i="7"/>
  <c r="V65" i="7"/>
  <c r="U65" i="7"/>
  <c r="Z64" i="7"/>
  <c r="Y64" i="7"/>
  <c r="V64" i="7"/>
  <c r="U64" i="7"/>
  <c r="Z63" i="7"/>
  <c r="Y63" i="7"/>
  <c r="V63" i="7"/>
  <c r="U63" i="7"/>
  <c r="Z62" i="7"/>
  <c r="Y62" i="7"/>
  <c r="V62" i="7"/>
  <c r="U62" i="7"/>
  <c r="Z61" i="7"/>
  <c r="Y61" i="7"/>
  <c r="V61" i="7"/>
  <c r="U61" i="7"/>
  <c r="Z60" i="7"/>
  <c r="Y60" i="7"/>
  <c r="V60" i="7"/>
  <c r="U60" i="7"/>
  <c r="Z59" i="7"/>
  <c r="Y59" i="7"/>
  <c r="V59" i="7"/>
  <c r="U59" i="7"/>
  <c r="Z58" i="7"/>
  <c r="Y58" i="7"/>
  <c r="V58" i="7"/>
  <c r="U58" i="7"/>
  <c r="Z57" i="7"/>
  <c r="Y57" i="7"/>
  <c r="V57" i="7"/>
  <c r="U57" i="7"/>
  <c r="Z55" i="7"/>
  <c r="Y55" i="7"/>
  <c r="V55" i="7"/>
  <c r="U55" i="7"/>
  <c r="Z54" i="7"/>
  <c r="Y54" i="7"/>
  <c r="V54" i="7"/>
  <c r="U54" i="7"/>
  <c r="Z53" i="7"/>
  <c r="Y53" i="7"/>
  <c r="V53" i="7"/>
  <c r="U53" i="7"/>
  <c r="Z52" i="7"/>
  <c r="Y52" i="7"/>
  <c r="V52" i="7"/>
  <c r="U52" i="7"/>
  <c r="Z51" i="7"/>
  <c r="Y51" i="7"/>
  <c r="V51" i="7"/>
  <c r="U51" i="7"/>
  <c r="Z50" i="7"/>
  <c r="Y50" i="7"/>
  <c r="V50" i="7"/>
  <c r="U50" i="7"/>
  <c r="Z49" i="7"/>
  <c r="Y49" i="7"/>
  <c r="V49" i="7"/>
  <c r="U49" i="7"/>
  <c r="Z48" i="7"/>
  <c r="Y48" i="7"/>
  <c r="V48" i="7"/>
  <c r="U48" i="7"/>
  <c r="H48" i="7"/>
  <c r="Z47" i="7"/>
  <c r="Y47" i="7"/>
  <c r="V47" i="7"/>
  <c r="U47" i="7"/>
  <c r="Z46" i="7"/>
  <c r="Y46" i="7"/>
  <c r="V46" i="7"/>
  <c r="U46" i="7"/>
  <c r="Z45" i="7"/>
  <c r="Y45" i="7"/>
  <c r="V45" i="7"/>
  <c r="U45" i="7"/>
  <c r="Z44" i="7"/>
  <c r="Y44" i="7"/>
  <c r="V44" i="7"/>
  <c r="U44" i="7"/>
  <c r="Z43" i="7"/>
  <c r="Y43" i="7"/>
  <c r="V43" i="7"/>
  <c r="U43" i="7"/>
  <c r="Z42" i="7"/>
  <c r="Y42" i="7"/>
  <c r="V42" i="7"/>
  <c r="U42" i="7"/>
  <c r="Z41" i="7"/>
  <c r="Y41" i="7"/>
  <c r="V41" i="7"/>
  <c r="U41" i="7"/>
  <c r="Z40" i="7"/>
  <c r="Y40" i="7"/>
  <c r="V40" i="7"/>
  <c r="U40" i="7"/>
  <c r="H40" i="7"/>
  <c r="Z39" i="7"/>
  <c r="Y39" i="7"/>
  <c r="V39" i="7"/>
  <c r="U39" i="7"/>
  <c r="D39" i="7"/>
  <c r="C39" i="7"/>
  <c r="Z38" i="7"/>
  <c r="Y38" i="7"/>
  <c r="V38" i="7"/>
  <c r="U38" i="7"/>
  <c r="Z37" i="7"/>
  <c r="Y37" i="7"/>
  <c r="V37" i="7"/>
  <c r="U37" i="7"/>
  <c r="Z36" i="7"/>
  <c r="Y36" i="7"/>
  <c r="V36" i="7"/>
  <c r="U36" i="7"/>
  <c r="Z35" i="7"/>
  <c r="Y35" i="7"/>
  <c r="V35" i="7"/>
  <c r="U35" i="7"/>
  <c r="Z34" i="7"/>
  <c r="Y34" i="7"/>
  <c r="V34" i="7"/>
  <c r="U34" i="7"/>
  <c r="Z33" i="7"/>
  <c r="Y33" i="7"/>
  <c r="V33" i="7"/>
  <c r="U33" i="7"/>
  <c r="Z32" i="7"/>
  <c r="Y32" i="7"/>
  <c r="V32" i="7"/>
  <c r="U32" i="7"/>
  <c r="Z31" i="7"/>
  <c r="Y31" i="7"/>
  <c r="V31" i="7"/>
  <c r="U31" i="7"/>
  <c r="Z30" i="7"/>
  <c r="Y30" i="7"/>
  <c r="V30" i="7"/>
  <c r="U30" i="7"/>
  <c r="H30" i="7"/>
  <c r="Z29" i="7"/>
  <c r="Y29" i="7"/>
  <c r="V29" i="7"/>
  <c r="U29" i="7"/>
  <c r="Z28" i="7"/>
  <c r="Y28" i="7"/>
  <c r="V28" i="7"/>
  <c r="U28" i="7"/>
  <c r="Z27" i="7"/>
  <c r="Y27" i="7"/>
  <c r="V27" i="7"/>
  <c r="U27" i="7"/>
  <c r="Z26" i="7"/>
  <c r="Y26" i="7"/>
  <c r="V26" i="7"/>
  <c r="U26" i="7"/>
  <c r="Z25" i="7"/>
  <c r="Y25" i="7"/>
  <c r="V25" i="7"/>
  <c r="U25" i="7"/>
  <c r="Z24" i="7"/>
  <c r="Y24" i="7"/>
  <c r="X24" i="7"/>
  <c r="V24" i="7"/>
  <c r="U24" i="7"/>
  <c r="Z23" i="7"/>
  <c r="Y23" i="7"/>
  <c r="V23" i="7"/>
  <c r="U23" i="7"/>
  <c r="Z22" i="7"/>
  <c r="Y22" i="7"/>
  <c r="V22" i="7"/>
  <c r="U22" i="7"/>
  <c r="D22" i="7"/>
  <c r="Z21" i="7"/>
  <c r="Y21" i="7"/>
  <c r="V21" i="7"/>
  <c r="U21" i="7"/>
  <c r="I21" i="7"/>
  <c r="H21" i="7"/>
  <c r="D21" i="7"/>
  <c r="D26" i="7" s="1"/>
  <c r="T5" i="7" s="1"/>
  <c r="Z20" i="7"/>
  <c r="Y20" i="7"/>
  <c r="V20" i="7"/>
  <c r="U20" i="7"/>
  <c r="Z19" i="7"/>
  <c r="Y19" i="7"/>
  <c r="V19" i="7"/>
  <c r="U19" i="7"/>
  <c r="Z18" i="7"/>
  <c r="Y18" i="7"/>
  <c r="V18" i="7"/>
  <c r="U18" i="7"/>
  <c r="R18" i="7"/>
  <c r="Q18" i="7"/>
  <c r="P18" i="7"/>
  <c r="O18" i="7"/>
  <c r="Z17" i="7"/>
  <c r="Y17" i="7"/>
  <c r="V17" i="7"/>
  <c r="U17" i="7"/>
  <c r="Z16" i="7"/>
  <c r="Y16" i="7"/>
  <c r="V16" i="7"/>
  <c r="U16" i="7"/>
  <c r="R16" i="7"/>
  <c r="Q16" i="7"/>
  <c r="P16" i="7"/>
  <c r="O16" i="7"/>
  <c r="Z15" i="7"/>
  <c r="Y15" i="7"/>
  <c r="V15" i="7"/>
  <c r="U15" i="7"/>
  <c r="R15" i="7"/>
  <c r="Q15" i="7"/>
  <c r="P15" i="7"/>
  <c r="O15" i="7"/>
  <c r="Z14" i="7"/>
  <c r="Y14" i="7"/>
  <c r="V14" i="7"/>
  <c r="U14" i="7"/>
  <c r="R14" i="7"/>
  <c r="Q14" i="7"/>
  <c r="P14" i="7"/>
  <c r="O14" i="7"/>
  <c r="Z13" i="7"/>
  <c r="Y13" i="7"/>
  <c r="V13" i="7"/>
  <c r="U13" i="7"/>
  <c r="R13" i="7"/>
  <c r="Q13" i="7"/>
  <c r="P13" i="7"/>
  <c r="O13" i="7"/>
  <c r="Z12" i="7"/>
  <c r="Y12" i="7"/>
  <c r="V12" i="7"/>
  <c r="U12" i="7"/>
  <c r="R12" i="7"/>
  <c r="Q12" i="7"/>
  <c r="P12" i="7"/>
  <c r="O12" i="7"/>
  <c r="H12" i="7"/>
  <c r="Z11" i="7"/>
  <c r="Y11" i="7"/>
  <c r="V11" i="7"/>
  <c r="U11" i="7"/>
  <c r="R11" i="7"/>
  <c r="Q11" i="7"/>
  <c r="P11" i="7"/>
  <c r="O11" i="7"/>
  <c r="Z10" i="7"/>
  <c r="Y10" i="7"/>
  <c r="V10" i="7"/>
  <c r="U10" i="7"/>
  <c r="R10" i="7"/>
  <c r="Q10" i="7"/>
  <c r="P10" i="7"/>
  <c r="O10" i="7"/>
  <c r="Z9" i="7"/>
  <c r="Y9" i="7"/>
  <c r="V9" i="7"/>
  <c r="U9" i="7"/>
  <c r="R9" i="7"/>
  <c r="Q9" i="7"/>
  <c r="P9" i="7"/>
  <c r="O9" i="7"/>
  <c r="Z8" i="7"/>
  <c r="Y8" i="7"/>
  <c r="V8" i="7"/>
  <c r="U8" i="7"/>
  <c r="R8" i="7"/>
  <c r="Q8" i="7"/>
  <c r="P8" i="7"/>
  <c r="O8" i="7"/>
  <c r="Z7" i="7"/>
  <c r="Y7" i="7"/>
  <c r="V7" i="7"/>
  <c r="U7" i="7"/>
  <c r="R7" i="7"/>
  <c r="Q7" i="7"/>
  <c r="I498" i="7" s="1"/>
  <c r="P7" i="7"/>
  <c r="O7" i="7"/>
  <c r="Z6" i="7"/>
  <c r="Y6" i="7"/>
  <c r="V6" i="7"/>
  <c r="U6" i="7"/>
  <c r="R6" i="7"/>
  <c r="D378" i="7" s="1"/>
  <c r="D383" i="7" s="1"/>
  <c r="T44" i="7" s="1"/>
  <c r="Q6" i="7"/>
  <c r="P6" i="7"/>
  <c r="O6" i="7"/>
  <c r="Z5" i="7"/>
  <c r="Y5" i="7"/>
  <c r="V5" i="7"/>
  <c r="U5" i="7"/>
  <c r="R5" i="7"/>
  <c r="D91" i="7" s="1"/>
  <c r="Q5" i="7"/>
  <c r="P5" i="7"/>
  <c r="O5" i="7"/>
  <c r="Z4" i="7"/>
  <c r="Y4" i="7"/>
  <c r="V4" i="7"/>
  <c r="U4" i="7"/>
  <c r="R4" i="7"/>
  <c r="Q4" i="7"/>
  <c r="P4" i="7"/>
  <c r="O4" i="7"/>
  <c r="C549" i="7" s="1"/>
  <c r="C4" i="7"/>
  <c r="Z3" i="7"/>
  <c r="Y3" i="7"/>
  <c r="V3" i="7"/>
  <c r="U3" i="7"/>
  <c r="R3" i="7"/>
  <c r="Q3" i="7"/>
  <c r="I297" i="7" s="1"/>
  <c r="P3" i="7"/>
  <c r="O3" i="7"/>
  <c r="C540" i="7" s="1"/>
  <c r="C3" i="7"/>
  <c r="I496" i="6"/>
  <c r="C487" i="6"/>
  <c r="C459" i="6"/>
  <c r="H369" i="6"/>
  <c r="C369" i="6"/>
  <c r="I333" i="6"/>
  <c r="I338" i="6" s="1"/>
  <c r="X39" i="6" s="1"/>
  <c r="I324" i="6"/>
  <c r="I329" i="6" s="1"/>
  <c r="X38" i="6" s="1"/>
  <c r="D297" i="6"/>
  <c r="H280" i="6"/>
  <c r="H278" i="6"/>
  <c r="C278" i="6"/>
  <c r="C207" i="6"/>
  <c r="H206" i="6"/>
  <c r="I202" i="6"/>
  <c r="X24" i="6" s="1"/>
  <c r="C179" i="6"/>
  <c r="C126" i="6"/>
  <c r="D119" i="6"/>
  <c r="C119" i="6"/>
  <c r="D118" i="6"/>
  <c r="C118" i="6"/>
  <c r="H80" i="6"/>
  <c r="D80" i="6"/>
  <c r="V67" i="6"/>
  <c r="U67" i="6"/>
  <c r="Z66" i="6"/>
  <c r="Y66" i="6"/>
  <c r="V66" i="6"/>
  <c r="U66" i="6"/>
  <c r="Z65" i="6"/>
  <c r="Y65" i="6"/>
  <c r="V65" i="6"/>
  <c r="U65" i="6"/>
  <c r="Z64" i="6"/>
  <c r="Y64" i="6"/>
  <c r="V64" i="6"/>
  <c r="U64" i="6"/>
  <c r="Z63" i="6"/>
  <c r="Y63" i="6"/>
  <c r="V63" i="6"/>
  <c r="U63" i="6"/>
  <c r="Z62" i="6"/>
  <c r="Y62" i="6"/>
  <c r="V62" i="6"/>
  <c r="U62" i="6"/>
  <c r="Z61" i="6"/>
  <c r="Y61" i="6"/>
  <c r="V61" i="6"/>
  <c r="U61" i="6"/>
  <c r="Z60" i="6"/>
  <c r="Y60" i="6"/>
  <c r="V60" i="6"/>
  <c r="U60" i="6"/>
  <c r="Z59" i="6"/>
  <c r="Y59" i="6"/>
  <c r="V59" i="6"/>
  <c r="U59" i="6"/>
  <c r="Z58" i="6"/>
  <c r="Y58" i="6"/>
  <c r="V58" i="6"/>
  <c r="U58" i="6"/>
  <c r="Z57" i="6"/>
  <c r="Y57" i="6"/>
  <c r="V57" i="6"/>
  <c r="U57" i="6"/>
  <c r="Z55" i="6"/>
  <c r="Y55" i="6"/>
  <c r="V55" i="6"/>
  <c r="U55" i="6"/>
  <c r="Z54" i="6"/>
  <c r="Y54" i="6"/>
  <c r="V54" i="6"/>
  <c r="U54" i="6"/>
  <c r="Z53" i="6"/>
  <c r="Y53" i="6"/>
  <c r="V53" i="6"/>
  <c r="U53" i="6"/>
  <c r="Z52" i="6"/>
  <c r="Y52" i="6"/>
  <c r="V52" i="6"/>
  <c r="U52" i="6"/>
  <c r="Z51" i="6"/>
  <c r="Y51" i="6"/>
  <c r="V51" i="6"/>
  <c r="U51" i="6"/>
  <c r="Z50" i="6"/>
  <c r="Y50" i="6"/>
  <c r="V50" i="6"/>
  <c r="U50" i="6"/>
  <c r="Z49" i="6"/>
  <c r="Y49" i="6"/>
  <c r="V49" i="6"/>
  <c r="U49" i="6"/>
  <c r="Z48" i="6"/>
  <c r="Y48" i="6"/>
  <c r="V48" i="6"/>
  <c r="U48" i="6"/>
  <c r="Z47" i="6"/>
  <c r="Y47" i="6"/>
  <c r="V47" i="6"/>
  <c r="U47" i="6"/>
  <c r="Z46" i="6"/>
  <c r="Y46" i="6"/>
  <c r="V46" i="6"/>
  <c r="U46" i="6"/>
  <c r="Z45" i="6"/>
  <c r="Y45" i="6"/>
  <c r="V45" i="6"/>
  <c r="U45" i="6"/>
  <c r="Z44" i="6"/>
  <c r="Y44" i="6"/>
  <c r="V44" i="6"/>
  <c r="U44" i="6"/>
  <c r="Z43" i="6"/>
  <c r="Y43" i="6"/>
  <c r="V43" i="6"/>
  <c r="U43" i="6"/>
  <c r="Z42" i="6"/>
  <c r="Y42" i="6"/>
  <c r="V42" i="6"/>
  <c r="U42" i="6"/>
  <c r="Z41" i="6"/>
  <c r="Y41" i="6"/>
  <c r="V41" i="6"/>
  <c r="U41" i="6"/>
  <c r="Z40" i="6"/>
  <c r="Y40" i="6"/>
  <c r="V40" i="6"/>
  <c r="U40" i="6"/>
  <c r="D40" i="6"/>
  <c r="Z39" i="6"/>
  <c r="Y39" i="6"/>
  <c r="V39" i="6"/>
  <c r="U39" i="6"/>
  <c r="Z38" i="6"/>
  <c r="Y38" i="6"/>
  <c r="V38" i="6"/>
  <c r="U38" i="6"/>
  <c r="Z37" i="6"/>
  <c r="Y37" i="6"/>
  <c r="V37" i="6"/>
  <c r="U37" i="6"/>
  <c r="Z36" i="6"/>
  <c r="Y36" i="6"/>
  <c r="V36" i="6"/>
  <c r="U36" i="6"/>
  <c r="Z35" i="6"/>
  <c r="Y35" i="6"/>
  <c r="V35" i="6"/>
  <c r="U35" i="6"/>
  <c r="Z34" i="6"/>
  <c r="Y34" i="6"/>
  <c r="V34" i="6"/>
  <c r="U34" i="6"/>
  <c r="Z33" i="6"/>
  <c r="Y33" i="6"/>
  <c r="V33" i="6"/>
  <c r="U33" i="6"/>
  <c r="Z32" i="6"/>
  <c r="Y32" i="6"/>
  <c r="V32" i="6"/>
  <c r="U32" i="6"/>
  <c r="Z31" i="6"/>
  <c r="Y31" i="6"/>
  <c r="V31" i="6"/>
  <c r="U31" i="6"/>
  <c r="C31" i="6"/>
  <c r="Z30" i="6"/>
  <c r="Y30" i="6"/>
  <c r="V30" i="6"/>
  <c r="U30" i="6"/>
  <c r="Z29" i="6"/>
  <c r="Y29" i="6"/>
  <c r="V29" i="6"/>
  <c r="U29" i="6"/>
  <c r="Z28" i="6"/>
  <c r="Y28" i="6"/>
  <c r="V28" i="6"/>
  <c r="U28" i="6"/>
  <c r="Z27" i="6"/>
  <c r="Y27" i="6"/>
  <c r="V27" i="6"/>
  <c r="U27" i="6"/>
  <c r="Z26" i="6"/>
  <c r="Y26" i="6"/>
  <c r="V26" i="6"/>
  <c r="U26" i="6"/>
  <c r="Z25" i="6"/>
  <c r="Y25" i="6"/>
  <c r="V25" i="6"/>
  <c r="U25" i="6"/>
  <c r="Z24" i="6"/>
  <c r="Y24" i="6"/>
  <c r="V24" i="6"/>
  <c r="U24" i="6"/>
  <c r="Z23" i="6"/>
  <c r="Y23" i="6"/>
  <c r="V23" i="6"/>
  <c r="U23" i="6"/>
  <c r="Z22" i="6"/>
  <c r="Y22" i="6"/>
  <c r="V22" i="6"/>
  <c r="U22" i="6"/>
  <c r="Z21" i="6"/>
  <c r="Y21" i="6"/>
  <c r="V21" i="6"/>
  <c r="U21" i="6"/>
  <c r="H21" i="6"/>
  <c r="C21" i="6"/>
  <c r="Z20" i="6"/>
  <c r="Y20" i="6"/>
  <c r="V20" i="6"/>
  <c r="U20" i="6"/>
  <c r="Z19" i="6"/>
  <c r="Y19" i="6"/>
  <c r="V19" i="6"/>
  <c r="U19" i="6"/>
  <c r="Z18" i="6"/>
  <c r="Y18" i="6"/>
  <c r="V18" i="6"/>
  <c r="U18" i="6"/>
  <c r="R18" i="6"/>
  <c r="Q18" i="6"/>
  <c r="P18" i="6"/>
  <c r="O18" i="6"/>
  <c r="Z17" i="6"/>
  <c r="Y17" i="6"/>
  <c r="V17" i="6"/>
  <c r="U17" i="6"/>
  <c r="Z16" i="6"/>
  <c r="Y16" i="6"/>
  <c r="V16" i="6"/>
  <c r="U16" i="6"/>
  <c r="R16" i="6"/>
  <c r="Q16" i="6"/>
  <c r="P16" i="6"/>
  <c r="O16" i="6"/>
  <c r="Z15" i="6"/>
  <c r="Y15" i="6"/>
  <c r="V15" i="6"/>
  <c r="U15" i="6"/>
  <c r="R15" i="6"/>
  <c r="Q15" i="6"/>
  <c r="P15" i="6"/>
  <c r="O15" i="6"/>
  <c r="Z14" i="6"/>
  <c r="Y14" i="6"/>
  <c r="V14" i="6"/>
  <c r="U14" i="6"/>
  <c r="R14" i="6"/>
  <c r="Q14" i="6"/>
  <c r="P14" i="6"/>
  <c r="O14" i="6"/>
  <c r="Z13" i="6"/>
  <c r="Y13" i="6"/>
  <c r="V13" i="6"/>
  <c r="U13" i="6"/>
  <c r="R13" i="6"/>
  <c r="Q13" i="6"/>
  <c r="P13" i="6"/>
  <c r="O13" i="6"/>
  <c r="Z12" i="6"/>
  <c r="Y12" i="6"/>
  <c r="V12" i="6"/>
  <c r="U12" i="6"/>
  <c r="R12" i="6"/>
  <c r="Q12" i="6"/>
  <c r="P12" i="6"/>
  <c r="O12" i="6"/>
  <c r="Z11" i="6"/>
  <c r="Y11" i="6"/>
  <c r="V11" i="6"/>
  <c r="U11" i="6"/>
  <c r="R11" i="6"/>
  <c r="Q11" i="6"/>
  <c r="P11" i="6"/>
  <c r="O11" i="6"/>
  <c r="Z10" i="6"/>
  <c r="Y10" i="6"/>
  <c r="V10" i="6"/>
  <c r="U10" i="6"/>
  <c r="R10" i="6"/>
  <c r="Q10" i="6"/>
  <c r="P10" i="6"/>
  <c r="O10" i="6"/>
  <c r="Z9" i="6"/>
  <c r="Y9" i="6"/>
  <c r="V9" i="6"/>
  <c r="U9" i="6"/>
  <c r="R9" i="6"/>
  <c r="Q9" i="6"/>
  <c r="P9" i="6"/>
  <c r="O9" i="6"/>
  <c r="Z8" i="6"/>
  <c r="Y8" i="6"/>
  <c r="V8" i="6"/>
  <c r="U8" i="6"/>
  <c r="R8" i="6"/>
  <c r="Q8" i="6"/>
  <c r="P8" i="6"/>
  <c r="O8" i="6"/>
  <c r="Z7" i="6"/>
  <c r="Y7" i="6"/>
  <c r="V7" i="6"/>
  <c r="U7" i="6"/>
  <c r="R7" i="6"/>
  <c r="Q7" i="6"/>
  <c r="P7" i="6"/>
  <c r="O7" i="6"/>
  <c r="Z6" i="6"/>
  <c r="Y6" i="6"/>
  <c r="V6" i="6"/>
  <c r="U6" i="6"/>
  <c r="R6" i="6"/>
  <c r="Q6" i="6"/>
  <c r="D143" i="6" s="1"/>
  <c r="P6" i="6"/>
  <c r="O6" i="6"/>
  <c r="Z5" i="6"/>
  <c r="Y5" i="6"/>
  <c r="V5" i="6"/>
  <c r="U5" i="6"/>
  <c r="R5" i="6"/>
  <c r="Q5" i="6"/>
  <c r="P5" i="6"/>
  <c r="O5" i="6"/>
  <c r="Z4" i="6"/>
  <c r="Y4" i="6"/>
  <c r="V4" i="6"/>
  <c r="U4" i="6"/>
  <c r="R4" i="6"/>
  <c r="Q4" i="6"/>
  <c r="P4" i="6"/>
  <c r="O4" i="6"/>
  <c r="Z3" i="6"/>
  <c r="Y3" i="6"/>
  <c r="V3" i="6"/>
  <c r="U3" i="6"/>
  <c r="R3" i="6"/>
  <c r="Q3" i="6"/>
  <c r="D532" i="6" s="1"/>
  <c r="P3" i="6"/>
  <c r="O3" i="6"/>
  <c r="C532" i="6" s="1"/>
  <c r="H3" i="6"/>
  <c r="H415" i="5"/>
  <c r="D360" i="5"/>
  <c r="D365" i="5" s="1"/>
  <c r="T42" i="5" s="1"/>
  <c r="I356" i="5"/>
  <c r="H298" i="5"/>
  <c r="H279" i="5"/>
  <c r="D233" i="5"/>
  <c r="D238" i="5" s="1"/>
  <c r="T28" i="5" s="1"/>
  <c r="C233" i="5"/>
  <c r="I202" i="5"/>
  <c r="X24" i="5" s="1"/>
  <c r="H188" i="5"/>
  <c r="H125" i="5"/>
  <c r="D119" i="5"/>
  <c r="D91" i="5"/>
  <c r="C91" i="5"/>
  <c r="C77" i="5"/>
  <c r="V61" i="5"/>
  <c r="U61" i="5"/>
  <c r="Z60" i="5"/>
  <c r="Y60" i="5"/>
  <c r="V60" i="5"/>
  <c r="U60" i="5"/>
  <c r="Z59" i="5"/>
  <c r="Y59" i="5"/>
  <c r="V59" i="5"/>
  <c r="U59" i="5"/>
  <c r="Z58" i="5"/>
  <c r="Y58" i="5"/>
  <c r="V58" i="5"/>
  <c r="U58" i="5"/>
  <c r="Z57" i="5"/>
  <c r="Y57" i="5"/>
  <c r="V57" i="5"/>
  <c r="U57" i="5"/>
  <c r="Z55" i="5"/>
  <c r="Y55" i="5"/>
  <c r="V55" i="5"/>
  <c r="U55" i="5"/>
  <c r="Z54" i="5"/>
  <c r="Y54" i="5"/>
  <c r="V54" i="5"/>
  <c r="U54" i="5"/>
  <c r="Z53" i="5"/>
  <c r="Y53" i="5"/>
  <c r="V53" i="5"/>
  <c r="U53" i="5"/>
  <c r="Z52" i="5"/>
  <c r="Y52" i="5"/>
  <c r="V52" i="5"/>
  <c r="U52" i="5"/>
  <c r="Z51" i="5"/>
  <c r="Y51" i="5"/>
  <c r="V51" i="5"/>
  <c r="U51" i="5"/>
  <c r="Z50" i="5"/>
  <c r="Y50" i="5"/>
  <c r="V50" i="5"/>
  <c r="U50" i="5"/>
  <c r="Z49" i="5"/>
  <c r="Y49" i="5"/>
  <c r="V49" i="5"/>
  <c r="U49" i="5"/>
  <c r="Z48" i="5"/>
  <c r="Y48" i="5"/>
  <c r="V48" i="5"/>
  <c r="U48" i="5"/>
  <c r="Z47" i="5"/>
  <c r="Y47" i="5"/>
  <c r="V47" i="5"/>
  <c r="U47" i="5"/>
  <c r="Z46" i="5"/>
  <c r="Y46" i="5"/>
  <c r="V46" i="5"/>
  <c r="U46" i="5"/>
  <c r="Z45" i="5"/>
  <c r="Y45" i="5"/>
  <c r="V45" i="5"/>
  <c r="U45" i="5"/>
  <c r="Z44" i="5"/>
  <c r="Y44" i="5"/>
  <c r="V44" i="5"/>
  <c r="U44" i="5"/>
  <c r="Z43" i="5"/>
  <c r="Y43" i="5"/>
  <c r="V43" i="5"/>
  <c r="U43" i="5"/>
  <c r="Z42" i="5"/>
  <c r="Y42" i="5"/>
  <c r="V42" i="5"/>
  <c r="U42" i="5"/>
  <c r="Z41" i="5"/>
  <c r="Y41" i="5"/>
  <c r="X41" i="5"/>
  <c r="V41" i="5"/>
  <c r="U41" i="5"/>
  <c r="Z40" i="5"/>
  <c r="Y40" i="5"/>
  <c r="V40" i="5"/>
  <c r="U40" i="5"/>
  <c r="Z39" i="5"/>
  <c r="Y39" i="5"/>
  <c r="V39" i="5"/>
  <c r="U39" i="5"/>
  <c r="H39" i="5"/>
  <c r="Z38" i="5"/>
  <c r="Y38" i="5"/>
  <c r="V38" i="5"/>
  <c r="U38" i="5"/>
  <c r="Z37" i="5"/>
  <c r="Y37" i="5"/>
  <c r="V37" i="5"/>
  <c r="U37" i="5"/>
  <c r="Z36" i="5"/>
  <c r="Y36" i="5"/>
  <c r="V36" i="5"/>
  <c r="U36" i="5"/>
  <c r="Z35" i="5"/>
  <c r="Y35" i="5"/>
  <c r="V35" i="5"/>
  <c r="U35" i="5"/>
  <c r="Z34" i="5"/>
  <c r="Y34" i="5"/>
  <c r="V34" i="5"/>
  <c r="U34" i="5"/>
  <c r="Z33" i="5"/>
  <c r="Y33" i="5"/>
  <c r="V33" i="5"/>
  <c r="U33" i="5"/>
  <c r="C33" i="5"/>
  <c r="Z32" i="5"/>
  <c r="Y32" i="5"/>
  <c r="V32" i="5"/>
  <c r="U32" i="5"/>
  <c r="Z31" i="5"/>
  <c r="Y31" i="5"/>
  <c r="V31" i="5"/>
  <c r="U31" i="5"/>
  <c r="Z30" i="5"/>
  <c r="Y30" i="5"/>
  <c r="V30" i="5"/>
  <c r="U30" i="5"/>
  <c r="Z29" i="5"/>
  <c r="Y29" i="5"/>
  <c r="V29" i="5"/>
  <c r="U29" i="5"/>
  <c r="Z28" i="5"/>
  <c r="Y28" i="5"/>
  <c r="V28" i="5"/>
  <c r="U28" i="5"/>
  <c r="Z27" i="5"/>
  <c r="Y27" i="5"/>
  <c r="V27" i="5"/>
  <c r="U27" i="5"/>
  <c r="Z26" i="5"/>
  <c r="Y26" i="5"/>
  <c r="V26" i="5"/>
  <c r="U26" i="5"/>
  <c r="Z25" i="5"/>
  <c r="Y25" i="5"/>
  <c r="V25" i="5"/>
  <c r="U25" i="5"/>
  <c r="Z24" i="5"/>
  <c r="Y24" i="5"/>
  <c r="V24" i="5"/>
  <c r="U24" i="5"/>
  <c r="Z23" i="5"/>
  <c r="Y23" i="5"/>
  <c r="V23" i="5"/>
  <c r="U23" i="5"/>
  <c r="Z22" i="5"/>
  <c r="Y22" i="5"/>
  <c r="V22" i="5"/>
  <c r="U22" i="5"/>
  <c r="Z21" i="5"/>
  <c r="Y21" i="5"/>
  <c r="V21" i="5"/>
  <c r="U21" i="5"/>
  <c r="Z20" i="5"/>
  <c r="Y20" i="5"/>
  <c r="V20" i="5"/>
  <c r="U20" i="5"/>
  <c r="Z19" i="5"/>
  <c r="Y19" i="5"/>
  <c r="V19" i="5"/>
  <c r="U19" i="5"/>
  <c r="Z18" i="5"/>
  <c r="Y18" i="5"/>
  <c r="V18" i="5"/>
  <c r="U18" i="5"/>
  <c r="R18" i="5"/>
  <c r="Q18" i="5"/>
  <c r="P18" i="5"/>
  <c r="O18" i="5"/>
  <c r="Z17" i="5"/>
  <c r="Y17" i="5"/>
  <c r="V17" i="5"/>
  <c r="U17" i="5"/>
  <c r="Z16" i="5"/>
  <c r="Y16" i="5"/>
  <c r="V16" i="5"/>
  <c r="U16" i="5"/>
  <c r="R16" i="5"/>
  <c r="Q16" i="5"/>
  <c r="P16" i="5"/>
  <c r="O16" i="5"/>
  <c r="Z15" i="5"/>
  <c r="Y15" i="5"/>
  <c r="V15" i="5"/>
  <c r="U15" i="5"/>
  <c r="R15" i="5"/>
  <c r="Q15" i="5"/>
  <c r="P15" i="5"/>
  <c r="C12" i="5" s="1"/>
  <c r="O15" i="5"/>
  <c r="Z14" i="5"/>
  <c r="Y14" i="5"/>
  <c r="V14" i="5"/>
  <c r="U14" i="5"/>
  <c r="R14" i="5"/>
  <c r="Q14" i="5"/>
  <c r="P14" i="5"/>
  <c r="O14" i="5"/>
  <c r="Z13" i="5"/>
  <c r="Y13" i="5"/>
  <c r="V13" i="5"/>
  <c r="U13" i="5"/>
  <c r="R13" i="5"/>
  <c r="Q13" i="5"/>
  <c r="P13" i="5"/>
  <c r="O13" i="5"/>
  <c r="Z12" i="5"/>
  <c r="Y12" i="5"/>
  <c r="V12" i="5"/>
  <c r="U12" i="5"/>
  <c r="R12" i="5"/>
  <c r="Q12" i="5"/>
  <c r="P12" i="5"/>
  <c r="O12" i="5"/>
  <c r="Z11" i="5"/>
  <c r="Y11" i="5"/>
  <c r="V11" i="5"/>
  <c r="U11" i="5"/>
  <c r="R11" i="5"/>
  <c r="Q11" i="5"/>
  <c r="P11" i="5"/>
  <c r="O11" i="5"/>
  <c r="Z10" i="5"/>
  <c r="Y10" i="5"/>
  <c r="V10" i="5"/>
  <c r="U10" i="5"/>
  <c r="R10" i="5"/>
  <c r="Q10" i="5"/>
  <c r="P10" i="5"/>
  <c r="O10" i="5"/>
  <c r="Z9" i="5"/>
  <c r="Y9" i="5"/>
  <c r="V9" i="5"/>
  <c r="U9" i="5"/>
  <c r="R9" i="5"/>
  <c r="Q9" i="5"/>
  <c r="P9" i="5"/>
  <c r="O9" i="5"/>
  <c r="Z8" i="5"/>
  <c r="Y8" i="5"/>
  <c r="V8" i="5"/>
  <c r="U8" i="5"/>
  <c r="R8" i="5"/>
  <c r="Q8" i="5"/>
  <c r="D298" i="5" s="1"/>
  <c r="P8" i="5"/>
  <c r="O8" i="5"/>
  <c r="Z7" i="5"/>
  <c r="Y7" i="5"/>
  <c r="V7" i="5"/>
  <c r="U7" i="5"/>
  <c r="R7" i="5"/>
  <c r="Q7" i="5"/>
  <c r="P7" i="5"/>
  <c r="O7" i="5"/>
  <c r="Z6" i="5"/>
  <c r="Y6" i="5"/>
  <c r="V6" i="5"/>
  <c r="U6" i="5"/>
  <c r="R6" i="5"/>
  <c r="Q6" i="5"/>
  <c r="P6" i="5"/>
  <c r="O6" i="5"/>
  <c r="Z5" i="5"/>
  <c r="Y5" i="5"/>
  <c r="V5" i="5"/>
  <c r="U5" i="5"/>
  <c r="R5" i="5"/>
  <c r="Q5" i="5"/>
  <c r="P5" i="5"/>
  <c r="O5" i="5"/>
  <c r="Z4" i="5"/>
  <c r="Y4" i="5"/>
  <c r="V4" i="5"/>
  <c r="U4" i="5"/>
  <c r="R4" i="5"/>
  <c r="Q4" i="5"/>
  <c r="P4" i="5"/>
  <c r="O4" i="5"/>
  <c r="Z3" i="5"/>
  <c r="Y3" i="5"/>
  <c r="V3" i="5"/>
  <c r="U3" i="5"/>
  <c r="R3" i="5"/>
  <c r="Q3" i="5"/>
  <c r="D107" i="5" s="1"/>
  <c r="D112" i="5" s="1"/>
  <c r="T14" i="5" s="1"/>
  <c r="P3" i="5"/>
  <c r="O3" i="5"/>
  <c r="C441" i="5" s="1"/>
  <c r="C3" i="5"/>
  <c r="D513" i="4"/>
  <c r="D518" i="4" s="1"/>
  <c r="C504" i="4"/>
  <c r="I497" i="4"/>
  <c r="H496" i="4"/>
  <c r="I495" i="4"/>
  <c r="H468" i="4"/>
  <c r="D468" i="4"/>
  <c r="H441" i="4"/>
  <c r="D414" i="4"/>
  <c r="D419" i="4" s="1"/>
  <c r="T48" i="4" s="1"/>
  <c r="I378" i="4"/>
  <c r="I383" i="4" s="1"/>
  <c r="H378" i="4"/>
  <c r="D378" i="4"/>
  <c r="D383" i="4" s="1"/>
  <c r="C378" i="4"/>
  <c r="I356" i="4"/>
  <c r="I333" i="4"/>
  <c r="I338" i="4" s="1"/>
  <c r="X39" i="4" s="1"/>
  <c r="C333" i="4"/>
  <c r="D315" i="4"/>
  <c r="C315" i="4"/>
  <c r="H297" i="4"/>
  <c r="C297" i="4"/>
  <c r="I289" i="4"/>
  <c r="D269" i="4"/>
  <c r="D274" i="4" s="1"/>
  <c r="T32" i="4" s="1"/>
  <c r="H260" i="4"/>
  <c r="D260" i="4"/>
  <c r="H233" i="4"/>
  <c r="D233" i="4"/>
  <c r="D238" i="4" s="1"/>
  <c r="T28" i="4" s="1"/>
  <c r="C233" i="4"/>
  <c r="I224" i="4"/>
  <c r="I229" i="4" s="1"/>
  <c r="X27" i="4" s="1"/>
  <c r="C224" i="4"/>
  <c r="D207" i="4"/>
  <c r="I206" i="4"/>
  <c r="H206" i="4"/>
  <c r="I197" i="4"/>
  <c r="I202" i="4" s="1"/>
  <c r="X24" i="4" s="1"/>
  <c r="C179" i="4"/>
  <c r="H134" i="4"/>
  <c r="I127" i="4"/>
  <c r="D119" i="4"/>
  <c r="C119" i="4"/>
  <c r="D118" i="4"/>
  <c r="C118" i="4"/>
  <c r="H117" i="4"/>
  <c r="D99" i="4"/>
  <c r="C99" i="4"/>
  <c r="I98" i="4"/>
  <c r="H98" i="4"/>
  <c r="C80" i="4"/>
  <c r="V61" i="4"/>
  <c r="U61" i="4"/>
  <c r="Z60" i="4"/>
  <c r="Y60" i="4"/>
  <c r="V60" i="4"/>
  <c r="U60" i="4"/>
  <c r="Z59" i="4"/>
  <c r="Y59" i="4"/>
  <c r="V59" i="4"/>
  <c r="U59" i="4"/>
  <c r="T59" i="4"/>
  <c r="Z58" i="4"/>
  <c r="Y58" i="4"/>
  <c r="V58" i="4"/>
  <c r="U58" i="4"/>
  <c r="Z57" i="4"/>
  <c r="Y57" i="4"/>
  <c r="V57" i="4"/>
  <c r="U57" i="4"/>
  <c r="Z55" i="4"/>
  <c r="Y55" i="4"/>
  <c r="V55" i="4"/>
  <c r="U55" i="4"/>
  <c r="Z54" i="4"/>
  <c r="Y54" i="4"/>
  <c r="V54" i="4"/>
  <c r="U54" i="4"/>
  <c r="Z53" i="4"/>
  <c r="Y53" i="4"/>
  <c r="V53" i="4"/>
  <c r="U53" i="4"/>
  <c r="Z52" i="4"/>
  <c r="Y52" i="4"/>
  <c r="V52" i="4"/>
  <c r="U52" i="4"/>
  <c r="Z51" i="4"/>
  <c r="Y51" i="4"/>
  <c r="V51" i="4"/>
  <c r="U51" i="4"/>
  <c r="Z50" i="4"/>
  <c r="Y50" i="4"/>
  <c r="V50" i="4"/>
  <c r="U50" i="4"/>
  <c r="Z49" i="4"/>
  <c r="Y49" i="4"/>
  <c r="V49" i="4"/>
  <c r="U49" i="4"/>
  <c r="Z48" i="4"/>
  <c r="Y48" i="4"/>
  <c r="V48" i="4"/>
  <c r="U48" i="4"/>
  <c r="Z47" i="4"/>
  <c r="Y47" i="4"/>
  <c r="V47" i="4"/>
  <c r="U47" i="4"/>
  <c r="Z46" i="4"/>
  <c r="Y46" i="4"/>
  <c r="V46" i="4"/>
  <c r="U46" i="4"/>
  <c r="Z45" i="4"/>
  <c r="Y45" i="4"/>
  <c r="V45" i="4"/>
  <c r="U45" i="4"/>
  <c r="Z44" i="4"/>
  <c r="Y44" i="4"/>
  <c r="X44" i="4"/>
  <c r="V44" i="4"/>
  <c r="U44" i="4"/>
  <c r="T44" i="4"/>
  <c r="Z43" i="4"/>
  <c r="Y43" i="4"/>
  <c r="V43" i="4"/>
  <c r="U43" i="4"/>
  <c r="Z42" i="4"/>
  <c r="Y42" i="4"/>
  <c r="V42" i="4"/>
  <c r="U42" i="4"/>
  <c r="Z41" i="4"/>
  <c r="Y41" i="4"/>
  <c r="X41" i="4"/>
  <c r="V41" i="4"/>
  <c r="U41" i="4"/>
  <c r="Z40" i="4"/>
  <c r="Y40" i="4"/>
  <c r="V40" i="4"/>
  <c r="U40" i="4"/>
  <c r="Z39" i="4"/>
  <c r="Y39" i="4"/>
  <c r="V39" i="4"/>
  <c r="U39" i="4"/>
  <c r="Z38" i="4"/>
  <c r="Y38" i="4"/>
  <c r="V38" i="4"/>
  <c r="U38" i="4"/>
  <c r="Z37" i="4"/>
  <c r="Y37" i="4"/>
  <c r="V37" i="4"/>
  <c r="U37" i="4"/>
  <c r="Z36" i="4"/>
  <c r="Y36" i="4"/>
  <c r="V36" i="4"/>
  <c r="U36" i="4"/>
  <c r="Z35" i="4"/>
  <c r="Y35" i="4"/>
  <c r="V35" i="4"/>
  <c r="U35" i="4"/>
  <c r="Z34" i="4"/>
  <c r="Y34" i="4"/>
  <c r="V34" i="4"/>
  <c r="U34" i="4"/>
  <c r="Z33" i="4"/>
  <c r="Y33" i="4"/>
  <c r="V33" i="4"/>
  <c r="U33" i="4"/>
  <c r="Z32" i="4"/>
  <c r="Y32" i="4"/>
  <c r="V32" i="4"/>
  <c r="U32" i="4"/>
  <c r="Z31" i="4"/>
  <c r="Y31" i="4"/>
  <c r="V31" i="4"/>
  <c r="U31" i="4"/>
  <c r="D31" i="4"/>
  <c r="Z30" i="4"/>
  <c r="Y30" i="4"/>
  <c r="V30" i="4"/>
  <c r="U30" i="4"/>
  <c r="Z29" i="4"/>
  <c r="Y29" i="4"/>
  <c r="V29" i="4"/>
  <c r="U29" i="4"/>
  <c r="Z28" i="4"/>
  <c r="Y28" i="4"/>
  <c r="V28" i="4"/>
  <c r="U28" i="4"/>
  <c r="Z27" i="4"/>
  <c r="Y27" i="4"/>
  <c r="V27" i="4"/>
  <c r="U27" i="4"/>
  <c r="Z26" i="4"/>
  <c r="Y26" i="4"/>
  <c r="V26" i="4"/>
  <c r="U26" i="4"/>
  <c r="Z25" i="4"/>
  <c r="Y25" i="4"/>
  <c r="V25" i="4"/>
  <c r="U25" i="4"/>
  <c r="Z24" i="4"/>
  <c r="Y24" i="4"/>
  <c r="V24" i="4"/>
  <c r="U24" i="4"/>
  <c r="Z23" i="4"/>
  <c r="Y23" i="4"/>
  <c r="V23" i="4"/>
  <c r="U23" i="4"/>
  <c r="Z22" i="4"/>
  <c r="Y22" i="4"/>
  <c r="V22" i="4"/>
  <c r="U22" i="4"/>
  <c r="Z21" i="4"/>
  <c r="Y21" i="4"/>
  <c r="V21" i="4"/>
  <c r="U21" i="4"/>
  <c r="Z20" i="4"/>
  <c r="Y20" i="4"/>
  <c r="V20" i="4"/>
  <c r="U20" i="4"/>
  <c r="Z19" i="4"/>
  <c r="Y19" i="4"/>
  <c r="V19" i="4"/>
  <c r="U19" i="4"/>
  <c r="Z18" i="4"/>
  <c r="Y18" i="4"/>
  <c r="V18" i="4"/>
  <c r="U18" i="4"/>
  <c r="R18" i="4"/>
  <c r="Q18" i="4"/>
  <c r="P18" i="4"/>
  <c r="O18" i="4"/>
  <c r="Z17" i="4"/>
  <c r="Y17" i="4"/>
  <c r="V17" i="4"/>
  <c r="U17" i="4"/>
  <c r="Z16" i="4"/>
  <c r="Y16" i="4"/>
  <c r="V16" i="4"/>
  <c r="U16" i="4"/>
  <c r="R16" i="4"/>
  <c r="Q16" i="4"/>
  <c r="P16" i="4"/>
  <c r="O16" i="4"/>
  <c r="Z15" i="4"/>
  <c r="Y15" i="4"/>
  <c r="V15" i="4"/>
  <c r="U15" i="4"/>
  <c r="R15" i="4"/>
  <c r="Q15" i="4"/>
  <c r="P15" i="4"/>
  <c r="O15" i="4"/>
  <c r="Z14" i="4"/>
  <c r="Y14" i="4"/>
  <c r="V14" i="4"/>
  <c r="U14" i="4"/>
  <c r="R14" i="4"/>
  <c r="Q14" i="4"/>
  <c r="P14" i="4"/>
  <c r="O14" i="4"/>
  <c r="Z13" i="4"/>
  <c r="Y13" i="4"/>
  <c r="V13" i="4"/>
  <c r="U13" i="4"/>
  <c r="R13" i="4"/>
  <c r="Q13" i="4"/>
  <c r="P13" i="4"/>
  <c r="O13" i="4"/>
  <c r="Z12" i="4"/>
  <c r="Y12" i="4"/>
  <c r="V12" i="4"/>
  <c r="U12" i="4"/>
  <c r="R12" i="4"/>
  <c r="Q12" i="4"/>
  <c r="D279" i="4" s="1"/>
  <c r="P12" i="4"/>
  <c r="C307" i="4" s="1"/>
  <c r="O12" i="4"/>
  <c r="Z11" i="4"/>
  <c r="Y11" i="4"/>
  <c r="V11" i="4"/>
  <c r="U11" i="4"/>
  <c r="R11" i="4"/>
  <c r="Q11" i="4"/>
  <c r="P11" i="4"/>
  <c r="O11" i="4"/>
  <c r="Z10" i="4"/>
  <c r="Y10" i="4"/>
  <c r="V10" i="4"/>
  <c r="U10" i="4"/>
  <c r="R10" i="4"/>
  <c r="Q10" i="4"/>
  <c r="P10" i="4"/>
  <c r="O10" i="4"/>
  <c r="Z9" i="4"/>
  <c r="Y9" i="4"/>
  <c r="V9" i="4"/>
  <c r="U9" i="4"/>
  <c r="R9" i="4"/>
  <c r="Q9" i="4"/>
  <c r="D134" i="4" s="1"/>
  <c r="P9" i="4"/>
  <c r="O9" i="4"/>
  <c r="H179" i="4" s="1"/>
  <c r="Z8" i="4"/>
  <c r="Y8" i="4"/>
  <c r="V8" i="4"/>
  <c r="U8" i="4"/>
  <c r="R8" i="4"/>
  <c r="Q8" i="4"/>
  <c r="P8" i="4"/>
  <c r="O8" i="4"/>
  <c r="Z7" i="4"/>
  <c r="Y7" i="4"/>
  <c r="V7" i="4"/>
  <c r="U7" i="4"/>
  <c r="R7" i="4"/>
  <c r="Q7" i="4"/>
  <c r="P7" i="4"/>
  <c r="O7" i="4"/>
  <c r="Z6" i="4"/>
  <c r="Y6" i="4"/>
  <c r="V6" i="4"/>
  <c r="U6" i="4"/>
  <c r="R6" i="4"/>
  <c r="Q6" i="4"/>
  <c r="P6" i="4"/>
  <c r="O6" i="4"/>
  <c r="H414" i="4" s="1"/>
  <c r="Z5" i="4"/>
  <c r="Y5" i="4"/>
  <c r="V5" i="4"/>
  <c r="U5" i="4"/>
  <c r="R5" i="4"/>
  <c r="Q5" i="4"/>
  <c r="P5" i="4"/>
  <c r="O5" i="4"/>
  <c r="Z4" i="4"/>
  <c r="Y4" i="4"/>
  <c r="V4" i="4"/>
  <c r="U4" i="4"/>
  <c r="R4" i="4"/>
  <c r="D80" i="4" s="1"/>
  <c r="Q4" i="4"/>
  <c r="P4" i="4"/>
  <c r="O4" i="4"/>
  <c r="D4" i="4"/>
  <c r="Z3" i="4"/>
  <c r="Y3" i="4"/>
  <c r="V3" i="4"/>
  <c r="U3" i="4"/>
  <c r="R3" i="4"/>
  <c r="Q3" i="4"/>
  <c r="D298" i="4" s="1"/>
  <c r="P3" i="4"/>
  <c r="O3" i="4"/>
  <c r="D500" i="3"/>
  <c r="I495" i="3"/>
  <c r="D495" i="3"/>
  <c r="C495" i="3"/>
  <c r="D487" i="3"/>
  <c r="C450" i="3"/>
  <c r="C414" i="3"/>
  <c r="I392" i="3"/>
  <c r="X45" i="3" s="1"/>
  <c r="D388" i="3"/>
  <c r="I387" i="3"/>
  <c r="C360" i="3"/>
  <c r="I356" i="3"/>
  <c r="D334" i="3"/>
  <c r="D338" i="3" s="1"/>
  <c r="T39" i="3" s="1"/>
  <c r="D333" i="3"/>
  <c r="I324" i="3"/>
  <c r="I329" i="3" s="1"/>
  <c r="X38" i="3" s="1"/>
  <c r="H324" i="3"/>
  <c r="C299" i="3"/>
  <c r="I289" i="3"/>
  <c r="H289" i="3"/>
  <c r="C288" i="3"/>
  <c r="H283" i="3"/>
  <c r="H279" i="3"/>
  <c r="H278" i="3"/>
  <c r="H245" i="3"/>
  <c r="H243" i="3"/>
  <c r="D224" i="3"/>
  <c r="D229" i="3" s="1"/>
  <c r="T27" i="3" s="1"/>
  <c r="C224" i="3"/>
  <c r="C198" i="3"/>
  <c r="C170" i="3"/>
  <c r="C134" i="3"/>
  <c r="I127" i="3"/>
  <c r="H127" i="3"/>
  <c r="D119" i="3"/>
  <c r="C119" i="3"/>
  <c r="C107" i="3"/>
  <c r="D90" i="3"/>
  <c r="H89" i="3"/>
  <c r="C82" i="3"/>
  <c r="H67" i="3"/>
  <c r="V61" i="3"/>
  <c r="U61" i="3"/>
  <c r="Z60" i="3"/>
  <c r="Y60" i="3"/>
  <c r="V60" i="3"/>
  <c r="U60" i="3"/>
  <c r="Z59" i="3"/>
  <c r="Y59" i="3"/>
  <c r="V59" i="3"/>
  <c r="U59" i="3"/>
  <c r="Z58" i="3"/>
  <c r="Y58" i="3"/>
  <c r="V58" i="3"/>
  <c r="U58" i="3"/>
  <c r="Z57" i="3"/>
  <c r="Y57" i="3"/>
  <c r="V57" i="3"/>
  <c r="U57" i="3"/>
  <c r="T57" i="3"/>
  <c r="I57" i="3"/>
  <c r="Z55" i="3"/>
  <c r="Y55" i="3"/>
  <c r="V55" i="3"/>
  <c r="U55" i="3"/>
  <c r="Z54" i="3"/>
  <c r="Y54" i="3"/>
  <c r="V54" i="3"/>
  <c r="U54" i="3"/>
  <c r="Z53" i="3"/>
  <c r="Y53" i="3"/>
  <c r="V53" i="3"/>
  <c r="U53" i="3"/>
  <c r="Z52" i="3"/>
  <c r="Y52" i="3"/>
  <c r="V52" i="3"/>
  <c r="U52" i="3"/>
  <c r="Z51" i="3"/>
  <c r="Y51" i="3"/>
  <c r="V51" i="3"/>
  <c r="U51" i="3"/>
  <c r="Z50" i="3"/>
  <c r="Y50" i="3"/>
  <c r="V50" i="3"/>
  <c r="U50" i="3"/>
  <c r="Z49" i="3"/>
  <c r="Y49" i="3"/>
  <c r="V49" i="3"/>
  <c r="U49" i="3"/>
  <c r="Z48" i="3"/>
  <c r="Y48" i="3"/>
  <c r="V48" i="3"/>
  <c r="U48" i="3"/>
  <c r="Z47" i="3"/>
  <c r="Y47" i="3"/>
  <c r="V47" i="3"/>
  <c r="U47" i="3"/>
  <c r="Z46" i="3"/>
  <c r="Y46" i="3"/>
  <c r="V46" i="3"/>
  <c r="U46" i="3"/>
  <c r="Z45" i="3"/>
  <c r="Y45" i="3"/>
  <c r="V45" i="3"/>
  <c r="U45" i="3"/>
  <c r="Z44" i="3"/>
  <c r="Y44" i="3"/>
  <c r="V44" i="3"/>
  <c r="U44" i="3"/>
  <c r="Z43" i="3"/>
  <c r="Y43" i="3"/>
  <c r="V43" i="3"/>
  <c r="U43" i="3"/>
  <c r="Z42" i="3"/>
  <c r="Y42" i="3"/>
  <c r="V42" i="3"/>
  <c r="U42" i="3"/>
  <c r="Z41" i="3"/>
  <c r="Y41" i="3"/>
  <c r="X41" i="3"/>
  <c r="V41" i="3"/>
  <c r="U41" i="3"/>
  <c r="Z40" i="3"/>
  <c r="Y40" i="3"/>
  <c r="V40" i="3"/>
  <c r="U40" i="3"/>
  <c r="Z39" i="3"/>
  <c r="Y39" i="3"/>
  <c r="V39" i="3"/>
  <c r="U39" i="3"/>
  <c r="Z38" i="3"/>
  <c r="Y38" i="3"/>
  <c r="V38" i="3"/>
  <c r="U38" i="3"/>
  <c r="Z37" i="3"/>
  <c r="Y37" i="3"/>
  <c r="V37" i="3"/>
  <c r="U37" i="3"/>
  <c r="Z36" i="3"/>
  <c r="Y36" i="3"/>
  <c r="V36" i="3"/>
  <c r="U36" i="3"/>
  <c r="Z35" i="3"/>
  <c r="Y35" i="3"/>
  <c r="V35" i="3"/>
  <c r="U35" i="3"/>
  <c r="Z34" i="3"/>
  <c r="Y34" i="3"/>
  <c r="V34" i="3"/>
  <c r="U34" i="3"/>
  <c r="Z33" i="3"/>
  <c r="Y33" i="3"/>
  <c r="V33" i="3"/>
  <c r="U33" i="3"/>
  <c r="Z32" i="3"/>
  <c r="Y32" i="3"/>
  <c r="V32" i="3"/>
  <c r="U32" i="3"/>
  <c r="Z31" i="3"/>
  <c r="Y31" i="3"/>
  <c r="V31" i="3"/>
  <c r="U31" i="3"/>
  <c r="Z30" i="3"/>
  <c r="Y30" i="3"/>
  <c r="V30" i="3"/>
  <c r="U30" i="3"/>
  <c r="Z29" i="3"/>
  <c r="Y29" i="3"/>
  <c r="V29" i="3"/>
  <c r="U29" i="3"/>
  <c r="Z28" i="3"/>
  <c r="Y28" i="3"/>
  <c r="V28" i="3"/>
  <c r="U28" i="3"/>
  <c r="Z27" i="3"/>
  <c r="Y27" i="3"/>
  <c r="V27" i="3"/>
  <c r="U27" i="3"/>
  <c r="Z26" i="3"/>
  <c r="Y26" i="3"/>
  <c r="V26" i="3"/>
  <c r="U26" i="3"/>
  <c r="Z25" i="3"/>
  <c r="Y25" i="3"/>
  <c r="V25" i="3"/>
  <c r="U25" i="3"/>
  <c r="Z24" i="3"/>
  <c r="Y24" i="3"/>
  <c r="V24" i="3"/>
  <c r="U24" i="3"/>
  <c r="Z23" i="3"/>
  <c r="Y23" i="3"/>
  <c r="V23" i="3"/>
  <c r="U23" i="3"/>
  <c r="H23" i="3"/>
  <c r="Z22" i="3"/>
  <c r="Y22" i="3"/>
  <c r="V22" i="3"/>
  <c r="U22" i="3"/>
  <c r="Z21" i="3"/>
  <c r="Y21" i="3"/>
  <c r="V21" i="3"/>
  <c r="U21" i="3"/>
  <c r="H21" i="3"/>
  <c r="Z20" i="3"/>
  <c r="Y20" i="3"/>
  <c r="V20" i="3"/>
  <c r="U20" i="3"/>
  <c r="Z19" i="3"/>
  <c r="Y19" i="3"/>
  <c r="V19" i="3"/>
  <c r="U19" i="3"/>
  <c r="Z18" i="3"/>
  <c r="Y18" i="3"/>
  <c r="V18" i="3"/>
  <c r="U18" i="3"/>
  <c r="R18" i="3"/>
  <c r="Q18" i="3"/>
  <c r="P18" i="3"/>
  <c r="O18" i="3"/>
  <c r="Z17" i="3"/>
  <c r="Y17" i="3"/>
  <c r="V17" i="3"/>
  <c r="U17" i="3"/>
  <c r="Z16" i="3"/>
  <c r="Y16" i="3"/>
  <c r="V16" i="3"/>
  <c r="U16" i="3"/>
  <c r="R16" i="3"/>
  <c r="Q16" i="3"/>
  <c r="P16" i="3"/>
  <c r="O16" i="3"/>
  <c r="Z15" i="3"/>
  <c r="Y15" i="3"/>
  <c r="V15" i="3"/>
  <c r="U15" i="3"/>
  <c r="R15" i="3"/>
  <c r="Q15" i="3"/>
  <c r="P15" i="3"/>
  <c r="O15" i="3"/>
  <c r="Z14" i="3"/>
  <c r="Y14" i="3"/>
  <c r="V14" i="3"/>
  <c r="U14" i="3"/>
  <c r="R14" i="3"/>
  <c r="Q14" i="3"/>
  <c r="P14" i="3"/>
  <c r="O14" i="3"/>
  <c r="Z13" i="3"/>
  <c r="Y13" i="3"/>
  <c r="V13" i="3"/>
  <c r="U13" i="3"/>
  <c r="R13" i="3"/>
  <c r="Q13" i="3"/>
  <c r="P13" i="3"/>
  <c r="O13" i="3"/>
  <c r="Z12" i="3"/>
  <c r="Y12" i="3"/>
  <c r="V12" i="3"/>
  <c r="U12" i="3"/>
  <c r="R12" i="3"/>
  <c r="Q12" i="3"/>
  <c r="P12" i="3"/>
  <c r="O12" i="3"/>
  <c r="Z11" i="3"/>
  <c r="Y11" i="3"/>
  <c r="V11" i="3"/>
  <c r="U11" i="3"/>
  <c r="R11" i="3"/>
  <c r="Q11" i="3"/>
  <c r="P11" i="3"/>
  <c r="O11" i="3"/>
  <c r="Z10" i="3"/>
  <c r="Y10" i="3"/>
  <c r="V10" i="3"/>
  <c r="U10" i="3"/>
  <c r="R10" i="3"/>
  <c r="Q10" i="3"/>
  <c r="P10" i="3"/>
  <c r="O10" i="3"/>
  <c r="Z9" i="3"/>
  <c r="Y9" i="3"/>
  <c r="V9" i="3"/>
  <c r="U9" i="3"/>
  <c r="R9" i="3"/>
  <c r="Q9" i="3"/>
  <c r="P9" i="3"/>
  <c r="O9" i="3"/>
  <c r="Z8" i="3"/>
  <c r="Y8" i="3"/>
  <c r="V8" i="3"/>
  <c r="U8" i="3"/>
  <c r="R8" i="3"/>
  <c r="Q8" i="3"/>
  <c r="P8" i="3"/>
  <c r="O8" i="3"/>
  <c r="H306" i="3" s="1"/>
  <c r="J306" i="3" s="1"/>
  <c r="Z7" i="3"/>
  <c r="Y7" i="3"/>
  <c r="V7" i="3"/>
  <c r="U7" i="3"/>
  <c r="R7" i="3"/>
  <c r="Q7" i="3"/>
  <c r="P7" i="3"/>
  <c r="O7" i="3"/>
  <c r="Z6" i="3"/>
  <c r="Y6" i="3"/>
  <c r="V6" i="3"/>
  <c r="U6" i="3"/>
  <c r="R6" i="3"/>
  <c r="Q6" i="3"/>
  <c r="P6" i="3"/>
  <c r="O6" i="3"/>
  <c r="Z5" i="3"/>
  <c r="Y5" i="3"/>
  <c r="V5" i="3"/>
  <c r="U5" i="3"/>
  <c r="R5" i="3"/>
  <c r="Q5" i="3"/>
  <c r="P5" i="3"/>
  <c r="O5" i="3"/>
  <c r="C522" i="3" s="1"/>
  <c r="Z4" i="3"/>
  <c r="Y4" i="3"/>
  <c r="V4" i="3"/>
  <c r="U4" i="3"/>
  <c r="R4" i="3"/>
  <c r="Q4" i="3"/>
  <c r="D369" i="3" s="1"/>
  <c r="P4" i="3"/>
  <c r="C80" i="3" s="1"/>
  <c r="O4" i="3"/>
  <c r="Z3" i="3"/>
  <c r="Y3" i="3"/>
  <c r="V3" i="3"/>
  <c r="U3" i="3"/>
  <c r="R3" i="3"/>
  <c r="Q3" i="3"/>
  <c r="P3" i="3"/>
  <c r="O3" i="3"/>
  <c r="H3" i="3"/>
  <c r="D3" i="3"/>
  <c r="C3" i="3"/>
  <c r="I62" i="11" l="1"/>
  <c r="X9" i="11" s="1"/>
  <c r="I468" i="11"/>
  <c r="I473" i="11" s="1"/>
  <c r="X54" i="11" s="1"/>
  <c r="X3" i="11"/>
  <c r="C423" i="11"/>
  <c r="I477" i="11"/>
  <c r="I482" i="11" s="1"/>
  <c r="X55" i="11" s="1"/>
  <c r="H78" i="11"/>
  <c r="D126" i="11"/>
  <c r="H522" i="11"/>
  <c r="C532" i="11"/>
  <c r="H513" i="11"/>
  <c r="H496" i="11"/>
  <c r="H477" i="11"/>
  <c r="C459" i="11"/>
  <c r="H432" i="11"/>
  <c r="C388" i="11"/>
  <c r="H369" i="11"/>
  <c r="C351" i="11"/>
  <c r="C307" i="11"/>
  <c r="H58" i="11"/>
  <c r="H306" i="11"/>
  <c r="J306" i="11" s="1"/>
  <c r="H243" i="11"/>
  <c r="C189" i="11"/>
  <c r="H128" i="11"/>
  <c r="C75" i="11"/>
  <c r="H48" i="11"/>
  <c r="H39" i="11"/>
  <c r="C32" i="11"/>
  <c r="H30" i="11"/>
  <c r="C297" i="11"/>
  <c r="C278" i="11"/>
  <c r="C260" i="11"/>
  <c r="H244" i="11"/>
  <c r="H207" i="11"/>
  <c r="C144" i="11"/>
  <c r="H129" i="11"/>
  <c r="H108" i="11"/>
  <c r="H98" i="11"/>
  <c r="C89" i="11"/>
  <c r="H79" i="11"/>
  <c r="H75" i="11"/>
  <c r="C207" i="11"/>
  <c r="H153" i="11"/>
  <c r="C119" i="11"/>
  <c r="C98" i="11"/>
  <c r="C549" i="11"/>
  <c r="C495" i="11"/>
  <c r="H450" i="11"/>
  <c r="H405" i="11"/>
  <c r="C387" i="11"/>
  <c r="H342" i="11"/>
  <c r="C324" i="11"/>
  <c r="C576" i="11"/>
  <c r="H549" i="11"/>
  <c r="H531" i="11"/>
  <c r="C513" i="11"/>
  <c r="H495" i="11"/>
  <c r="C477" i="11"/>
  <c r="C432" i="11"/>
  <c r="H406" i="11"/>
  <c r="H387" i="11"/>
  <c r="C369" i="11"/>
  <c r="H324" i="11"/>
  <c r="C58" i="11"/>
  <c r="H23" i="11"/>
  <c r="H283" i="11"/>
  <c r="H224" i="11"/>
  <c r="C172" i="11"/>
  <c r="H143" i="11"/>
  <c r="H107" i="11"/>
  <c r="C79" i="11"/>
  <c r="C531" i="11"/>
  <c r="H567" i="11"/>
  <c r="H504" i="11"/>
  <c r="H468" i="11"/>
  <c r="C450" i="11"/>
  <c r="H423" i="11"/>
  <c r="C405" i="11"/>
  <c r="C361" i="11"/>
  <c r="C342" i="11"/>
  <c r="C48" i="11"/>
  <c r="C39" i="11"/>
  <c r="C30" i="11"/>
  <c r="H21" i="11"/>
  <c r="H290" i="11"/>
  <c r="H281" i="11"/>
  <c r="C269" i="11"/>
  <c r="H251" i="11"/>
  <c r="H242" i="11"/>
  <c r="C206" i="11"/>
  <c r="C188" i="11"/>
  <c r="H170" i="11"/>
  <c r="C152" i="11"/>
  <c r="C127" i="11"/>
  <c r="H117" i="11"/>
  <c r="C92" i="11"/>
  <c r="C82" i="11"/>
  <c r="C78" i="11"/>
  <c r="C567" i="11"/>
  <c r="H541" i="11"/>
  <c r="H523" i="11"/>
  <c r="C504" i="11"/>
  <c r="C298" i="11"/>
  <c r="H288" i="11"/>
  <c r="C279" i="11"/>
  <c r="C261" i="11"/>
  <c r="H246" i="11"/>
  <c r="H233" i="11"/>
  <c r="C215" i="11"/>
  <c r="H197" i="11"/>
  <c r="H179" i="11"/>
  <c r="H161" i="11"/>
  <c r="C145" i="11"/>
  <c r="C134" i="11"/>
  <c r="H125" i="11"/>
  <c r="C116" i="11"/>
  <c r="H99" i="11"/>
  <c r="C90" i="11"/>
  <c r="H80" i="11"/>
  <c r="H76" i="11"/>
  <c r="H66" i="11"/>
  <c r="C558" i="11"/>
  <c r="H351" i="11"/>
  <c r="C4" i="11"/>
  <c r="H497" i="11"/>
  <c r="H459" i="11"/>
  <c r="C414" i="11"/>
  <c r="C370" i="11"/>
  <c r="C333" i="11"/>
  <c r="D62" i="11"/>
  <c r="T9" i="11" s="1"/>
  <c r="C80" i="11"/>
  <c r="C100" i="11"/>
  <c r="H126" i="11"/>
  <c r="H152" i="11"/>
  <c r="I197" i="11"/>
  <c r="I202" i="11" s="1"/>
  <c r="X24" i="11" s="1"/>
  <c r="H297" i="11"/>
  <c r="D378" i="11"/>
  <c r="D383" i="11" s="1"/>
  <c r="T44" i="11" s="1"/>
  <c r="C486" i="11"/>
  <c r="I522" i="11"/>
  <c r="D198" i="11"/>
  <c r="D532" i="11"/>
  <c r="I127" i="11"/>
  <c r="I130" i="11" s="1"/>
  <c r="X16" i="11" s="1"/>
  <c r="D495" i="11"/>
  <c r="D500" i="11" s="1"/>
  <c r="T57" i="11" s="1"/>
  <c r="D224" i="11"/>
  <c r="D229" i="11" s="1"/>
  <c r="T27" i="11" s="1"/>
  <c r="D118" i="11"/>
  <c r="D119" i="11"/>
  <c r="D316" i="11"/>
  <c r="D333" i="11"/>
  <c r="D338" i="11" s="1"/>
  <c r="T39" i="11" s="1"/>
  <c r="D81" i="11"/>
  <c r="I100" i="11"/>
  <c r="C243" i="11"/>
  <c r="D279" i="11"/>
  <c r="I298" i="11"/>
  <c r="D441" i="11"/>
  <c r="D446" i="11" s="1"/>
  <c r="T51" i="11" s="1"/>
  <c r="I486" i="11"/>
  <c r="I491" i="11" s="1"/>
  <c r="X56" i="11" s="1"/>
  <c r="C540" i="11"/>
  <c r="H12" i="11"/>
  <c r="D31" i="11"/>
  <c r="H67" i="11"/>
  <c r="H81" i="11"/>
  <c r="C107" i="11"/>
  <c r="D134" i="11"/>
  <c r="D139" i="11" s="1"/>
  <c r="T17" i="11" s="1"/>
  <c r="H245" i="11"/>
  <c r="H279" i="11"/>
  <c r="C299" i="11"/>
  <c r="D342" i="11"/>
  <c r="D347" i="11" s="1"/>
  <c r="T40" i="11" s="1"/>
  <c r="C396" i="11"/>
  <c r="H441" i="11"/>
  <c r="C487" i="11"/>
  <c r="D540" i="11"/>
  <c r="D545" i="11" s="1"/>
  <c r="T62" i="11" s="1"/>
  <c r="I67" i="11"/>
  <c r="I71" i="11" s="1"/>
  <c r="X10" i="11" s="1"/>
  <c r="H134" i="11"/>
  <c r="C170" i="11"/>
  <c r="H206" i="11"/>
  <c r="I246" i="11"/>
  <c r="I279" i="11"/>
  <c r="D299" i="11"/>
  <c r="D302" i="11" s="1"/>
  <c r="T35" i="11" s="1"/>
  <c r="D351" i="11"/>
  <c r="D356" i="11" s="1"/>
  <c r="T41" i="11" s="1"/>
  <c r="D396" i="11"/>
  <c r="D401" i="11" s="1"/>
  <c r="T46" i="11" s="1"/>
  <c r="H540" i="11"/>
  <c r="C40" i="11"/>
  <c r="D48" i="11"/>
  <c r="D53" i="11" s="1"/>
  <c r="T8" i="11" s="1"/>
  <c r="H82" i="11"/>
  <c r="D116" i="11"/>
  <c r="D121" i="11" s="1"/>
  <c r="T15" i="11" s="1"/>
  <c r="I134" i="11"/>
  <c r="I139" i="11" s="1"/>
  <c r="X17" i="11" s="1"/>
  <c r="D170" i="11"/>
  <c r="H280" i="11"/>
  <c r="C306" i="11"/>
  <c r="H396" i="11"/>
  <c r="I496" i="11"/>
  <c r="I540" i="11"/>
  <c r="D40" i="11"/>
  <c r="D44" i="11" s="1"/>
  <c r="T7" i="11" s="1"/>
  <c r="H89" i="11"/>
  <c r="H116" i="11"/>
  <c r="C135" i="11"/>
  <c r="C171" i="11"/>
  <c r="D215" i="11"/>
  <c r="D220" i="11" s="1"/>
  <c r="I280" i="11"/>
  <c r="D307" i="11"/>
  <c r="I396" i="11"/>
  <c r="I401" i="11" s="1"/>
  <c r="X46" i="11" s="1"/>
  <c r="H498" i="11"/>
  <c r="D135" i="11"/>
  <c r="H282" i="11"/>
  <c r="I58" i="11"/>
  <c r="H90" i="11"/>
  <c r="C143" i="11"/>
  <c r="D315" i="11"/>
  <c r="H558" i="11"/>
  <c r="I76" i="11"/>
  <c r="I90" i="11"/>
  <c r="D117" i="11"/>
  <c r="H144" i="11"/>
  <c r="C180" i="11"/>
  <c r="H216" i="11"/>
  <c r="C252" i="11"/>
  <c r="I288" i="11"/>
  <c r="H315" i="11"/>
  <c r="H360" i="11"/>
  <c r="D460" i="11"/>
  <c r="I558" i="11"/>
  <c r="I563" i="11" s="1"/>
  <c r="X64" i="11" s="1"/>
  <c r="D531" i="11"/>
  <c r="I405" i="11"/>
  <c r="I48" i="11"/>
  <c r="I39" i="11"/>
  <c r="I44" i="11" s="1"/>
  <c r="X7" i="11" s="1"/>
  <c r="D32" i="11"/>
  <c r="I30" i="11"/>
  <c r="I35" i="11" s="1"/>
  <c r="X6" i="11" s="1"/>
  <c r="D306" i="11"/>
  <c r="I269" i="11"/>
  <c r="I274" i="11" s="1"/>
  <c r="X32" i="11" s="1"/>
  <c r="D243" i="11"/>
  <c r="D247" i="11" s="1"/>
  <c r="T29" i="11" s="1"/>
  <c r="I206" i="11"/>
  <c r="D171" i="11"/>
  <c r="I82" i="11"/>
  <c r="I342" i="11"/>
  <c r="I347" i="11" s="1"/>
  <c r="X40" i="11" s="1"/>
  <c r="I291" i="11"/>
  <c r="I282" i="11"/>
  <c r="D252" i="11"/>
  <c r="I188" i="11"/>
  <c r="I193" i="11" s="1"/>
  <c r="X23" i="11" s="1"/>
  <c r="D143" i="11"/>
  <c r="I78" i="11"/>
  <c r="I143" i="11"/>
  <c r="I148" i="11" s="1"/>
  <c r="X18" i="11" s="1"/>
  <c r="I128" i="11"/>
  <c r="I107" i="11"/>
  <c r="D98" i="11"/>
  <c r="D103" i="11" s="1"/>
  <c r="T13" i="11" s="1"/>
  <c r="D79" i="11"/>
  <c r="D75" i="11"/>
  <c r="D549" i="11"/>
  <c r="D554" i="11" s="1"/>
  <c r="T63" i="11" s="1"/>
  <c r="I450" i="11"/>
  <c r="I455" i="11" s="1"/>
  <c r="X52" i="11" s="1"/>
  <c r="D387" i="11"/>
  <c r="D392" i="11" s="1"/>
  <c r="T45" i="11" s="1"/>
  <c r="D324" i="11"/>
  <c r="D329" i="11" s="1"/>
  <c r="T38" i="11" s="1"/>
  <c r="I152" i="11"/>
  <c r="D107" i="11"/>
  <c r="D112" i="11" s="1"/>
  <c r="T14" i="11" s="1"/>
  <c r="D567" i="11"/>
  <c r="D572" i="11" s="1"/>
  <c r="T65" i="11" s="1"/>
  <c r="I541" i="11"/>
  <c r="I523" i="11"/>
  <c r="D504" i="11"/>
  <c r="D509" i="11" s="1"/>
  <c r="T58" i="11" s="1"/>
  <c r="D487" i="11"/>
  <c r="D491" i="11" s="1"/>
  <c r="T56" i="11" s="1"/>
  <c r="D468" i="11"/>
  <c r="D473" i="11" s="1"/>
  <c r="T54" i="11" s="1"/>
  <c r="D423" i="11"/>
  <c r="D428" i="11" s="1"/>
  <c r="T49" i="11" s="1"/>
  <c r="I378" i="11"/>
  <c r="I383" i="11" s="1"/>
  <c r="X44" i="11" s="1"/>
  <c r="I360" i="11"/>
  <c r="I365" i="11" s="1"/>
  <c r="X42" i="11" s="1"/>
  <c r="D21" i="11"/>
  <c r="D26" i="11" s="1"/>
  <c r="T5" i="11" s="1"/>
  <c r="I12" i="11"/>
  <c r="I17" i="11" s="1"/>
  <c r="X4" i="11" s="1"/>
  <c r="D558" i="11"/>
  <c r="D563" i="11" s="1"/>
  <c r="T64" i="11" s="1"/>
  <c r="I497" i="11"/>
  <c r="I459" i="11"/>
  <c r="I464" i="11" s="1"/>
  <c r="X53" i="11" s="1"/>
  <c r="D414" i="11"/>
  <c r="D419" i="11" s="1"/>
  <c r="T48" i="11" s="1"/>
  <c r="D370" i="11"/>
  <c r="I351" i="11"/>
  <c r="I356" i="11" s="1"/>
  <c r="X41" i="11" s="1"/>
  <c r="D4" i="11"/>
  <c r="I297" i="11"/>
  <c r="I278" i="11"/>
  <c r="I245" i="11"/>
  <c r="D179" i="11"/>
  <c r="D161" i="11"/>
  <c r="D166" i="11" s="1"/>
  <c r="T20" i="11" s="1"/>
  <c r="I89" i="11"/>
  <c r="I94" i="11" s="1"/>
  <c r="X12" i="11" s="1"/>
  <c r="D80" i="11"/>
  <c r="D66" i="11"/>
  <c r="D71" i="11" s="1"/>
  <c r="T10" i="11" s="1"/>
  <c r="D288" i="11"/>
  <c r="D293" i="11" s="1"/>
  <c r="T34" i="11" s="1"/>
  <c r="I260" i="11"/>
  <c r="I265" i="11" s="1"/>
  <c r="X31" i="11" s="1"/>
  <c r="D233" i="11"/>
  <c r="D238" i="11" s="1"/>
  <c r="T28" i="11" s="1"/>
  <c r="D197" i="11"/>
  <c r="D202" i="11" s="1"/>
  <c r="T24" i="11" s="1"/>
  <c r="I144" i="11"/>
  <c r="D125" i="11"/>
  <c r="D99" i="11"/>
  <c r="D76" i="11"/>
  <c r="C77" i="11"/>
  <c r="C91" i="11"/>
  <c r="C118" i="11"/>
  <c r="D145" i="11"/>
  <c r="D180" i="11"/>
  <c r="I216" i="11"/>
  <c r="H260" i="11"/>
  <c r="C289" i="11"/>
  <c r="I315" i="11"/>
  <c r="I320" i="11" s="1"/>
  <c r="X37" i="11" s="1"/>
  <c r="D361" i="11"/>
  <c r="H414" i="11"/>
  <c r="I504" i="11"/>
  <c r="I509" i="11" s="1"/>
  <c r="X58" i="11" s="1"/>
  <c r="I116" i="11"/>
  <c r="H215" i="11"/>
  <c r="D459" i="11"/>
  <c r="I21" i="11"/>
  <c r="I26" i="11" s="1"/>
  <c r="X5" i="11" s="1"/>
  <c r="C117" i="11"/>
  <c r="I215" i="11"/>
  <c r="I220" i="11" s="1"/>
  <c r="X26" i="11" s="1"/>
  <c r="C288" i="11"/>
  <c r="D360" i="11"/>
  <c r="D405" i="11"/>
  <c r="D410" i="11" s="1"/>
  <c r="T47" i="11" s="1"/>
  <c r="C3" i="11"/>
  <c r="H49" i="11"/>
  <c r="D77" i="11"/>
  <c r="C125" i="11"/>
  <c r="C146" i="11"/>
  <c r="C224" i="11"/>
  <c r="D261" i="11"/>
  <c r="D289" i="11"/>
  <c r="C316" i="11"/>
  <c r="I369" i="11"/>
  <c r="I374" i="11" s="1"/>
  <c r="X43" i="11" s="1"/>
  <c r="I414" i="11"/>
  <c r="I419" i="11" s="1"/>
  <c r="X48" i="11" s="1"/>
  <c r="D90" i="11"/>
  <c r="I498" i="11"/>
  <c r="C76" i="11"/>
  <c r="D251" i="11"/>
  <c r="C460" i="11"/>
  <c r="D3" i="11"/>
  <c r="D8" i="11" s="1"/>
  <c r="D35" i="11"/>
  <c r="T6" i="11" s="1"/>
  <c r="I49" i="11"/>
  <c r="H77" i="11"/>
  <c r="C233" i="11"/>
  <c r="H261" i="11"/>
  <c r="H289" i="11"/>
  <c r="C468" i="11"/>
  <c r="C522" i="11"/>
  <c r="D78" i="11"/>
  <c r="D82" i="11"/>
  <c r="D92" i="11"/>
  <c r="I117" i="11"/>
  <c r="D127" i="11"/>
  <c r="D152" i="11"/>
  <c r="D157" i="11" s="1"/>
  <c r="T19" i="11" s="1"/>
  <c r="I170" i="11"/>
  <c r="I175" i="11" s="1"/>
  <c r="X21" i="11" s="1"/>
  <c r="D188" i="11"/>
  <c r="D193" i="11" s="1"/>
  <c r="T23" i="11" s="1"/>
  <c r="D206" i="11"/>
  <c r="D211" i="11" s="1"/>
  <c r="T25" i="11" s="1"/>
  <c r="I242" i="11"/>
  <c r="I251" i="11"/>
  <c r="I256" i="11" s="1"/>
  <c r="X30" i="11" s="1"/>
  <c r="D269" i="11"/>
  <c r="D274" i="11" s="1"/>
  <c r="T32" i="11" s="1"/>
  <c r="I281" i="11"/>
  <c r="I290" i="11"/>
  <c r="I153" i="11"/>
  <c r="D172" i="11"/>
  <c r="D189" i="11"/>
  <c r="D207" i="11"/>
  <c r="I224" i="11"/>
  <c r="I229" i="11" s="1"/>
  <c r="X27" i="11" s="1"/>
  <c r="I243" i="11"/>
  <c r="I283" i="11"/>
  <c r="I306" i="11"/>
  <c r="I311" i="11" s="1"/>
  <c r="X36" i="11" s="1"/>
  <c r="I23" i="11"/>
  <c r="D58" i="11"/>
  <c r="I324" i="11"/>
  <c r="I329" i="11" s="1"/>
  <c r="X38" i="11" s="1"/>
  <c r="D369" i="11"/>
  <c r="D374" i="11" s="1"/>
  <c r="T43" i="11" s="1"/>
  <c r="I387" i="11"/>
  <c r="I392" i="11" s="1"/>
  <c r="X45" i="11" s="1"/>
  <c r="I406" i="11"/>
  <c r="D432" i="11"/>
  <c r="D437" i="11" s="1"/>
  <c r="T50" i="11" s="1"/>
  <c r="D477" i="11"/>
  <c r="D482" i="11" s="1"/>
  <c r="T55" i="11" s="1"/>
  <c r="I495" i="11"/>
  <c r="D513" i="11"/>
  <c r="D518" i="11" s="1"/>
  <c r="T59" i="11" s="1"/>
  <c r="I531" i="11"/>
  <c r="I536" i="11" s="1"/>
  <c r="X61" i="11" s="1"/>
  <c r="I549" i="11"/>
  <c r="I554" i="11" s="1"/>
  <c r="X63" i="11" s="1"/>
  <c r="D576" i="11"/>
  <c r="D581" i="11" s="1"/>
  <c r="I75" i="11"/>
  <c r="I79" i="11"/>
  <c r="D89" i="11"/>
  <c r="I98" i="11"/>
  <c r="I108" i="11"/>
  <c r="I129" i="11"/>
  <c r="D144" i="11"/>
  <c r="I207" i="11"/>
  <c r="I244" i="11"/>
  <c r="D260" i="11"/>
  <c r="D278" i="11"/>
  <c r="C89" i="10"/>
  <c r="C450" i="10"/>
  <c r="C31" i="10"/>
  <c r="C75" i="10"/>
  <c r="D89" i="10"/>
  <c r="D207" i="10"/>
  <c r="H278" i="10"/>
  <c r="D307" i="10"/>
  <c r="D311" i="10" s="1"/>
  <c r="T36" i="10" s="1"/>
  <c r="D450" i="10"/>
  <c r="D455" i="10" s="1"/>
  <c r="T52" i="10" s="1"/>
  <c r="C522" i="10"/>
  <c r="C22" i="10"/>
  <c r="H75" i="10"/>
  <c r="H89" i="10"/>
  <c r="H125" i="10"/>
  <c r="C161" i="10"/>
  <c r="H207" i="10"/>
  <c r="I278" i="10"/>
  <c r="C387" i="10"/>
  <c r="H459" i="10"/>
  <c r="D522" i="10"/>
  <c r="D527" i="10" s="1"/>
  <c r="T60" i="10" s="1"/>
  <c r="H22" i="10"/>
  <c r="C57" i="10"/>
  <c r="I75" i="10"/>
  <c r="I89" i="10"/>
  <c r="I94" i="10" s="1"/>
  <c r="X12" i="10" s="1"/>
  <c r="I125" i="10"/>
  <c r="I130" i="10" s="1"/>
  <c r="X16" i="10" s="1"/>
  <c r="D161" i="10"/>
  <c r="D166" i="10" s="1"/>
  <c r="T20" i="10" s="1"/>
  <c r="H233" i="10"/>
  <c r="C279" i="10"/>
  <c r="I459" i="10"/>
  <c r="I464" i="10" s="1"/>
  <c r="X53" i="10" s="1"/>
  <c r="H531" i="10"/>
  <c r="I22" i="10"/>
  <c r="C76" i="10"/>
  <c r="C90" i="10"/>
  <c r="H127" i="10"/>
  <c r="I233" i="10"/>
  <c r="I238" i="10" s="1"/>
  <c r="X28" i="10" s="1"/>
  <c r="D279" i="10"/>
  <c r="H333" i="10"/>
  <c r="C396" i="10"/>
  <c r="D302" i="10"/>
  <c r="T35" i="10" s="1"/>
  <c r="I500" i="10"/>
  <c r="X57" i="10" s="1"/>
  <c r="D121" i="10"/>
  <c r="T15" i="10" s="1"/>
  <c r="H116" i="10"/>
  <c r="C207" i="10"/>
  <c r="D284" i="10"/>
  <c r="T33" i="10" s="1"/>
  <c r="C297" i="10"/>
  <c r="C278" i="10"/>
  <c r="C260" i="10"/>
  <c r="H244" i="10"/>
  <c r="H306" i="10"/>
  <c r="J306" i="10" s="1"/>
  <c r="H224" i="10"/>
  <c r="C549" i="10"/>
  <c r="C531" i="10"/>
  <c r="C495" i="10"/>
  <c r="C432" i="10"/>
  <c r="H406" i="10"/>
  <c r="H387" i="10"/>
  <c r="C369" i="10"/>
  <c r="H324" i="10"/>
  <c r="H206" i="10"/>
  <c r="H188" i="10"/>
  <c r="H171" i="10"/>
  <c r="H154" i="10"/>
  <c r="C144" i="10"/>
  <c r="H129" i="10"/>
  <c r="C119" i="10"/>
  <c r="H108" i="10"/>
  <c r="C98" i="10"/>
  <c r="H84" i="10"/>
  <c r="H80" i="10"/>
  <c r="H76" i="10"/>
  <c r="C67" i="10"/>
  <c r="C30" i="10"/>
  <c r="H21" i="10"/>
  <c r="H283" i="10"/>
  <c r="H243" i="10"/>
  <c r="H290" i="10"/>
  <c r="H281" i="10"/>
  <c r="C269" i="10"/>
  <c r="H251" i="10"/>
  <c r="H242" i="10"/>
  <c r="H540" i="10"/>
  <c r="H522" i="10"/>
  <c r="H486" i="10"/>
  <c r="C468" i="10"/>
  <c r="C423" i="10"/>
  <c r="H378" i="10"/>
  <c r="H360" i="10"/>
  <c r="C316" i="10"/>
  <c r="H216" i="10"/>
  <c r="C198" i="10"/>
  <c r="C180" i="10"/>
  <c r="C170" i="10"/>
  <c r="C152" i="10"/>
  <c r="H126" i="10"/>
  <c r="H567" i="10"/>
  <c r="C513" i="10"/>
  <c r="C486" i="10"/>
  <c r="C361" i="10"/>
  <c r="C306" i="10"/>
  <c r="H197" i="10"/>
  <c r="C134" i="10"/>
  <c r="H117" i="10"/>
  <c r="H79" i="10"/>
  <c r="H3" i="10"/>
  <c r="H504" i="10"/>
  <c r="C459" i="10"/>
  <c r="C333" i="10"/>
  <c r="H288" i="10"/>
  <c r="H269" i="10"/>
  <c r="C172" i="10"/>
  <c r="C117" i="10"/>
  <c r="H99" i="10"/>
  <c r="C79" i="10"/>
  <c r="H57" i="10"/>
  <c r="H39" i="10"/>
  <c r="C567" i="10"/>
  <c r="H450" i="10"/>
  <c r="C388" i="10"/>
  <c r="C360" i="10"/>
  <c r="C299" i="10"/>
  <c r="H246" i="10"/>
  <c r="C224" i="10"/>
  <c r="C197" i="10"/>
  <c r="C171" i="10"/>
  <c r="C84" i="10"/>
  <c r="C3" i="10"/>
  <c r="C558" i="10"/>
  <c r="C477" i="10"/>
  <c r="H441" i="10"/>
  <c r="H351" i="10"/>
  <c r="C298" i="10"/>
  <c r="H282" i="10"/>
  <c r="C189" i="10"/>
  <c r="H66" i="10"/>
  <c r="H48" i="10"/>
  <c r="H23" i="10"/>
  <c r="C12" i="10"/>
  <c r="C4" i="10"/>
  <c r="H497" i="10"/>
  <c r="C469" i="10"/>
  <c r="C378" i="10"/>
  <c r="C261" i="10"/>
  <c r="C243" i="10"/>
  <c r="C188" i="10"/>
  <c r="H144" i="10"/>
  <c r="C126" i="10"/>
  <c r="H82" i="10"/>
  <c r="H77" i="10"/>
  <c r="H40" i="10"/>
  <c r="C33" i="10"/>
  <c r="C21" i="10"/>
  <c r="H523" i="10"/>
  <c r="C441" i="10"/>
  <c r="H405" i="10"/>
  <c r="C351" i="10"/>
  <c r="H315" i="10"/>
  <c r="H297" i="10"/>
  <c r="H280" i="10"/>
  <c r="H161" i="10"/>
  <c r="H261" i="10"/>
  <c r="C146" i="10"/>
  <c r="H100" i="10"/>
  <c r="C82" i="10"/>
  <c r="H58" i="10"/>
  <c r="H558" i="10"/>
  <c r="C233" i="10"/>
  <c r="C99" i="10"/>
  <c r="C40" i="10"/>
  <c r="H414" i="10"/>
  <c r="C145" i="10"/>
  <c r="H81" i="10"/>
  <c r="C58" i="10"/>
  <c r="H369" i="10"/>
  <c r="C289" i="10"/>
  <c r="C179" i="10"/>
  <c r="H143" i="10"/>
  <c r="H98" i="10"/>
  <c r="H549" i="10"/>
  <c r="C414" i="10"/>
  <c r="C315" i="10"/>
  <c r="C288" i="10"/>
  <c r="C252" i="10"/>
  <c r="H215" i="10"/>
  <c r="C118" i="10"/>
  <c r="C92" i="10"/>
  <c r="C81" i="10"/>
  <c r="H67" i="10"/>
  <c r="H468" i="10"/>
  <c r="H423" i="10"/>
  <c r="C370" i="10"/>
  <c r="C324" i="10"/>
  <c r="H289" i="10"/>
  <c r="H260" i="10"/>
  <c r="H179" i="10"/>
  <c r="C125" i="10"/>
  <c r="H513" i="10"/>
  <c r="C504" i="10"/>
  <c r="H12" i="10"/>
  <c r="C77" i="10"/>
  <c r="D90" i="10"/>
  <c r="H170" i="10"/>
  <c r="H279" i="10"/>
  <c r="D396" i="10"/>
  <c r="D401" i="10" s="1"/>
  <c r="T46" i="10" s="1"/>
  <c r="C532" i="10"/>
  <c r="I12" i="10"/>
  <c r="I17" i="10" s="1"/>
  <c r="X4" i="10" s="1"/>
  <c r="D77" i="10"/>
  <c r="H128" i="10"/>
  <c r="I170" i="10"/>
  <c r="C334" i="10"/>
  <c r="H396" i="10"/>
  <c r="I477" i="10"/>
  <c r="I482" i="10" s="1"/>
  <c r="X55" i="10" s="1"/>
  <c r="H477" i="10"/>
  <c r="C32" i="10"/>
  <c r="C91" i="10"/>
  <c r="C540" i="10"/>
  <c r="D549" i="10"/>
  <c r="D554" i="10" s="1"/>
  <c r="T63" i="10" s="1"/>
  <c r="D531" i="10"/>
  <c r="D536" i="10" s="1"/>
  <c r="T61" i="10" s="1"/>
  <c r="D495" i="10"/>
  <c r="D500" i="10" s="1"/>
  <c r="T57" i="10" s="1"/>
  <c r="D432" i="10"/>
  <c r="D437" i="10" s="1"/>
  <c r="T50" i="10" s="1"/>
  <c r="I406" i="10"/>
  <c r="I387" i="10"/>
  <c r="I392" i="10" s="1"/>
  <c r="X45" i="10" s="1"/>
  <c r="D369" i="10"/>
  <c r="D374" i="10" s="1"/>
  <c r="T43" i="10" s="1"/>
  <c r="I324" i="10"/>
  <c r="I329" i="10" s="1"/>
  <c r="X38" i="10" s="1"/>
  <c r="I206" i="10"/>
  <c r="I188" i="10"/>
  <c r="I193" i="10" s="1"/>
  <c r="X23" i="10" s="1"/>
  <c r="I171" i="10"/>
  <c r="I154" i="10"/>
  <c r="D144" i="10"/>
  <c r="I129" i="10"/>
  <c r="D119" i="10"/>
  <c r="I108" i="10"/>
  <c r="D98" i="10"/>
  <c r="I84" i="10"/>
  <c r="I80" i="10"/>
  <c r="I76" i="10"/>
  <c r="D67" i="10"/>
  <c r="D30" i="10"/>
  <c r="I21" i="10"/>
  <c r="I26" i="10" s="1"/>
  <c r="X5" i="10" s="1"/>
  <c r="I128" i="10"/>
  <c r="D76" i="10"/>
  <c r="I306" i="10"/>
  <c r="I311" i="10" s="1"/>
  <c r="X36" i="10" s="1"/>
  <c r="I283" i="10"/>
  <c r="I243" i="10"/>
  <c r="I224" i="10"/>
  <c r="I229" i="10" s="1"/>
  <c r="X27" i="10" s="1"/>
  <c r="I567" i="10"/>
  <c r="I572" i="10" s="1"/>
  <c r="X65" i="10" s="1"/>
  <c r="I504" i="10"/>
  <c r="I509" i="10" s="1"/>
  <c r="X58" i="10" s="1"/>
  <c r="D469" i="10"/>
  <c r="I450" i="10"/>
  <c r="I455" i="10" s="1"/>
  <c r="X52" i="10" s="1"/>
  <c r="I405" i="10"/>
  <c r="D387" i="10"/>
  <c r="D392" i="10" s="1"/>
  <c r="T45" i="10" s="1"/>
  <c r="I342" i="10"/>
  <c r="I347" i="10" s="1"/>
  <c r="X40" i="10" s="1"/>
  <c r="D324" i="10"/>
  <c r="D329" i="10" s="1"/>
  <c r="T38" i="10" s="1"/>
  <c r="D206" i="10"/>
  <c r="D211" i="10" s="1"/>
  <c r="T25" i="10" s="1"/>
  <c r="D188" i="10"/>
  <c r="D171" i="10"/>
  <c r="I153" i="10"/>
  <c r="I157" i="10" s="1"/>
  <c r="X19" i="10" s="1"/>
  <c r="I143" i="10"/>
  <c r="D118" i="10"/>
  <c r="I107" i="10"/>
  <c r="I112" i="10" s="1"/>
  <c r="X14" i="10" s="1"/>
  <c r="D84" i="10"/>
  <c r="D80" i="10"/>
  <c r="I66" i="10"/>
  <c r="I71" i="10" s="1"/>
  <c r="X10" i="10" s="1"/>
  <c r="I57" i="10"/>
  <c r="I40" i="10"/>
  <c r="D21" i="10"/>
  <c r="D26" i="10" s="1"/>
  <c r="T5" i="10" s="1"/>
  <c r="I540" i="10"/>
  <c r="I545" i="10" s="1"/>
  <c r="X62" i="10" s="1"/>
  <c r="I522" i="10"/>
  <c r="I527" i="10" s="1"/>
  <c r="X60" i="10" s="1"/>
  <c r="I486" i="10"/>
  <c r="I491" i="10" s="1"/>
  <c r="X56" i="10" s="1"/>
  <c r="D468" i="10"/>
  <c r="D473" i="10" s="1"/>
  <c r="T54" i="10" s="1"/>
  <c r="D423" i="10"/>
  <c r="D428" i="10" s="1"/>
  <c r="T49" i="10" s="1"/>
  <c r="I378" i="10"/>
  <c r="I383" i="10" s="1"/>
  <c r="X44" i="10" s="1"/>
  <c r="I360" i="10"/>
  <c r="I365" i="10" s="1"/>
  <c r="X42" i="10" s="1"/>
  <c r="D316" i="10"/>
  <c r="I216" i="10"/>
  <c r="D198" i="10"/>
  <c r="D180" i="10"/>
  <c r="D170" i="10"/>
  <c r="D152" i="10"/>
  <c r="D157" i="10" s="1"/>
  <c r="T19" i="10" s="1"/>
  <c r="I126" i="10"/>
  <c r="D117" i="10"/>
  <c r="D91" i="10"/>
  <c r="D83" i="10"/>
  <c r="D79" i="10"/>
  <c r="D75" i="10"/>
  <c r="D33" i="10"/>
  <c r="D31" i="10"/>
  <c r="D22" i="10"/>
  <c r="D12" i="10"/>
  <c r="D17" i="10" s="1"/>
  <c r="T4" i="10" s="1"/>
  <c r="I3" i="10"/>
  <c r="I8" i="10" s="1"/>
  <c r="D299" i="10"/>
  <c r="I289" i="10"/>
  <c r="I280" i="10"/>
  <c r="D251" i="10"/>
  <c r="D242" i="10"/>
  <c r="D459" i="10"/>
  <c r="D464" i="10" s="1"/>
  <c r="T53" i="10" s="1"/>
  <c r="D333" i="10"/>
  <c r="I288" i="10"/>
  <c r="I269" i="10"/>
  <c r="I274" i="10" s="1"/>
  <c r="X32" i="10" s="1"/>
  <c r="D172" i="10"/>
  <c r="I99" i="10"/>
  <c r="I39" i="10"/>
  <c r="I44" i="10" s="1"/>
  <c r="X7" i="10" s="1"/>
  <c r="D567" i="10"/>
  <c r="D572" i="10" s="1"/>
  <c r="T65" i="10" s="1"/>
  <c r="D388" i="10"/>
  <c r="D360" i="10"/>
  <c r="D365" i="10" s="1"/>
  <c r="T42" i="10" s="1"/>
  <c r="I246" i="10"/>
  <c r="D224" i="10"/>
  <c r="D229" i="10" s="1"/>
  <c r="T27" i="10" s="1"/>
  <c r="D197" i="10"/>
  <c r="D202" i="10" s="1"/>
  <c r="T24" i="10" s="1"/>
  <c r="D3" i="10"/>
  <c r="D8" i="10" s="1"/>
  <c r="D532" i="10"/>
  <c r="D504" i="10"/>
  <c r="D509" i="10" s="1"/>
  <c r="T58" i="10" s="1"/>
  <c r="I414" i="10"/>
  <c r="I419" i="10" s="1"/>
  <c r="X48" i="10" s="1"/>
  <c r="D288" i="10"/>
  <c r="D293" i="10" s="1"/>
  <c r="T34" i="10" s="1"/>
  <c r="D269" i="10"/>
  <c r="D274" i="10" s="1"/>
  <c r="T32" i="10" s="1"/>
  <c r="D146" i="10"/>
  <c r="I116" i="10"/>
  <c r="I121" i="10" s="1"/>
  <c r="X15" i="10" s="1"/>
  <c r="D99" i="10"/>
  <c r="I78" i="10"/>
  <c r="D57" i="10"/>
  <c r="D62" i="10" s="1"/>
  <c r="T9" i="10" s="1"/>
  <c r="D39" i="10"/>
  <c r="I497" i="10"/>
  <c r="D378" i="10"/>
  <c r="D383" i="10" s="1"/>
  <c r="T44" i="10" s="1"/>
  <c r="D261" i="10"/>
  <c r="D243" i="10"/>
  <c r="I144" i="10"/>
  <c r="D126" i="10"/>
  <c r="I82" i="10"/>
  <c r="I77" i="10"/>
  <c r="I523" i="10"/>
  <c r="D441" i="10"/>
  <c r="D446" i="10" s="1"/>
  <c r="T51" i="10" s="1"/>
  <c r="D351" i="10"/>
  <c r="D356" i="10" s="1"/>
  <c r="T41" i="10" s="1"/>
  <c r="I315" i="10"/>
  <c r="I320" i="10" s="1"/>
  <c r="X37" i="10" s="1"/>
  <c r="I297" i="10"/>
  <c r="I302" i="10" s="1"/>
  <c r="X35" i="10" s="1"/>
  <c r="I281" i="10"/>
  <c r="I161" i="10"/>
  <c r="I166" i="10" s="1"/>
  <c r="X20" i="10" s="1"/>
  <c r="D92" i="10"/>
  <c r="D66" i="10"/>
  <c r="D48" i="10"/>
  <c r="D53" i="10" s="1"/>
  <c r="T8" i="10" s="1"/>
  <c r="I496" i="10"/>
  <c r="I468" i="10"/>
  <c r="I473" i="10" s="1"/>
  <c r="X54" i="10" s="1"/>
  <c r="I260" i="10"/>
  <c r="I265" i="10" s="1"/>
  <c r="X31" i="10" s="1"/>
  <c r="I242" i="10"/>
  <c r="I207" i="10"/>
  <c r="I558" i="10"/>
  <c r="I563" i="10" s="1"/>
  <c r="X64" i="10" s="1"/>
  <c r="D477" i="10"/>
  <c r="D482" i="10" s="1"/>
  <c r="T55" i="10" s="1"/>
  <c r="I423" i="10"/>
  <c r="I428" i="10" s="1"/>
  <c r="X49" i="10" s="1"/>
  <c r="D370" i="10"/>
  <c r="I290" i="10"/>
  <c r="D233" i="10"/>
  <c r="D238" i="10" s="1"/>
  <c r="T28" i="10" s="1"/>
  <c r="I179" i="10"/>
  <c r="I184" i="10" s="1"/>
  <c r="X22" i="10" s="1"/>
  <c r="D125" i="10"/>
  <c r="D130" i="10" s="1"/>
  <c r="T16" i="10" s="1"/>
  <c r="D40" i="10"/>
  <c r="I23" i="10"/>
  <c r="D145" i="10"/>
  <c r="D58" i="10"/>
  <c r="D558" i="10"/>
  <c r="D563" i="10" s="1"/>
  <c r="T64" i="10" s="1"/>
  <c r="I369" i="10"/>
  <c r="I374" i="10" s="1"/>
  <c r="X43" i="10" s="1"/>
  <c r="D289" i="10"/>
  <c r="D260" i="10"/>
  <c r="D179" i="10"/>
  <c r="I98" i="10"/>
  <c r="I549" i="10"/>
  <c r="I554" i="10" s="1"/>
  <c r="X63" i="10" s="1"/>
  <c r="D414" i="10"/>
  <c r="D419" i="10" s="1"/>
  <c r="T48" i="10" s="1"/>
  <c r="D315" i="10"/>
  <c r="D320" i="10" s="1"/>
  <c r="T37" i="10" s="1"/>
  <c r="D252" i="10"/>
  <c r="I215" i="10"/>
  <c r="I220" i="10" s="1"/>
  <c r="X26" i="10" s="1"/>
  <c r="D81" i="10"/>
  <c r="D4" i="10"/>
  <c r="D460" i="10"/>
  <c r="D143" i="10"/>
  <c r="I513" i="10"/>
  <c r="I518" i="10" s="1"/>
  <c r="X59" i="10" s="1"/>
  <c r="I81" i="10"/>
  <c r="D513" i="10"/>
  <c r="D518" i="10" s="1"/>
  <c r="T59" i="10" s="1"/>
  <c r="I67" i="10"/>
  <c r="D32" i="10"/>
  <c r="C78" i="10"/>
  <c r="I100" i="10"/>
  <c r="D134" i="10"/>
  <c r="D139" i="10" s="1"/>
  <c r="T17" i="10" s="1"/>
  <c r="C242" i="10"/>
  <c r="I282" i="10"/>
  <c r="D334" i="10"/>
  <c r="I396" i="10"/>
  <c r="I401" i="10" s="1"/>
  <c r="X46" i="10" s="1"/>
  <c r="D486" i="10"/>
  <c r="D491" i="10" s="1"/>
  <c r="T56" i="10" s="1"/>
  <c r="D540" i="10"/>
  <c r="D545" i="10" s="1"/>
  <c r="T62" i="10" s="1"/>
  <c r="C48" i="10"/>
  <c r="D78" i="10"/>
  <c r="H134" i="10"/>
  <c r="I244" i="10"/>
  <c r="C342" i="10"/>
  <c r="C405" i="10"/>
  <c r="C487" i="10"/>
  <c r="H541" i="10"/>
  <c r="H30" i="10"/>
  <c r="I48" i="10"/>
  <c r="I53" i="10" s="1"/>
  <c r="X8" i="10" s="1"/>
  <c r="I58" i="10"/>
  <c r="H78" i="10"/>
  <c r="C107" i="10"/>
  <c r="I134" i="10"/>
  <c r="I139" i="10" s="1"/>
  <c r="X17" i="10" s="1"/>
  <c r="D189" i="10"/>
  <c r="H245" i="10"/>
  <c r="H291" i="10"/>
  <c r="D342" i="10"/>
  <c r="D347" i="10" s="1"/>
  <c r="T40" i="10" s="1"/>
  <c r="D405" i="10"/>
  <c r="D410" i="10" s="1"/>
  <c r="T47" i="10" s="1"/>
  <c r="D487" i="10"/>
  <c r="I541" i="10"/>
  <c r="I30" i="10"/>
  <c r="I35" i="10" s="1"/>
  <c r="X6" i="10" s="1"/>
  <c r="C39" i="10"/>
  <c r="I79" i="10"/>
  <c r="D107" i="10"/>
  <c r="D112" i="10" s="1"/>
  <c r="T14" i="10" s="1"/>
  <c r="C135" i="10"/>
  <c r="I245" i="10"/>
  <c r="I291" i="10"/>
  <c r="H342" i="10"/>
  <c r="H22" i="9"/>
  <c r="H39" i="9"/>
  <c r="H49" i="9"/>
  <c r="C107" i="9"/>
  <c r="H153" i="9"/>
  <c r="H291" i="9"/>
  <c r="H396" i="9"/>
  <c r="H495" i="9"/>
  <c r="I39" i="9"/>
  <c r="I44" i="9" s="1"/>
  <c r="X7" i="9" s="1"/>
  <c r="H75" i="9"/>
  <c r="D107" i="9"/>
  <c r="D112" i="9" s="1"/>
  <c r="T14" i="9" s="1"/>
  <c r="I396" i="9"/>
  <c r="I401" i="9" s="1"/>
  <c r="X46" i="9" s="1"/>
  <c r="C57" i="9"/>
  <c r="I75" i="9"/>
  <c r="H107" i="9"/>
  <c r="C405" i="9"/>
  <c r="H496" i="9"/>
  <c r="I30" i="9"/>
  <c r="I35" i="9" s="1"/>
  <c r="X6" i="9" s="1"/>
  <c r="D57" i="9"/>
  <c r="D62" i="9" s="1"/>
  <c r="T9" i="9" s="1"/>
  <c r="C76" i="9"/>
  <c r="C161" i="9"/>
  <c r="D252" i="9"/>
  <c r="C315" i="9"/>
  <c r="D405" i="9"/>
  <c r="D410" i="9" s="1"/>
  <c r="T47" i="9" s="1"/>
  <c r="D278" i="9"/>
  <c r="D284" i="9" s="1"/>
  <c r="T33" i="9" s="1"/>
  <c r="D460" i="9"/>
  <c r="I291" i="9"/>
  <c r="H57" i="9"/>
  <c r="C77" i="9"/>
  <c r="I109" i="9"/>
  <c r="D161" i="9"/>
  <c r="D166" i="9" s="1"/>
  <c r="T20" i="9" s="1"/>
  <c r="D260" i="9"/>
  <c r="D315" i="9"/>
  <c r="D320" i="9" s="1"/>
  <c r="T37" i="9" s="1"/>
  <c r="D522" i="9"/>
  <c r="D527" i="9" s="1"/>
  <c r="T60" i="9" s="1"/>
  <c r="D139" i="9"/>
  <c r="T17" i="9" s="1"/>
  <c r="H289" i="9"/>
  <c r="I179" i="9"/>
  <c r="I184" i="9" s="1"/>
  <c r="X22" i="9" s="1"/>
  <c r="H260" i="9"/>
  <c r="H315" i="9"/>
  <c r="H523" i="9"/>
  <c r="H78" i="9"/>
  <c r="I260" i="9"/>
  <c r="I265" i="9" s="1"/>
  <c r="X31" i="9" s="1"/>
  <c r="I315" i="9"/>
  <c r="I320" i="9" s="1"/>
  <c r="X37" i="9" s="1"/>
  <c r="C441" i="9"/>
  <c r="D78" i="9"/>
  <c r="I523" i="9"/>
  <c r="C3" i="9"/>
  <c r="I78" i="9"/>
  <c r="C261" i="9"/>
  <c r="D441" i="9"/>
  <c r="D446" i="9" s="1"/>
  <c r="T51" i="9" s="1"/>
  <c r="D3" i="9"/>
  <c r="D8" i="9" s="1"/>
  <c r="C84" i="9"/>
  <c r="D261" i="9"/>
  <c r="H3" i="9"/>
  <c r="C21" i="9"/>
  <c r="C189" i="9"/>
  <c r="H261" i="9"/>
  <c r="H351" i="9"/>
  <c r="C297" i="9"/>
  <c r="C278" i="9"/>
  <c r="C260" i="9"/>
  <c r="H244" i="9"/>
  <c r="H224" i="9"/>
  <c r="C549" i="9"/>
  <c r="C531" i="9"/>
  <c r="C495" i="9"/>
  <c r="C432" i="9"/>
  <c r="H406" i="9"/>
  <c r="H387" i="9"/>
  <c r="C369" i="9"/>
  <c r="H324" i="9"/>
  <c r="H206" i="9"/>
  <c r="H188" i="9"/>
  <c r="H171" i="9"/>
  <c r="H154" i="9"/>
  <c r="C144" i="9"/>
  <c r="H129" i="9"/>
  <c r="C119" i="9"/>
  <c r="H108" i="9"/>
  <c r="C98" i="9"/>
  <c r="H84" i="9"/>
  <c r="H80" i="9"/>
  <c r="H76" i="9"/>
  <c r="C67" i="9"/>
  <c r="C30" i="9"/>
  <c r="H21" i="9"/>
  <c r="H306" i="9"/>
  <c r="J306" i="9" s="1"/>
  <c r="H283" i="9"/>
  <c r="H243" i="9"/>
  <c r="H290" i="9"/>
  <c r="H281" i="9"/>
  <c r="C269" i="9"/>
  <c r="H251" i="9"/>
  <c r="H242" i="9"/>
  <c r="H540" i="9"/>
  <c r="H522" i="9"/>
  <c r="H486" i="9"/>
  <c r="C468" i="9"/>
  <c r="C423" i="9"/>
  <c r="H378" i="9"/>
  <c r="H360" i="9"/>
  <c r="C316" i="9"/>
  <c r="H216" i="9"/>
  <c r="C198" i="9"/>
  <c r="C180" i="9"/>
  <c r="C170" i="9"/>
  <c r="C152" i="9"/>
  <c r="H126" i="9"/>
  <c r="C117" i="9"/>
  <c r="C91" i="9"/>
  <c r="C83" i="9"/>
  <c r="C79" i="9"/>
  <c r="C75" i="9"/>
  <c r="C33" i="9"/>
  <c r="C31" i="9"/>
  <c r="C22" i="9"/>
  <c r="H567" i="9"/>
  <c r="C513" i="9"/>
  <c r="C486" i="9"/>
  <c r="C361" i="9"/>
  <c r="C306" i="9"/>
  <c r="H197" i="9"/>
  <c r="C134" i="9"/>
  <c r="H117" i="9"/>
  <c r="C78" i="9"/>
  <c r="H66" i="9"/>
  <c r="C197" i="9"/>
  <c r="C32" i="9"/>
  <c r="C532" i="9"/>
  <c r="C504" i="9"/>
  <c r="H414" i="9"/>
  <c r="C288" i="9"/>
  <c r="H128" i="9"/>
  <c r="H82" i="9"/>
  <c r="H558" i="9"/>
  <c r="H504" i="9"/>
  <c r="C459" i="9"/>
  <c r="C333" i="9"/>
  <c r="H288" i="9"/>
  <c r="H269" i="9"/>
  <c r="C172" i="9"/>
  <c r="C99" i="9"/>
  <c r="H83" i="9"/>
  <c r="H58" i="9"/>
  <c r="H12" i="9"/>
  <c r="C4" i="9"/>
  <c r="C567" i="9"/>
  <c r="H450" i="9"/>
  <c r="C388" i="9"/>
  <c r="C360" i="9"/>
  <c r="C299" i="9"/>
  <c r="H246" i="9"/>
  <c r="C224" i="9"/>
  <c r="C171" i="9"/>
  <c r="H116" i="9"/>
  <c r="H77" i="9"/>
  <c r="C66" i="9"/>
  <c r="C12" i="9"/>
  <c r="C387" i="9"/>
  <c r="C146" i="9"/>
  <c r="H98" i="9"/>
  <c r="C58" i="9"/>
  <c r="H477" i="9"/>
  <c r="C450" i="9"/>
  <c r="C324" i="9"/>
  <c r="H298" i="9"/>
  <c r="H245" i="9"/>
  <c r="H170" i="9"/>
  <c r="C522" i="9"/>
  <c r="C396" i="9"/>
  <c r="C351" i="9"/>
  <c r="C252" i="9"/>
  <c r="H179" i="9"/>
  <c r="C469" i="9"/>
  <c r="H432" i="9"/>
  <c r="C342" i="9"/>
  <c r="H279" i="9"/>
  <c r="H144" i="9"/>
  <c r="H99" i="9"/>
  <c r="H81" i="9"/>
  <c r="H40" i="9"/>
  <c r="H513" i="9"/>
  <c r="C378" i="9"/>
  <c r="C298" i="9"/>
  <c r="H468" i="9"/>
  <c r="H498" i="9"/>
  <c r="H423" i="9"/>
  <c r="H297" i="9"/>
  <c r="C243" i="9"/>
  <c r="C206" i="9"/>
  <c r="C143" i="9"/>
  <c r="C92" i="9"/>
  <c r="H541" i="9"/>
  <c r="C370" i="9"/>
  <c r="H161" i="9"/>
  <c r="C558" i="9"/>
  <c r="H342" i="9"/>
  <c r="C307" i="9"/>
  <c r="H280" i="9"/>
  <c r="C145" i="9"/>
  <c r="H125" i="9"/>
  <c r="H100" i="9"/>
  <c r="C82" i="9"/>
  <c r="H23" i="9"/>
  <c r="C477" i="9"/>
  <c r="C251" i="9"/>
  <c r="C179" i="9"/>
  <c r="H207" i="9"/>
  <c r="C125" i="9"/>
  <c r="H143" i="9"/>
  <c r="H549" i="9"/>
  <c r="C334" i="9"/>
  <c r="C279" i="9"/>
  <c r="C207" i="9"/>
  <c r="C81" i="9"/>
  <c r="C40" i="9"/>
  <c r="C118" i="9"/>
  <c r="C80" i="9"/>
  <c r="C414" i="9"/>
  <c r="H333" i="9"/>
  <c r="H278" i="9"/>
  <c r="H67" i="9"/>
  <c r="H48" i="9"/>
  <c r="H497" i="9"/>
  <c r="C242" i="9"/>
  <c r="C135" i="9"/>
  <c r="C116" i="9"/>
  <c r="H79" i="9"/>
  <c r="C48" i="9"/>
  <c r="D189" i="9"/>
  <c r="H282" i="9"/>
  <c r="I351" i="9"/>
  <c r="I356" i="9" s="1"/>
  <c r="X41" i="9" s="1"/>
  <c r="H459" i="9"/>
  <c r="D540" i="9"/>
  <c r="D545" i="9" s="1"/>
  <c r="T62" i="9" s="1"/>
  <c r="I22" i="9"/>
  <c r="D90" i="9"/>
  <c r="D94" i="9" s="1"/>
  <c r="T12" i="9" s="1"/>
  <c r="D135" i="9"/>
  <c r="I161" i="9"/>
  <c r="I166" i="9" s="1"/>
  <c r="X20" i="9" s="1"/>
  <c r="I242" i="9"/>
  <c r="D297" i="9"/>
  <c r="D370" i="9"/>
  <c r="I497" i="9"/>
  <c r="I48" i="9"/>
  <c r="I278" i="9"/>
  <c r="D40" i="9"/>
  <c r="D44" i="9" s="1"/>
  <c r="T7" i="9" s="1"/>
  <c r="D81" i="9"/>
  <c r="D279" i="9"/>
  <c r="I549" i="9"/>
  <c r="I554" i="9" s="1"/>
  <c r="X63" i="9" s="1"/>
  <c r="D298" i="9"/>
  <c r="I81" i="9"/>
  <c r="I99" i="9"/>
  <c r="D125" i="9"/>
  <c r="D130" i="9" s="1"/>
  <c r="T16" i="9" s="1"/>
  <c r="I144" i="9"/>
  <c r="I207" i="9"/>
  <c r="I279" i="9"/>
  <c r="D306" i="9"/>
  <c r="D342" i="9"/>
  <c r="D347" i="9" s="1"/>
  <c r="T40" i="9" s="1"/>
  <c r="I432" i="9"/>
  <c r="I437" i="9" s="1"/>
  <c r="X50" i="9" s="1"/>
  <c r="D179" i="9"/>
  <c r="I251" i="9"/>
  <c r="I256" i="9" s="1"/>
  <c r="X30" i="9" s="1"/>
  <c r="D549" i="9"/>
  <c r="D554" i="9" s="1"/>
  <c r="T63" i="9" s="1"/>
  <c r="D531" i="9"/>
  <c r="D536" i="9" s="1"/>
  <c r="T61" i="9" s="1"/>
  <c r="D495" i="9"/>
  <c r="D500" i="9" s="1"/>
  <c r="T57" i="9" s="1"/>
  <c r="D432" i="9"/>
  <c r="D437" i="9" s="1"/>
  <c r="T50" i="9" s="1"/>
  <c r="I406" i="9"/>
  <c r="I387" i="9"/>
  <c r="I392" i="9" s="1"/>
  <c r="X45" i="9" s="1"/>
  <c r="D369" i="9"/>
  <c r="D374" i="9" s="1"/>
  <c r="T43" i="9" s="1"/>
  <c r="I324" i="9"/>
  <c r="I329" i="9" s="1"/>
  <c r="X38" i="9" s="1"/>
  <c r="I206" i="9"/>
  <c r="I188" i="9"/>
  <c r="I193" i="9" s="1"/>
  <c r="X23" i="9" s="1"/>
  <c r="I171" i="9"/>
  <c r="I154" i="9"/>
  <c r="D144" i="9"/>
  <c r="I129" i="9"/>
  <c r="D119" i="9"/>
  <c r="I108" i="9"/>
  <c r="D98" i="9"/>
  <c r="I84" i="9"/>
  <c r="I80" i="9"/>
  <c r="I76" i="9"/>
  <c r="D67" i="9"/>
  <c r="D30" i="9"/>
  <c r="I21" i="9"/>
  <c r="I26" i="9" s="1"/>
  <c r="X5" i="9" s="1"/>
  <c r="I567" i="9"/>
  <c r="I572" i="9" s="1"/>
  <c r="X65" i="9" s="1"/>
  <c r="D387" i="9"/>
  <c r="D324" i="9"/>
  <c r="D329" i="9" s="1"/>
  <c r="T38" i="9" s="1"/>
  <c r="I153" i="9"/>
  <c r="I157" i="9" s="1"/>
  <c r="X19" i="9" s="1"/>
  <c r="D118" i="9"/>
  <c r="D80" i="9"/>
  <c r="I66" i="9"/>
  <c r="I306" i="9"/>
  <c r="I311" i="9" s="1"/>
  <c r="X36" i="9" s="1"/>
  <c r="I283" i="9"/>
  <c r="I243" i="9"/>
  <c r="I224" i="9"/>
  <c r="I229" i="9" s="1"/>
  <c r="X27" i="9" s="1"/>
  <c r="I504" i="9"/>
  <c r="I509" i="9" s="1"/>
  <c r="X58" i="9" s="1"/>
  <c r="D469" i="9"/>
  <c r="I450" i="9"/>
  <c r="I455" i="9" s="1"/>
  <c r="X52" i="9" s="1"/>
  <c r="I405" i="9"/>
  <c r="I410" i="9" s="1"/>
  <c r="X47" i="9" s="1"/>
  <c r="I342" i="9"/>
  <c r="I347" i="9" s="1"/>
  <c r="X40" i="9" s="1"/>
  <c r="D206" i="9"/>
  <c r="D211" i="9" s="1"/>
  <c r="T25" i="9" s="1"/>
  <c r="D188" i="9"/>
  <c r="D171" i="9"/>
  <c r="I143" i="9"/>
  <c r="I148" i="9" s="1"/>
  <c r="X18" i="9" s="1"/>
  <c r="I128" i="9"/>
  <c r="I107" i="9"/>
  <c r="D84" i="9"/>
  <c r="D76" i="9"/>
  <c r="I57" i="9"/>
  <c r="I40" i="9"/>
  <c r="D21" i="9"/>
  <c r="I540" i="9"/>
  <c r="I545" i="9" s="1"/>
  <c r="X62" i="9" s="1"/>
  <c r="I522" i="9"/>
  <c r="I527" i="9" s="1"/>
  <c r="X60" i="9" s="1"/>
  <c r="I486" i="9"/>
  <c r="I491" i="9" s="1"/>
  <c r="X56" i="9" s="1"/>
  <c r="D468" i="9"/>
  <c r="D473" i="9" s="1"/>
  <c r="T54" i="9" s="1"/>
  <c r="D423" i="9"/>
  <c r="D428" i="9" s="1"/>
  <c r="T49" i="9" s="1"/>
  <c r="I378" i="9"/>
  <c r="I383" i="9" s="1"/>
  <c r="X44" i="9" s="1"/>
  <c r="I360" i="9"/>
  <c r="I365" i="9" s="1"/>
  <c r="X42" i="9" s="1"/>
  <c r="D316" i="9"/>
  <c r="I216" i="9"/>
  <c r="D198" i="9"/>
  <c r="D180" i="9"/>
  <c r="D170" i="9"/>
  <c r="D152" i="9"/>
  <c r="D157" i="9" s="1"/>
  <c r="T19" i="9" s="1"/>
  <c r="I126" i="9"/>
  <c r="D117" i="9"/>
  <c r="D91" i="9"/>
  <c r="D83" i="9"/>
  <c r="D79" i="9"/>
  <c r="D75" i="9"/>
  <c r="D33" i="9"/>
  <c r="D31" i="9"/>
  <c r="D22" i="9"/>
  <c r="D12" i="9"/>
  <c r="D17" i="9" s="1"/>
  <c r="T4" i="9" s="1"/>
  <c r="I3" i="9"/>
  <c r="I8" i="9" s="1"/>
  <c r="D299" i="9"/>
  <c r="I289" i="9"/>
  <c r="I280" i="9"/>
  <c r="D251" i="9"/>
  <c r="D242" i="9"/>
  <c r="D459" i="9"/>
  <c r="D333" i="9"/>
  <c r="I288" i="9"/>
  <c r="I269" i="9"/>
  <c r="I274" i="9" s="1"/>
  <c r="X32" i="9" s="1"/>
  <c r="D172" i="9"/>
  <c r="D99" i="9"/>
  <c r="I83" i="9"/>
  <c r="I58" i="9"/>
  <c r="I12" i="9"/>
  <c r="I17" i="9" s="1"/>
  <c r="X4" i="9" s="1"/>
  <c r="D4" i="9"/>
  <c r="D532" i="9"/>
  <c r="I82" i="9"/>
  <c r="I477" i="9"/>
  <c r="I482" i="9" s="1"/>
  <c r="X55" i="9" s="1"/>
  <c r="D450" i="9"/>
  <c r="D455" i="9" s="1"/>
  <c r="T52" i="9" s="1"/>
  <c r="I170" i="9"/>
  <c r="I175" i="9" s="1"/>
  <c r="X21" i="9" s="1"/>
  <c r="I49" i="9"/>
  <c r="D567" i="9"/>
  <c r="D572" i="9" s="1"/>
  <c r="T65" i="9" s="1"/>
  <c r="D388" i="9"/>
  <c r="D360" i="9"/>
  <c r="D365" i="9" s="1"/>
  <c r="T42" i="9" s="1"/>
  <c r="I246" i="9"/>
  <c r="D224" i="9"/>
  <c r="D229" i="9" s="1"/>
  <c r="T27" i="9" s="1"/>
  <c r="D197" i="9"/>
  <c r="D202" i="9" s="1"/>
  <c r="T24" i="9" s="1"/>
  <c r="I116" i="9"/>
  <c r="I121" i="9" s="1"/>
  <c r="X15" i="9" s="1"/>
  <c r="I77" i="9"/>
  <c r="D66" i="9"/>
  <c r="D71" i="9" s="1"/>
  <c r="T10" i="9" s="1"/>
  <c r="D32" i="9"/>
  <c r="D504" i="9"/>
  <c r="D509" i="9" s="1"/>
  <c r="T58" i="9" s="1"/>
  <c r="I414" i="9"/>
  <c r="I419" i="9" s="1"/>
  <c r="X48" i="9" s="1"/>
  <c r="D288" i="9"/>
  <c r="D293" i="9" s="1"/>
  <c r="T34" i="9" s="1"/>
  <c r="D269" i="9"/>
  <c r="D274" i="9" s="1"/>
  <c r="T32" i="9" s="1"/>
  <c r="D146" i="9"/>
  <c r="I98" i="9"/>
  <c r="D58" i="9"/>
  <c r="I558" i="9"/>
  <c r="I563" i="9" s="1"/>
  <c r="X64" i="9" s="1"/>
  <c r="I298" i="9"/>
  <c r="I245" i="9"/>
  <c r="D116" i="9"/>
  <c r="D121" i="9" s="1"/>
  <c r="T15" i="9" s="1"/>
  <c r="D77" i="9"/>
  <c r="I531" i="9"/>
  <c r="I536" i="9" s="1"/>
  <c r="X61" i="9" s="1"/>
  <c r="I498" i="9"/>
  <c r="I500" i="9" s="1"/>
  <c r="X57" i="9" s="1"/>
  <c r="D414" i="9"/>
  <c r="D419" i="9" s="1"/>
  <c r="T48" i="9" s="1"/>
  <c r="I261" i="9"/>
  <c r="I215" i="9"/>
  <c r="I79" i="9"/>
  <c r="I117" i="9"/>
  <c r="I541" i="9"/>
  <c r="I67" i="9"/>
  <c r="I333" i="9"/>
  <c r="I338" i="9" s="1"/>
  <c r="X39" i="9" s="1"/>
  <c r="D92" i="9"/>
  <c r="D143" i="9"/>
  <c r="D148" i="9" s="1"/>
  <c r="T18" i="9" s="1"/>
  <c r="D243" i="9"/>
  <c r="I297" i="9"/>
  <c r="I302" i="9" s="1"/>
  <c r="X35" i="9" s="1"/>
  <c r="I423" i="9"/>
  <c r="I428" i="9" s="1"/>
  <c r="X49" i="9" s="1"/>
  <c r="D513" i="9"/>
  <c r="D518" i="9" s="1"/>
  <c r="T59" i="9" s="1"/>
  <c r="D207" i="9"/>
  <c r="I244" i="9"/>
  <c r="D334" i="9"/>
  <c r="I468" i="9"/>
  <c r="I473" i="9" s="1"/>
  <c r="X54" i="9" s="1"/>
  <c r="D378" i="9"/>
  <c r="D383" i="9" s="1"/>
  <c r="T44" i="9" s="1"/>
  <c r="I513" i="9"/>
  <c r="I518" i="9" s="1"/>
  <c r="X59" i="9" s="1"/>
  <c r="I23" i="9"/>
  <c r="D82" i="9"/>
  <c r="I100" i="9"/>
  <c r="I125" i="9"/>
  <c r="D145" i="9"/>
  <c r="I281" i="9"/>
  <c r="D307" i="9"/>
  <c r="D486" i="9"/>
  <c r="D491" i="9" s="1"/>
  <c r="T56" i="9" s="1"/>
  <c r="D558" i="9"/>
  <c r="D563" i="9" s="1"/>
  <c r="T64" i="9" s="1"/>
  <c r="C143" i="8"/>
  <c r="D252" i="8"/>
  <c r="D414" i="8"/>
  <c r="D419" i="8" s="1"/>
  <c r="T48" i="8" s="1"/>
  <c r="D143" i="8"/>
  <c r="H414" i="8"/>
  <c r="H23" i="8"/>
  <c r="I84" i="8"/>
  <c r="I291" i="8"/>
  <c r="I414" i="8"/>
  <c r="I419" i="8" s="1"/>
  <c r="X48" i="8" s="1"/>
  <c r="C76" i="8"/>
  <c r="I143" i="8"/>
  <c r="I148" i="8" s="1"/>
  <c r="X18" i="8" s="1"/>
  <c r="D78" i="8"/>
  <c r="D117" i="8"/>
  <c r="I179" i="8"/>
  <c r="I184" i="8" s="1"/>
  <c r="X22" i="8" s="1"/>
  <c r="C306" i="8"/>
  <c r="C30" i="8"/>
  <c r="H78" i="8"/>
  <c r="D306" i="8"/>
  <c r="C423" i="8"/>
  <c r="H540" i="8"/>
  <c r="I78" i="8"/>
  <c r="C188" i="8"/>
  <c r="C279" i="8"/>
  <c r="D361" i="8"/>
  <c r="I541" i="8"/>
  <c r="C81" i="8"/>
  <c r="C40" i="8"/>
  <c r="H3" i="8"/>
  <c r="H281" i="8"/>
  <c r="H261" i="8"/>
  <c r="H215" i="8"/>
  <c r="H290" i="8"/>
  <c r="C172" i="8"/>
  <c r="I290" i="8"/>
  <c r="C469" i="8"/>
  <c r="H84" i="8"/>
  <c r="H216" i="8"/>
  <c r="I342" i="8"/>
  <c r="I347" i="8" s="1"/>
  <c r="X40" i="8" s="1"/>
  <c r="C75" i="8"/>
  <c r="H143" i="8"/>
  <c r="D360" i="8"/>
  <c r="D365" i="8" s="1"/>
  <c r="T42" i="8" s="1"/>
  <c r="H179" i="8"/>
  <c r="H298" i="8"/>
  <c r="I477" i="8"/>
  <c r="I482" i="8" s="1"/>
  <c r="X55" i="8" s="1"/>
  <c r="D90" i="8"/>
  <c r="D261" i="8"/>
  <c r="C180" i="8"/>
  <c r="C361" i="8"/>
  <c r="I486" i="8"/>
  <c r="I491" i="8" s="1"/>
  <c r="X56" i="8" s="1"/>
  <c r="C299" i="8"/>
  <c r="C79" i="8"/>
  <c r="C98" i="8"/>
  <c r="H153" i="8"/>
  <c r="D279" i="8"/>
  <c r="I306" i="8"/>
  <c r="I311" i="8" s="1"/>
  <c r="X36" i="8" s="1"/>
  <c r="D172" i="8"/>
  <c r="H523" i="8"/>
  <c r="I116" i="8"/>
  <c r="I121" i="8" s="1"/>
  <c r="X15" i="8" s="1"/>
  <c r="H360" i="8"/>
  <c r="D79" i="8"/>
  <c r="D126" i="8"/>
  <c r="H197" i="8"/>
  <c r="H279" i="8"/>
  <c r="I441" i="8"/>
  <c r="I446" i="8" s="1"/>
  <c r="X51" i="8" s="1"/>
  <c r="I497" i="8"/>
  <c r="H57" i="8"/>
  <c r="H98" i="8"/>
  <c r="H154" i="8"/>
  <c r="I279" i="8"/>
  <c r="C549" i="8"/>
  <c r="D22" i="8"/>
  <c r="I79" i="8"/>
  <c r="I498" i="8"/>
  <c r="C12" i="8"/>
  <c r="I80" i="8"/>
  <c r="I211" i="8"/>
  <c r="X25" i="8" s="1"/>
  <c r="H83" i="8"/>
  <c r="C252" i="8"/>
  <c r="H522" i="8"/>
  <c r="I83" i="8"/>
  <c r="I215" i="8"/>
  <c r="I522" i="8"/>
  <c r="H116" i="8"/>
  <c r="H291" i="8"/>
  <c r="D469" i="8"/>
  <c r="C21" i="8"/>
  <c r="I216" i="8"/>
  <c r="I523" i="8"/>
  <c r="D21" i="8"/>
  <c r="D26" i="8" s="1"/>
  <c r="T5" i="8" s="1"/>
  <c r="C117" i="8"/>
  <c r="C261" i="8"/>
  <c r="D558" i="8"/>
  <c r="D563" i="8" s="1"/>
  <c r="T64" i="8" s="1"/>
  <c r="I450" i="8"/>
  <c r="I455" i="8" s="1"/>
  <c r="X52" i="8" s="1"/>
  <c r="D423" i="8"/>
  <c r="D428" i="8" s="1"/>
  <c r="T49" i="8" s="1"/>
  <c r="D396" i="8"/>
  <c r="D401" i="8" s="1"/>
  <c r="T46" i="8" s="1"/>
  <c r="D315" i="8"/>
  <c r="D320" i="8" s="1"/>
  <c r="T37" i="8" s="1"/>
  <c r="I243" i="8"/>
  <c r="D98" i="8"/>
  <c r="D103" i="8" s="1"/>
  <c r="T13" i="8" s="1"/>
  <c r="I153" i="8"/>
  <c r="D242" i="8"/>
  <c r="H66" i="8"/>
  <c r="I197" i="8"/>
  <c r="I202" i="8" s="1"/>
  <c r="X24" i="8" s="1"/>
  <c r="H242" i="8"/>
  <c r="H498" i="8"/>
  <c r="D31" i="8"/>
  <c r="I57" i="8"/>
  <c r="I98" i="8"/>
  <c r="I154" i="8"/>
  <c r="C198" i="8"/>
  <c r="I242" i="8"/>
  <c r="I247" i="8" s="1"/>
  <c r="X29" i="8" s="1"/>
  <c r="H280" i="8"/>
  <c r="C387" i="8"/>
  <c r="H22" i="8"/>
  <c r="D198" i="8"/>
  <c r="C243" i="8"/>
  <c r="I280" i="8"/>
  <c r="D387" i="8"/>
  <c r="C450" i="8"/>
  <c r="C558" i="8"/>
  <c r="C298" i="8"/>
  <c r="D12" i="8"/>
  <c r="D17" i="8" s="1"/>
  <c r="T4" i="8" s="1"/>
  <c r="I22" i="8"/>
  <c r="D67" i="8"/>
  <c r="H100" i="8"/>
  <c r="D243" i="8"/>
  <c r="H558" i="8"/>
  <c r="C119" i="8"/>
  <c r="H224" i="8"/>
  <c r="H12" i="8"/>
  <c r="C107" i="8"/>
  <c r="H128" i="8"/>
  <c r="C161" i="8"/>
  <c r="H289" i="8"/>
  <c r="H450" i="8"/>
  <c r="I504" i="8"/>
  <c r="I509" i="8" s="1"/>
  <c r="X58" i="8" s="1"/>
  <c r="H21" i="8"/>
  <c r="D30" i="8"/>
  <c r="C32" i="8"/>
  <c r="D75" i="8"/>
  <c r="I100" i="8"/>
  <c r="I128" i="8"/>
  <c r="H144" i="8"/>
  <c r="D180" i="8"/>
  <c r="C206" i="8"/>
  <c r="D224" i="8"/>
  <c r="D229" i="8" s="1"/>
  <c r="T27" i="8" s="1"/>
  <c r="H244" i="8"/>
  <c r="I261" i="8"/>
  <c r="I281" i="8"/>
  <c r="H315" i="8"/>
  <c r="C342" i="8"/>
  <c r="C369" i="8"/>
  <c r="H396" i="8"/>
  <c r="C486" i="8"/>
  <c r="C531" i="8"/>
  <c r="I3" i="8"/>
  <c r="I8" i="8" s="1"/>
  <c r="I21" i="8"/>
  <c r="D32" i="8"/>
  <c r="I58" i="8"/>
  <c r="C66" i="8"/>
  <c r="H75" i="8"/>
  <c r="D80" i="8"/>
  <c r="C89" i="8"/>
  <c r="I117" i="8"/>
  <c r="H129" i="8"/>
  <c r="I144" i="8"/>
  <c r="D206" i="8"/>
  <c r="H246" i="8"/>
  <c r="H282" i="8"/>
  <c r="I315" i="8"/>
  <c r="I320" i="8" s="1"/>
  <c r="X37" i="8" s="1"/>
  <c r="D342" i="8"/>
  <c r="D347" i="8" s="1"/>
  <c r="T40" i="8" s="1"/>
  <c r="D370" i="8"/>
  <c r="I396" i="8"/>
  <c r="I401" i="8" s="1"/>
  <c r="X46" i="8" s="1"/>
  <c r="I423" i="8"/>
  <c r="I428" i="8" s="1"/>
  <c r="X49" i="8" s="1"/>
  <c r="I459" i="8"/>
  <c r="I464" i="8" s="1"/>
  <c r="X53" i="8" s="1"/>
  <c r="D486" i="8"/>
  <c r="D504" i="8"/>
  <c r="D509" i="8" s="1"/>
  <c r="T58" i="8" s="1"/>
  <c r="D532" i="8"/>
  <c r="I558" i="8"/>
  <c r="I563" i="8" s="1"/>
  <c r="X64" i="8" s="1"/>
  <c r="H30" i="8"/>
  <c r="C532" i="8"/>
  <c r="H513" i="8"/>
  <c r="H496" i="8"/>
  <c r="H477" i="8"/>
  <c r="H459" i="8"/>
  <c r="C414" i="8"/>
  <c r="C370" i="8"/>
  <c r="H351" i="8"/>
  <c r="C333" i="8"/>
  <c r="H58" i="8"/>
  <c r="C576" i="8"/>
  <c r="H531" i="8"/>
  <c r="C513" i="8"/>
  <c r="H495" i="8"/>
  <c r="C477" i="8"/>
  <c r="C459" i="8"/>
  <c r="H432" i="8"/>
  <c r="C388" i="8"/>
  <c r="H369" i="8"/>
  <c r="C351" i="8"/>
  <c r="C307" i="8"/>
  <c r="C297" i="8"/>
  <c r="C278" i="8"/>
  <c r="H297" i="8"/>
  <c r="C288" i="8"/>
  <c r="H278" i="8"/>
  <c r="H260" i="8"/>
  <c r="H245" i="8"/>
  <c r="C233" i="8"/>
  <c r="C197" i="8"/>
  <c r="C179" i="8"/>
  <c r="H161" i="8"/>
  <c r="C146" i="8"/>
  <c r="H134" i="8"/>
  <c r="H125" i="8"/>
  <c r="C116" i="8"/>
  <c r="H99" i="8"/>
  <c r="H89" i="8"/>
  <c r="H81" i="8"/>
  <c r="H77" i="8"/>
  <c r="C3" i="8"/>
  <c r="H549" i="8"/>
  <c r="C58" i="8"/>
  <c r="H48" i="8"/>
  <c r="H39" i="8"/>
  <c r="C260" i="8"/>
  <c r="I30" i="8"/>
  <c r="I35" i="8" s="1"/>
  <c r="X6" i="8" s="1"/>
  <c r="D66" i="8"/>
  <c r="I75" i="8"/>
  <c r="H80" i="8"/>
  <c r="C90" i="8"/>
  <c r="C118" i="8"/>
  <c r="I129" i="8"/>
  <c r="C145" i="8"/>
  <c r="C170" i="8"/>
  <c r="H206" i="8"/>
  <c r="I224" i="8"/>
  <c r="I229" i="8" s="1"/>
  <c r="X27" i="8" s="1"/>
  <c r="I246" i="8"/>
  <c r="I282" i="8"/>
  <c r="D298" i="8"/>
  <c r="C316" i="8"/>
  <c r="H342" i="8"/>
  <c r="C460" i="8"/>
  <c r="H486" i="8"/>
  <c r="H504" i="8"/>
  <c r="C48" i="8"/>
  <c r="H82" i="8"/>
  <c r="D92" i="8"/>
  <c r="H108" i="8"/>
  <c r="D135" i="8"/>
  <c r="H152" i="8"/>
  <c r="D171" i="8"/>
  <c r="D175" i="8" s="1"/>
  <c r="T21" i="8" s="1"/>
  <c r="C189" i="8"/>
  <c r="C215" i="8"/>
  <c r="H251" i="8"/>
  <c r="C289" i="8"/>
  <c r="D324" i="8"/>
  <c r="D329" i="8" s="1"/>
  <c r="T38" i="8" s="1"/>
  <c r="I378" i="8"/>
  <c r="I383" i="8" s="1"/>
  <c r="X44" i="8" s="1"/>
  <c r="I405" i="8"/>
  <c r="D441" i="8"/>
  <c r="D446" i="8" s="1"/>
  <c r="T51" i="8" s="1"/>
  <c r="D468" i="8"/>
  <c r="D473" i="8" s="1"/>
  <c r="T54" i="8" s="1"/>
  <c r="I540" i="8"/>
  <c r="I297" i="8"/>
  <c r="D288" i="8"/>
  <c r="I278" i="8"/>
  <c r="I260" i="8"/>
  <c r="I265" i="8" s="1"/>
  <c r="X31" i="8" s="1"/>
  <c r="I245" i="8"/>
  <c r="D233" i="8"/>
  <c r="D238" i="8" s="1"/>
  <c r="T28" i="8" s="1"/>
  <c r="D197" i="8"/>
  <c r="D202" i="8" s="1"/>
  <c r="T24" i="8" s="1"/>
  <c r="D179" i="8"/>
  <c r="D184" i="8" s="1"/>
  <c r="T22" i="8" s="1"/>
  <c r="I161" i="8"/>
  <c r="I166" i="8" s="1"/>
  <c r="X20" i="8" s="1"/>
  <c r="D146" i="8"/>
  <c r="I134" i="8"/>
  <c r="I139" i="8" s="1"/>
  <c r="X17" i="8" s="1"/>
  <c r="I125" i="8"/>
  <c r="D116" i="8"/>
  <c r="I99" i="8"/>
  <c r="I89" i="8"/>
  <c r="I94" i="8" s="1"/>
  <c r="X12" i="8" s="1"/>
  <c r="I81" i="8"/>
  <c r="I77" i="8"/>
  <c r="D3" i="8"/>
  <c r="D8" i="8" s="1"/>
  <c r="D297" i="8"/>
  <c r="D302" i="8" s="1"/>
  <c r="T35" i="8" s="1"/>
  <c r="D278" i="8"/>
  <c r="D284" i="8" s="1"/>
  <c r="T33" i="8" s="1"/>
  <c r="I244" i="8"/>
  <c r="D161" i="8"/>
  <c r="D166" i="8" s="1"/>
  <c r="T20" i="8" s="1"/>
  <c r="D134" i="8"/>
  <c r="D139" i="8" s="1"/>
  <c r="T17" i="8" s="1"/>
  <c r="D89" i="8"/>
  <c r="D94" i="8" s="1"/>
  <c r="T12" i="8" s="1"/>
  <c r="D77" i="8"/>
  <c r="D4" i="8"/>
  <c r="D432" i="8"/>
  <c r="D437" i="8" s="1"/>
  <c r="T50" i="8" s="1"/>
  <c r="I387" i="8"/>
  <c r="I392" i="8" s="1"/>
  <c r="X45" i="8" s="1"/>
  <c r="I324" i="8"/>
  <c r="I329" i="8" s="1"/>
  <c r="X38" i="8" s="1"/>
  <c r="D576" i="8"/>
  <c r="D581" i="8" s="1"/>
  <c r="T66" i="8" s="1"/>
  <c r="I549" i="8"/>
  <c r="I554" i="8" s="1"/>
  <c r="X63" i="8" s="1"/>
  <c r="I531" i="8"/>
  <c r="I536" i="8" s="1"/>
  <c r="X61" i="8" s="1"/>
  <c r="D513" i="8"/>
  <c r="D518" i="8" s="1"/>
  <c r="T59" i="8" s="1"/>
  <c r="I495" i="8"/>
  <c r="D477" i="8"/>
  <c r="D482" i="8" s="1"/>
  <c r="T55" i="8" s="1"/>
  <c r="D459" i="8"/>
  <c r="D464" i="8" s="1"/>
  <c r="T53" i="8" s="1"/>
  <c r="I432" i="8"/>
  <c r="I437" i="8" s="1"/>
  <c r="X50" i="8" s="1"/>
  <c r="D388" i="8"/>
  <c r="I369" i="8"/>
  <c r="I374" i="8" s="1"/>
  <c r="X43" i="8" s="1"/>
  <c r="D351" i="8"/>
  <c r="D356" i="8" s="1"/>
  <c r="T41" i="8" s="1"/>
  <c r="D307" i="8"/>
  <c r="D58" i="8"/>
  <c r="I48" i="8"/>
  <c r="I53" i="8" s="1"/>
  <c r="X8" i="8" s="1"/>
  <c r="I39" i="8"/>
  <c r="D260" i="8"/>
  <c r="I207" i="8"/>
  <c r="D145" i="8"/>
  <c r="D125" i="8"/>
  <c r="D99" i="8"/>
  <c r="D81" i="8"/>
  <c r="I67" i="8"/>
  <c r="D549" i="8"/>
  <c r="D554" i="8" s="1"/>
  <c r="T63" i="8" s="1"/>
  <c r="D531" i="8"/>
  <c r="D536" i="8" s="1"/>
  <c r="T61" i="8" s="1"/>
  <c r="D495" i="8"/>
  <c r="D500" i="8" s="1"/>
  <c r="T57" i="8" s="1"/>
  <c r="I406" i="8"/>
  <c r="D369" i="8"/>
  <c r="D374" i="8" s="1"/>
  <c r="T43" i="8" s="1"/>
  <c r="I23" i="8"/>
  <c r="I66" i="8"/>
  <c r="D76" i="8"/>
  <c r="D107" i="8"/>
  <c r="D112" i="8" s="1"/>
  <c r="T14" i="8" s="1"/>
  <c r="H170" i="8"/>
  <c r="D188" i="8"/>
  <c r="D193" i="8" s="1"/>
  <c r="T23" i="8" s="1"/>
  <c r="C207" i="8"/>
  <c r="D269" i="8"/>
  <c r="D274" i="8" s="1"/>
  <c r="T32" i="8" s="1"/>
  <c r="I283" i="8"/>
  <c r="I298" i="8"/>
  <c r="C378" i="8"/>
  <c r="C405" i="8"/>
  <c r="C432" i="8"/>
  <c r="C487" i="8"/>
  <c r="C540" i="8"/>
  <c r="C567" i="8"/>
  <c r="D40" i="8"/>
  <c r="D44" i="8" s="1"/>
  <c r="T7" i="8" s="1"/>
  <c r="H76" i="8"/>
  <c r="C82" i="8"/>
  <c r="D91" i="8"/>
  <c r="H107" i="8"/>
  <c r="D119" i="8"/>
  <c r="C134" i="8"/>
  <c r="C152" i="8"/>
  <c r="I170" i="8"/>
  <c r="I175" i="8" s="1"/>
  <c r="X21" i="8" s="1"/>
  <c r="H188" i="8"/>
  <c r="D207" i="8"/>
  <c r="I233" i="8"/>
  <c r="I238" i="8" s="1"/>
  <c r="X28" i="8" s="1"/>
  <c r="C251" i="8"/>
  <c r="H269" i="8"/>
  <c r="H288" i="8"/>
  <c r="I351" i="8"/>
  <c r="I356" i="8" s="1"/>
  <c r="X41" i="8" s="1"/>
  <c r="D378" i="8"/>
  <c r="D383" i="8" s="1"/>
  <c r="T44" i="8" s="1"/>
  <c r="D405" i="8"/>
  <c r="D410" i="8" s="1"/>
  <c r="T47" i="8" s="1"/>
  <c r="D487" i="8"/>
  <c r="I513" i="8"/>
  <c r="I518" i="8" s="1"/>
  <c r="X59" i="8" s="1"/>
  <c r="D540" i="8"/>
  <c r="D545" i="8" s="1"/>
  <c r="T62" i="8" s="1"/>
  <c r="D567" i="8"/>
  <c r="D572" i="8" s="1"/>
  <c r="T65" i="8" s="1"/>
  <c r="H40" i="8"/>
  <c r="I76" i="8"/>
  <c r="D82" i="8"/>
  <c r="C92" i="8"/>
  <c r="I107" i="8"/>
  <c r="C135" i="8"/>
  <c r="D152" i="8"/>
  <c r="D157" i="8" s="1"/>
  <c r="T19" i="8" s="1"/>
  <c r="C171" i="8"/>
  <c r="I188" i="8"/>
  <c r="I193" i="8" s="1"/>
  <c r="X23" i="8" s="1"/>
  <c r="H207" i="8"/>
  <c r="D251" i="8"/>
  <c r="D256" i="8" s="1"/>
  <c r="T30" i="8" s="1"/>
  <c r="I269" i="8"/>
  <c r="I274" i="8" s="1"/>
  <c r="X32" i="8" s="1"/>
  <c r="I288" i="8"/>
  <c r="D299" i="8"/>
  <c r="C324" i="8"/>
  <c r="H378" i="8"/>
  <c r="H405" i="8"/>
  <c r="C441" i="8"/>
  <c r="C468" i="8"/>
  <c r="H567" i="8"/>
  <c r="C33" i="8"/>
  <c r="I40" i="8"/>
  <c r="C57" i="8"/>
  <c r="C77" i="8"/>
  <c r="C31" i="8"/>
  <c r="D33" i="8"/>
  <c r="D48" i="8"/>
  <c r="D53" i="8" s="1"/>
  <c r="T8" i="8" s="1"/>
  <c r="D57" i="8"/>
  <c r="D62" i="8" s="1"/>
  <c r="T9" i="8" s="1"/>
  <c r="C67" i="8"/>
  <c r="C78" i="8"/>
  <c r="I82" i="8"/>
  <c r="I108" i="8"/>
  <c r="C125" i="8"/>
  <c r="I152" i="8"/>
  <c r="H171" i="8"/>
  <c r="D189" i="8"/>
  <c r="D215" i="8"/>
  <c r="D220" i="8" s="1"/>
  <c r="T26" i="8" s="1"/>
  <c r="C242" i="8"/>
  <c r="I251" i="8"/>
  <c r="I256" i="8" s="1"/>
  <c r="X30" i="8" s="1"/>
  <c r="D289" i="8"/>
  <c r="H324" i="8"/>
  <c r="C360" i="8"/>
  <c r="H406" i="8"/>
  <c r="H441" i="8"/>
  <c r="H468" i="8"/>
  <c r="C495" i="8"/>
  <c r="C522" i="8"/>
  <c r="H541" i="8"/>
  <c r="C441" i="7"/>
  <c r="C215" i="7"/>
  <c r="H279" i="7"/>
  <c r="I298" i="7"/>
  <c r="I302" i="7" s="1"/>
  <c r="X35" i="7" s="1"/>
  <c r="I522" i="7"/>
  <c r="I387" i="7"/>
  <c r="I392" i="7" s="1"/>
  <c r="X45" i="7" s="1"/>
  <c r="D333" i="7"/>
  <c r="I171" i="7"/>
  <c r="I324" i="7"/>
  <c r="I329" i="7" s="1"/>
  <c r="X38" i="7" s="1"/>
  <c r="I333" i="7"/>
  <c r="I338" i="7" s="1"/>
  <c r="X39" i="7" s="1"/>
  <c r="I224" i="7"/>
  <c r="I229" i="7" s="1"/>
  <c r="X27" i="7" s="1"/>
  <c r="I75" i="7"/>
  <c r="D143" i="7"/>
  <c r="D148" i="7" s="1"/>
  <c r="T18" i="7" s="1"/>
  <c r="I280" i="7"/>
  <c r="I396" i="7"/>
  <c r="I401" i="7" s="1"/>
  <c r="X46" i="7" s="1"/>
  <c r="D495" i="7"/>
  <c r="D500" i="7" s="1"/>
  <c r="T57" i="7" s="1"/>
  <c r="I30" i="7"/>
  <c r="I35" i="7" s="1"/>
  <c r="X6" i="7" s="1"/>
  <c r="I89" i="7"/>
  <c r="I94" i="7" s="1"/>
  <c r="X12" i="7" s="1"/>
  <c r="I116" i="7"/>
  <c r="D215" i="7"/>
  <c r="D220" i="7" s="1"/>
  <c r="T26" i="7" s="1"/>
  <c r="I351" i="7"/>
  <c r="I356" i="7" s="1"/>
  <c r="X41" i="7" s="1"/>
  <c r="I496" i="7"/>
  <c r="D531" i="7"/>
  <c r="D78" i="7"/>
  <c r="C90" i="7"/>
  <c r="D119" i="7"/>
  <c r="D144" i="7"/>
  <c r="I179" i="7"/>
  <c r="I184" i="7" s="1"/>
  <c r="X22" i="7" s="1"/>
  <c r="H215" i="7"/>
  <c r="I251" i="7"/>
  <c r="I256" i="7" s="1"/>
  <c r="X30" i="7" s="1"/>
  <c r="I281" i="7"/>
  <c r="D315" i="7"/>
  <c r="D320" i="7" s="1"/>
  <c r="T37" i="7" s="1"/>
  <c r="H497" i="7"/>
  <c r="I540" i="7"/>
  <c r="H39" i="7"/>
  <c r="H78" i="7"/>
  <c r="D90" i="7"/>
  <c r="D94" i="7" s="1"/>
  <c r="T12" i="7" s="1"/>
  <c r="H144" i="7"/>
  <c r="C180" i="7"/>
  <c r="I215" i="7"/>
  <c r="I220" i="7" s="1"/>
  <c r="X26" i="7" s="1"/>
  <c r="H315" i="7"/>
  <c r="C405" i="7"/>
  <c r="D460" i="7"/>
  <c r="I497" i="7"/>
  <c r="H541" i="7"/>
  <c r="C12" i="7"/>
  <c r="H22" i="7"/>
  <c r="I39" i="7"/>
  <c r="C48" i="7"/>
  <c r="I78" i="7"/>
  <c r="C91" i="7"/>
  <c r="H125" i="7"/>
  <c r="C146" i="7"/>
  <c r="D180" i="7"/>
  <c r="H216" i="7"/>
  <c r="I283" i="7"/>
  <c r="I315" i="7"/>
  <c r="I320" i="7" s="1"/>
  <c r="X37" i="7" s="1"/>
  <c r="C369" i="7"/>
  <c r="I405" i="7"/>
  <c r="I410" i="7" s="1"/>
  <c r="X47" i="7" s="1"/>
  <c r="H498" i="7"/>
  <c r="D12" i="7"/>
  <c r="D17" i="7" s="1"/>
  <c r="T4" i="7" s="1"/>
  <c r="D48" i="7"/>
  <c r="D53" i="7" s="1"/>
  <c r="T8" i="7" s="1"/>
  <c r="H57" i="7"/>
  <c r="H79" i="7"/>
  <c r="I125" i="7"/>
  <c r="D146" i="7"/>
  <c r="I216" i="7"/>
  <c r="C260" i="7"/>
  <c r="I289" i="7"/>
  <c r="D369" i="7"/>
  <c r="D374" i="7" s="1"/>
  <c r="T43" i="7" s="1"/>
  <c r="H406" i="7"/>
  <c r="D3" i="7"/>
  <c r="D8" i="7" s="1"/>
  <c r="I414" i="7"/>
  <c r="I419" i="7" s="1"/>
  <c r="X48" i="7" s="1"/>
  <c r="D387" i="7"/>
  <c r="D392" i="7" s="1"/>
  <c r="T45" i="7" s="1"/>
  <c r="D197" i="7"/>
  <c r="D202" i="7" s="1"/>
  <c r="T24" i="7" s="1"/>
  <c r="I170" i="7"/>
  <c r="I175" i="7" s="1"/>
  <c r="X21" i="7" s="1"/>
  <c r="D532" i="7"/>
  <c r="I57" i="7"/>
  <c r="I62" i="7" s="1"/>
  <c r="X9" i="7" s="1"/>
  <c r="I79" i="7"/>
  <c r="D370" i="7"/>
  <c r="D4" i="7"/>
  <c r="I48" i="7"/>
  <c r="I53" i="7" s="1"/>
  <c r="X8" i="7" s="1"/>
  <c r="D261" i="7"/>
  <c r="I290" i="7"/>
  <c r="D414" i="7"/>
  <c r="D419" i="7" s="1"/>
  <c r="T48" i="7" s="1"/>
  <c r="D468" i="7"/>
  <c r="D473" i="7" s="1"/>
  <c r="T54" i="7" s="1"/>
  <c r="C567" i="7"/>
  <c r="C486" i="7"/>
  <c r="H360" i="7"/>
  <c r="H82" i="7"/>
  <c r="C58" i="7"/>
  <c r="H3" i="7"/>
  <c r="H288" i="7"/>
  <c r="C117" i="7"/>
  <c r="C77" i="7"/>
  <c r="C450" i="7"/>
  <c r="C360" i="7"/>
  <c r="C299" i="7"/>
  <c r="H246" i="7"/>
  <c r="H129" i="7"/>
  <c r="H99" i="7"/>
  <c r="C504" i="7"/>
  <c r="C98" i="7"/>
  <c r="H66" i="7"/>
  <c r="H77" i="7"/>
  <c r="C32" i="7"/>
  <c r="C152" i="7"/>
  <c r="C269" i="7"/>
  <c r="C198" i="7"/>
  <c r="H67" i="7"/>
  <c r="C81" i="7"/>
  <c r="I188" i="7"/>
  <c r="I193" i="7" s="1"/>
  <c r="X23" i="7" s="1"/>
  <c r="H261" i="7"/>
  <c r="D324" i="7"/>
  <c r="D329" i="7" s="1"/>
  <c r="T38" i="7" s="1"/>
  <c r="H414" i="7"/>
  <c r="H468" i="7"/>
  <c r="C558" i="7"/>
  <c r="C40" i="7"/>
  <c r="I67" i="7"/>
  <c r="D81" i="7"/>
  <c r="C107" i="7"/>
  <c r="I126" i="7"/>
  <c r="H161" i="7"/>
  <c r="C189" i="7"/>
  <c r="I261" i="7"/>
  <c r="C378" i="7"/>
  <c r="D469" i="7"/>
  <c r="D558" i="7"/>
  <c r="D563" i="7" s="1"/>
  <c r="T64" i="7" s="1"/>
  <c r="D540" i="7"/>
  <c r="D545" i="7" s="1"/>
  <c r="T62" i="7" s="1"/>
  <c r="I23" i="7"/>
  <c r="D40" i="7"/>
  <c r="D44" i="7" s="1"/>
  <c r="T7" i="7" s="1"/>
  <c r="H81" i="7"/>
  <c r="D107" i="7"/>
  <c r="D112" i="7" s="1"/>
  <c r="T14" i="7" s="1"/>
  <c r="I161" i="7"/>
  <c r="I166" i="7" s="1"/>
  <c r="X20" i="7" s="1"/>
  <c r="C197" i="7"/>
  <c r="C242" i="7"/>
  <c r="C297" i="7"/>
  <c r="D334" i="7"/>
  <c r="C432" i="7"/>
  <c r="C522" i="7"/>
  <c r="H558" i="7"/>
  <c r="I247" i="7"/>
  <c r="X29" i="7" s="1"/>
  <c r="I406" i="7"/>
  <c r="D549" i="7"/>
  <c r="D554" i="7" s="1"/>
  <c r="T63" i="7" s="1"/>
  <c r="I154" i="7"/>
  <c r="I81" i="7"/>
  <c r="I127" i="7"/>
  <c r="D242" i="7"/>
  <c r="D247" i="7" s="1"/>
  <c r="T29" i="7" s="1"/>
  <c r="C279" i="7"/>
  <c r="C298" i="7"/>
  <c r="H378" i="7"/>
  <c r="D432" i="7"/>
  <c r="D437" i="7" s="1"/>
  <c r="T50" i="7" s="1"/>
  <c r="D522" i="7"/>
  <c r="D527" i="7" s="1"/>
  <c r="T60" i="7" s="1"/>
  <c r="I558" i="7"/>
  <c r="I563" i="7" s="1"/>
  <c r="X64" i="7" s="1"/>
  <c r="D82" i="7"/>
  <c r="I129" i="7"/>
  <c r="D77" i="7"/>
  <c r="I3" i="7"/>
  <c r="I8" i="7" s="1"/>
  <c r="D58" i="7"/>
  <c r="I82" i="7"/>
  <c r="I99" i="7"/>
  <c r="H117" i="7"/>
  <c r="H134" i="7"/>
  <c r="D152" i="7"/>
  <c r="D157" i="7" s="1"/>
  <c r="T19" i="7" s="1"/>
  <c r="C172" i="7"/>
  <c r="C289" i="7"/>
  <c r="H333" i="7"/>
  <c r="I360" i="7"/>
  <c r="I365" i="7" s="1"/>
  <c r="X42" i="7" s="1"/>
  <c r="C423" i="7"/>
  <c r="D486" i="7"/>
  <c r="D491" i="7" s="1"/>
  <c r="T56" i="7" s="1"/>
  <c r="I567" i="7"/>
  <c r="I572" i="7" s="1"/>
  <c r="X65" i="7" s="1"/>
  <c r="I504" i="7"/>
  <c r="I509" i="7" s="1"/>
  <c r="X58" i="7" s="1"/>
  <c r="C532" i="7"/>
  <c r="H513" i="7"/>
  <c r="H496" i="7"/>
  <c r="H477" i="7"/>
  <c r="H459" i="7"/>
  <c r="C414" i="7"/>
  <c r="C370" i="7"/>
  <c r="H351" i="7"/>
  <c r="C333" i="7"/>
  <c r="C67" i="7"/>
  <c r="H23" i="7"/>
  <c r="C576" i="7"/>
  <c r="H531" i="7"/>
  <c r="H495" i="7"/>
  <c r="H432" i="7"/>
  <c r="H369" i="7"/>
  <c r="H297" i="7"/>
  <c r="C288" i="7"/>
  <c r="H278" i="7"/>
  <c r="H260" i="7"/>
  <c r="H245" i="7"/>
  <c r="C233" i="7"/>
  <c r="C161" i="7"/>
  <c r="C145" i="7"/>
  <c r="C134" i="7"/>
  <c r="C125" i="7"/>
  <c r="C99" i="7"/>
  <c r="H80" i="7"/>
  <c r="H76" i="7"/>
  <c r="C30" i="7"/>
  <c r="H549" i="7"/>
  <c r="C513" i="7"/>
  <c r="C477" i="7"/>
  <c r="C459" i="7"/>
  <c r="C388" i="7"/>
  <c r="C351" i="7"/>
  <c r="C307" i="7"/>
  <c r="H567" i="7"/>
  <c r="H504" i="7"/>
  <c r="C469" i="7"/>
  <c r="H450" i="7"/>
  <c r="H405" i="7"/>
  <c r="C387" i="7"/>
  <c r="H342" i="7"/>
  <c r="C324" i="7"/>
  <c r="C21" i="7"/>
  <c r="C306" i="7"/>
  <c r="H291" i="7"/>
  <c r="H282" i="7"/>
  <c r="H269" i="7"/>
  <c r="C252" i="7"/>
  <c r="C243" i="7"/>
  <c r="C224" i="7"/>
  <c r="H206" i="7"/>
  <c r="C188" i="7"/>
  <c r="C171" i="7"/>
  <c r="H153" i="7"/>
  <c r="H143" i="7"/>
  <c r="H128" i="7"/>
  <c r="C118" i="7"/>
  <c r="H107" i="7"/>
  <c r="C92" i="7"/>
  <c r="C83" i="7"/>
  <c r="C79" i="7"/>
  <c r="C75" i="7"/>
  <c r="C66" i="7"/>
  <c r="C57" i="7"/>
  <c r="C33" i="7"/>
  <c r="C31" i="7"/>
  <c r="D32" i="7"/>
  <c r="H58" i="7"/>
  <c r="I77" i="7"/>
  <c r="H83" i="7"/>
  <c r="H100" i="7"/>
  <c r="I117" i="7"/>
  <c r="I134" i="7"/>
  <c r="I139" i="7" s="1"/>
  <c r="X17" i="7" s="1"/>
  <c r="H152" i="7"/>
  <c r="C179" i="7"/>
  <c r="C251" i="7"/>
  <c r="D289" i="7"/>
  <c r="H306" i="7"/>
  <c r="J306" i="7" s="1"/>
  <c r="C361" i="7"/>
  <c r="C396" i="7"/>
  <c r="D423" i="7"/>
  <c r="D428" i="7" s="1"/>
  <c r="T49" i="7" s="1"/>
  <c r="I459" i="7"/>
  <c r="I464" i="7" s="1"/>
  <c r="X53" i="7" s="1"/>
  <c r="H486" i="7"/>
  <c r="D297" i="7"/>
  <c r="D260" i="7"/>
  <c r="I207" i="7"/>
  <c r="D172" i="7"/>
  <c r="D98" i="7"/>
  <c r="D103" i="7" s="1"/>
  <c r="T13" i="7" s="1"/>
  <c r="D76" i="7"/>
  <c r="D278" i="7"/>
  <c r="D284" i="7" s="1"/>
  <c r="T33" i="7" s="1"/>
  <c r="I244" i="7"/>
  <c r="D189" i="7"/>
  <c r="I144" i="7"/>
  <c r="I109" i="7"/>
  <c r="I84" i="7"/>
  <c r="D80" i="7"/>
  <c r="I40" i="7"/>
  <c r="D567" i="7"/>
  <c r="D572" i="7" s="1"/>
  <c r="T65" i="7" s="1"/>
  <c r="I541" i="7"/>
  <c r="I523" i="7"/>
  <c r="D504" i="7"/>
  <c r="D509" i="7" s="1"/>
  <c r="T58" i="7" s="1"/>
  <c r="D487" i="7"/>
  <c r="I468" i="7"/>
  <c r="I473" i="7" s="1"/>
  <c r="X54" i="7" s="1"/>
  <c r="D450" i="7"/>
  <c r="D455" i="7" s="1"/>
  <c r="T52" i="7" s="1"/>
  <c r="I423" i="7"/>
  <c r="I428" i="7" s="1"/>
  <c r="X49" i="7" s="1"/>
  <c r="D405" i="7"/>
  <c r="D410" i="7" s="1"/>
  <c r="T47" i="7" s="1"/>
  <c r="D361" i="7"/>
  <c r="D342" i="7"/>
  <c r="D347" i="7" s="1"/>
  <c r="T40" i="7" s="1"/>
  <c r="I22" i="7"/>
  <c r="I26" i="7" s="1"/>
  <c r="X5" i="7" s="1"/>
  <c r="I12" i="7"/>
  <c r="I17" i="7" s="1"/>
  <c r="X4" i="7" s="1"/>
  <c r="I246" i="7"/>
  <c r="D299" i="7"/>
  <c r="D360" i="7"/>
  <c r="I450" i="7"/>
  <c r="I455" i="7" s="1"/>
  <c r="X52" i="7" s="1"/>
  <c r="I66" i="7"/>
  <c r="I71" i="7" s="1"/>
  <c r="X10" i="7" s="1"/>
  <c r="D117" i="7"/>
  <c r="D198" i="7"/>
  <c r="D269" i="7"/>
  <c r="D274" i="7" s="1"/>
  <c r="T32" i="7" s="1"/>
  <c r="I288" i="7"/>
  <c r="C22" i="7"/>
  <c r="I58" i="7"/>
  <c r="C78" i="7"/>
  <c r="I83" i="7"/>
  <c r="I100" i="7"/>
  <c r="C119" i="7"/>
  <c r="C135" i="7"/>
  <c r="I152" i="7"/>
  <c r="D179" i="7"/>
  <c r="D184" i="7" s="1"/>
  <c r="T22" i="7" s="1"/>
  <c r="C206" i="7"/>
  <c r="H233" i="7"/>
  <c r="D251" i="7"/>
  <c r="D256" i="7" s="1"/>
  <c r="T30" i="7" s="1"/>
  <c r="C278" i="7"/>
  <c r="H289" i="7"/>
  <c r="I306" i="7"/>
  <c r="I311" i="7" s="1"/>
  <c r="X36" i="7" s="1"/>
  <c r="C334" i="7"/>
  <c r="D396" i="7"/>
  <c r="D401" i="7" s="1"/>
  <c r="T46" i="7" s="1"/>
  <c r="H423" i="7"/>
  <c r="C460" i="7"/>
  <c r="I486" i="7"/>
  <c r="I491" i="7" s="1"/>
  <c r="X56" i="7" s="1"/>
  <c r="I513" i="7"/>
  <c r="I518" i="7" s="1"/>
  <c r="X59" i="7" s="1"/>
  <c r="H540" i="7"/>
  <c r="D31" i="7"/>
  <c r="D33" i="7"/>
  <c r="D57" i="7"/>
  <c r="D62" i="7" s="1"/>
  <c r="T9" i="7" s="1"/>
  <c r="D66" i="7"/>
  <c r="D71" i="7" s="1"/>
  <c r="T10" i="7" s="1"/>
  <c r="D75" i="7"/>
  <c r="D79" i="7"/>
  <c r="D83" i="7"/>
  <c r="D92" i="7"/>
  <c r="I107" i="7"/>
  <c r="I112" i="7" s="1"/>
  <c r="X14" i="7" s="1"/>
  <c r="D118" i="7"/>
  <c r="D121" i="7" s="1"/>
  <c r="T15" i="7" s="1"/>
  <c r="I128" i="7"/>
  <c r="I143" i="7"/>
  <c r="I153" i="7"/>
  <c r="D171" i="7"/>
  <c r="D175" i="7" s="1"/>
  <c r="T21" i="7" s="1"/>
  <c r="D188" i="7"/>
  <c r="D193" i="7" s="1"/>
  <c r="T23" i="7" s="1"/>
  <c r="I206" i="7"/>
  <c r="I211" i="7" s="1"/>
  <c r="X25" i="7" s="1"/>
  <c r="D224" i="7"/>
  <c r="D229" i="7" s="1"/>
  <c r="T27" i="7" s="1"/>
  <c r="D243" i="7"/>
  <c r="D252" i="7"/>
  <c r="I269" i="7"/>
  <c r="I274" i="7" s="1"/>
  <c r="X32" i="7" s="1"/>
  <c r="I282" i="7"/>
  <c r="I291" i="7"/>
  <c r="D306" i="7"/>
  <c r="D307" i="7"/>
  <c r="D351" i="7"/>
  <c r="D356" i="7" s="1"/>
  <c r="T41" i="7" s="1"/>
  <c r="I369" i="7"/>
  <c r="I374" i="7" s="1"/>
  <c r="X43" i="7" s="1"/>
  <c r="D388" i="7"/>
  <c r="I432" i="7"/>
  <c r="I437" i="7" s="1"/>
  <c r="X50" i="7" s="1"/>
  <c r="D459" i="7"/>
  <c r="D464" i="7" s="1"/>
  <c r="T53" i="7" s="1"/>
  <c r="D477" i="7"/>
  <c r="D482" i="7" s="1"/>
  <c r="T55" i="7" s="1"/>
  <c r="I495" i="7"/>
  <c r="I500" i="7" s="1"/>
  <c r="X57" i="7" s="1"/>
  <c r="D513" i="7"/>
  <c r="D518" i="7" s="1"/>
  <c r="T59" i="7" s="1"/>
  <c r="I531" i="7"/>
  <c r="I536" i="7" s="1"/>
  <c r="X61" i="7" s="1"/>
  <c r="I549" i="7"/>
  <c r="I554" i="7" s="1"/>
  <c r="X63" i="7" s="1"/>
  <c r="D576" i="7"/>
  <c r="D581" i="7" s="1"/>
  <c r="T66" i="7" s="1"/>
  <c r="D30" i="7"/>
  <c r="I76" i="7"/>
  <c r="I80" i="7"/>
  <c r="D99" i="7"/>
  <c r="D125" i="7"/>
  <c r="D130" i="7" s="1"/>
  <c r="T16" i="7" s="1"/>
  <c r="D134" i="7"/>
  <c r="D139" i="7" s="1"/>
  <c r="T17" i="7" s="1"/>
  <c r="D145" i="7"/>
  <c r="D161" i="7"/>
  <c r="D166" i="7" s="1"/>
  <c r="T20" i="7" s="1"/>
  <c r="D233" i="7"/>
  <c r="D238" i="7" s="1"/>
  <c r="T28" i="7" s="1"/>
  <c r="I245" i="7"/>
  <c r="I260" i="7"/>
  <c r="I278" i="7"/>
  <c r="D288" i="7"/>
  <c r="D293" i="7" s="1"/>
  <c r="T34" i="7" s="1"/>
  <c r="D79" i="6"/>
  <c r="D459" i="6"/>
  <c r="I21" i="6"/>
  <c r="I206" i="6"/>
  <c r="D3" i="6"/>
  <c r="D369" i="6"/>
  <c r="C81" i="6"/>
  <c r="C215" i="6"/>
  <c r="C370" i="6"/>
  <c r="H143" i="6"/>
  <c r="H297" i="6"/>
  <c r="D531" i="6"/>
  <c r="D536" i="6" s="1"/>
  <c r="T61" i="6" s="1"/>
  <c r="C152" i="6"/>
  <c r="I244" i="6"/>
  <c r="I405" i="6"/>
  <c r="I410" i="6" s="1"/>
  <c r="X47" i="6" s="1"/>
  <c r="D57" i="6"/>
  <c r="H100" i="6"/>
  <c r="D152" i="6"/>
  <c r="D157" i="6" s="1"/>
  <c r="T19" i="6" s="1"/>
  <c r="H245" i="6"/>
  <c r="H406" i="6"/>
  <c r="I531" i="6"/>
  <c r="I536" i="6" s="1"/>
  <c r="X61" i="6" s="1"/>
  <c r="H57" i="6"/>
  <c r="I100" i="6"/>
  <c r="D171" i="6"/>
  <c r="I245" i="6"/>
  <c r="C324" i="6"/>
  <c r="I414" i="6"/>
  <c r="I419" i="6" s="1"/>
  <c r="X48" i="6" s="1"/>
  <c r="D278" i="6"/>
  <c r="D284" i="6" s="1"/>
  <c r="T33" i="6" s="1"/>
  <c r="I48" i="6"/>
  <c r="I53" i="6" s="1"/>
  <c r="X8" i="6" s="1"/>
  <c r="D487" i="6"/>
  <c r="I369" i="6"/>
  <c r="I374" i="6" s="1"/>
  <c r="X43" i="6" s="1"/>
  <c r="H290" i="6"/>
  <c r="H282" i="6"/>
  <c r="H269" i="6"/>
  <c r="H251" i="6"/>
  <c r="C242" i="6"/>
  <c r="H216" i="6"/>
  <c r="C180" i="6"/>
  <c r="C135" i="6"/>
  <c r="H125" i="6"/>
  <c r="C116" i="6"/>
  <c r="H99" i="6"/>
  <c r="C89" i="6"/>
  <c r="C80" i="6"/>
  <c r="C76" i="6"/>
  <c r="C67" i="6"/>
  <c r="C58" i="6"/>
  <c r="H48" i="6"/>
  <c r="H39" i="6"/>
  <c r="H558" i="6"/>
  <c r="C299" i="6"/>
  <c r="C251" i="6"/>
  <c r="C198" i="6"/>
  <c r="H161" i="6"/>
  <c r="H134" i="6"/>
  <c r="C99" i="6"/>
  <c r="H75" i="6"/>
  <c r="H30" i="6"/>
  <c r="H497" i="6"/>
  <c r="C460" i="6"/>
  <c r="C441" i="6"/>
  <c r="H415" i="6"/>
  <c r="H396" i="6"/>
  <c r="C378" i="6"/>
  <c r="C360" i="6"/>
  <c r="C334" i="6"/>
  <c r="H315" i="6"/>
  <c r="C540" i="6"/>
  <c r="C522" i="6"/>
  <c r="H498" i="6"/>
  <c r="C486" i="6"/>
  <c r="H441" i="6"/>
  <c r="H378" i="6"/>
  <c r="H360" i="6"/>
  <c r="C316" i="6"/>
  <c r="C4" i="6"/>
  <c r="C585" i="6"/>
  <c r="C290" i="6"/>
  <c r="H281" i="6"/>
  <c r="C269" i="6"/>
  <c r="H215" i="6"/>
  <c r="H179" i="6"/>
  <c r="C146" i="6"/>
  <c r="C125" i="6"/>
  <c r="H79" i="6"/>
  <c r="C48" i="6"/>
  <c r="C39" i="6"/>
  <c r="C32" i="6"/>
  <c r="H549" i="6"/>
  <c r="H523" i="6"/>
  <c r="H496" i="6"/>
  <c r="C450" i="6"/>
  <c r="H414" i="6"/>
  <c r="C388" i="6"/>
  <c r="H333" i="6"/>
  <c r="C307" i="6"/>
  <c r="H82" i="6"/>
  <c r="H522" i="6"/>
  <c r="H495" i="6"/>
  <c r="C469" i="6"/>
  <c r="C414" i="6"/>
  <c r="H387" i="6"/>
  <c r="C361" i="6"/>
  <c r="C82" i="6"/>
  <c r="H67" i="6"/>
  <c r="C576" i="6"/>
  <c r="H289" i="6"/>
  <c r="H207" i="6"/>
  <c r="C161" i="6"/>
  <c r="H126" i="6"/>
  <c r="H541" i="6"/>
  <c r="C387" i="6"/>
  <c r="H109" i="6"/>
  <c r="H576" i="6"/>
  <c r="C549" i="6"/>
  <c r="H291" i="6"/>
  <c r="H279" i="6"/>
  <c r="C260" i="6"/>
  <c r="H242" i="6"/>
  <c r="H188" i="6"/>
  <c r="C170" i="6"/>
  <c r="H144" i="6"/>
  <c r="H127" i="6"/>
  <c r="H116" i="6"/>
  <c r="C98" i="6"/>
  <c r="H77" i="6"/>
  <c r="H22" i="6"/>
  <c r="C333" i="6"/>
  <c r="H306" i="6"/>
  <c r="J306" i="6" s="1"/>
  <c r="C279" i="6"/>
  <c r="H233" i="6"/>
  <c r="C188" i="6"/>
  <c r="C144" i="6"/>
  <c r="C77" i="6"/>
  <c r="C22" i="6"/>
  <c r="H513" i="6"/>
  <c r="C495" i="6"/>
  <c r="H468" i="6"/>
  <c r="H81" i="6"/>
  <c r="C531" i="6"/>
  <c r="C171" i="6"/>
  <c r="C143" i="6"/>
  <c r="C79" i="6"/>
  <c r="C57" i="6"/>
  <c r="C3" i="6"/>
  <c r="H567" i="6"/>
  <c r="C90" i="6"/>
  <c r="C33" i="6"/>
  <c r="C567" i="6"/>
  <c r="C288" i="6"/>
  <c r="H108" i="6"/>
  <c r="H260" i="6"/>
  <c r="C30" i="6"/>
  <c r="H12" i="6"/>
  <c r="H504" i="6"/>
  <c r="C189" i="6"/>
  <c r="H107" i="6"/>
  <c r="H66" i="6"/>
  <c r="C83" i="6"/>
  <c r="H40" i="6"/>
  <c r="C12" i="6"/>
  <c r="C423" i="6"/>
  <c r="H486" i="6"/>
  <c r="H432" i="6"/>
  <c r="C396" i="6"/>
  <c r="H351" i="6"/>
  <c r="C289" i="6"/>
  <c r="H243" i="6"/>
  <c r="C206" i="6"/>
  <c r="H117" i="6"/>
  <c r="C91" i="6"/>
  <c r="C315" i="6"/>
  <c r="C233" i="6"/>
  <c r="H170" i="6"/>
  <c r="H78" i="6"/>
  <c r="C477" i="6"/>
  <c r="H76" i="6"/>
  <c r="C306" i="6"/>
  <c r="H224" i="6"/>
  <c r="C468" i="6"/>
  <c r="H423" i="6"/>
  <c r="H342" i="6"/>
  <c r="C252" i="6"/>
  <c r="H153" i="6"/>
  <c r="H298" i="6"/>
  <c r="C224" i="6"/>
  <c r="H128" i="6"/>
  <c r="H459" i="6"/>
  <c r="C342" i="6"/>
  <c r="H283" i="6"/>
  <c r="C107" i="6"/>
  <c r="C513" i="6"/>
  <c r="H477" i="6"/>
  <c r="C432" i="6"/>
  <c r="C351" i="6"/>
  <c r="H288" i="6"/>
  <c r="C197" i="6"/>
  <c r="C117" i="6"/>
  <c r="C261" i="6"/>
  <c r="C134" i="6"/>
  <c r="C78" i="6"/>
  <c r="H154" i="6"/>
  <c r="H89" i="6"/>
  <c r="C558" i="6"/>
  <c r="H58" i="6"/>
  <c r="C75" i="6"/>
  <c r="C504" i="6"/>
  <c r="H152" i="6"/>
  <c r="D81" i="6"/>
  <c r="I216" i="6"/>
  <c r="C405" i="6"/>
  <c r="D405" i="6"/>
  <c r="D410" i="6" s="1"/>
  <c r="T47" i="6" s="1"/>
  <c r="I39" i="6"/>
  <c r="H244" i="6"/>
  <c r="H405" i="6"/>
  <c r="I99" i="6"/>
  <c r="I103" i="6" s="1"/>
  <c r="X13" i="6" s="1"/>
  <c r="H531" i="6"/>
  <c r="I57" i="6"/>
  <c r="I62" i="6" s="1"/>
  <c r="X9" i="6" s="1"/>
  <c r="H171" i="6"/>
  <c r="H246" i="6"/>
  <c r="D324" i="6"/>
  <c r="D329" i="6" s="1"/>
  <c r="T38" i="6" s="1"/>
  <c r="D21" i="6"/>
  <c r="D26" i="6" s="1"/>
  <c r="T5" i="6" s="1"/>
  <c r="I125" i="6"/>
  <c r="I130" i="6" s="1"/>
  <c r="X16" i="6" s="1"/>
  <c r="I282" i="6"/>
  <c r="I3" i="6"/>
  <c r="I8" i="6" s="1"/>
  <c r="D31" i="6"/>
  <c r="I80" i="6"/>
  <c r="C66" i="6"/>
  <c r="C297" i="6"/>
  <c r="D540" i="6"/>
  <c r="D545" i="6" s="1"/>
  <c r="T62" i="6" s="1"/>
  <c r="D522" i="6"/>
  <c r="D527" i="6" s="1"/>
  <c r="T60" i="6" s="1"/>
  <c r="I498" i="6"/>
  <c r="D486" i="6"/>
  <c r="I441" i="6"/>
  <c r="I446" i="6" s="1"/>
  <c r="X51" i="6" s="1"/>
  <c r="I378" i="6"/>
  <c r="I383" i="6" s="1"/>
  <c r="X44" i="6" s="1"/>
  <c r="I360" i="6"/>
  <c r="I365" i="6" s="1"/>
  <c r="X42" i="6" s="1"/>
  <c r="D316" i="6"/>
  <c r="D4" i="6"/>
  <c r="I23" i="6"/>
  <c r="I298" i="6"/>
  <c r="I289" i="6"/>
  <c r="I280" i="6"/>
  <c r="I233" i="6"/>
  <c r="I238" i="6" s="1"/>
  <c r="X28" i="6" s="1"/>
  <c r="D215" i="6"/>
  <c r="D220" i="6" s="1"/>
  <c r="T26" i="6" s="1"/>
  <c r="D197" i="6"/>
  <c r="D179" i="6"/>
  <c r="D161" i="6"/>
  <c r="D166" i="6" s="1"/>
  <c r="T20" i="6" s="1"/>
  <c r="D145" i="6"/>
  <c r="D134" i="6"/>
  <c r="D139" i="6" s="1"/>
  <c r="T17" i="6" s="1"/>
  <c r="D585" i="6"/>
  <c r="D590" i="6" s="1"/>
  <c r="T67" i="6" s="1"/>
  <c r="I558" i="6"/>
  <c r="I563" i="6" s="1"/>
  <c r="X64" i="6" s="1"/>
  <c r="D299" i="6"/>
  <c r="D290" i="6"/>
  <c r="I281" i="6"/>
  <c r="D269" i="6"/>
  <c r="D274" i="6" s="1"/>
  <c r="T32" i="6" s="1"/>
  <c r="D251" i="6"/>
  <c r="D256" i="6" s="1"/>
  <c r="T30" i="6" s="1"/>
  <c r="I215" i="6"/>
  <c r="I220" i="6" s="1"/>
  <c r="X26" i="6" s="1"/>
  <c r="D198" i="6"/>
  <c r="I179" i="6"/>
  <c r="I184" i="6" s="1"/>
  <c r="X22" i="6" s="1"/>
  <c r="I161" i="6"/>
  <c r="I166" i="6" s="1"/>
  <c r="X20" i="6" s="1"/>
  <c r="D146" i="6"/>
  <c r="I134" i="6"/>
  <c r="I139" i="6" s="1"/>
  <c r="X17" i="6" s="1"/>
  <c r="D125" i="6"/>
  <c r="D99" i="6"/>
  <c r="I79" i="6"/>
  <c r="I75" i="6"/>
  <c r="I85" i="6" s="1"/>
  <c r="X11" i="6" s="1"/>
  <c r="D48" i="6"/>
  <c r="D53" i="6" s="1"/>
  <c r="T8" i="6" s="1"/>
  <c r="D39" i="6"/>
  <c r="D44" i="6" s="1"/>
  <c r="T7" i="6" s="1"/>
  <c r="D32" i="6"/>
  <c r="I30" i="6"/>
  <c r="I35" i="6" s="1"/>
  <c r="X6" i="6" s="1"/>
  <c r="I497" i="6"/>
  <c r="D460" i="6"/>
  <c r="D441" i="6"/>
  <c r="D446" i="6" s="1"/>
  <c r="T51" i="6" s="1"/>
  <c r="I415" i="6"/>
  <c r="I396" i="6"/>
  <c r="I401" i="6" s="1"/>
  <c r="X46" i="6" s="1"/>
  <c r="D378" i="6"/>
  <c r="D383" i="6" s="1"/>
  <c r="T44" i="6" s="1"/>
  <c r="D360" i="6"/>
  <c r="D334" i="6"/>
  <c r="I315" i="6"/>
  <c r="I320" i="6" s="1"/>
  <c r="X37" i="6" s="1"/>
  <c r="D558" i="6"/>
  <c r="D563" i="6" s="1"/>
  <c r="T64" i="6" s="1"/>
  <c r="I523" i="6"/>
  <c r="I576" i="6"/>
  <c r="I581" i="6" s="1"/>
  <c r="X66" i="6" s="1"/>
  <c r="D549" i="6"/>
  <c r="D554" i="6" s="1"/>
  <c r="T63" i="6" s="1"/>
  <c r="I291" i="6"/>
  <c r="I279" i="6"/>
  <c r="D260" i="6"/>
  <c r="D265" i="6" s="1"/>
  <c r="T31" i="6" s="1"/>
  <c r="I242" i="6"/>
  <c r="I188" i="6"/>
  <c r="I193" i="6" s="1"/>
  <c r="X23" i="6" s="1"/>
  <c r="D170" i="6"/>
  <c r="I144" i="6"/>
  <c r="I127" i="6"/>
  <c r="I116" i="6"/>
  <c r="D98" i="6"/>
  <c r="I77" i="6"/>
  <c r="I22" i="6"/>
  <c r="D576" i="6"/>
  <c r="D581" i="6" s="1"/>
  <c r="T66" i="6" s="1"/>
  <c r="I306" i="6"/>
  <c r="I311" i="6" s="1"/>
  <c r="X36" i="6" s="1"/>
  <c r="D279" i="6"/>
  <c r="I207" i="6"/>
  <c r="D144" i="6"/>
  <c r="D148" i="6" s="1"/>
  <c r="T18" i="6" s="1"/>
  <c r="D116" i="6"/>
  <c r="D121" i="6" s="1"/>
  <c r="T15" i="6" s="1"/>
  <c r="D387" i="6"/>
  <c r="D392" i="6" s="1"/>
  <c r="T45" i="6" s="1"/>
  <c r="I81" i="6"/>
  <c r="D67" i="6"/>
  <c r="D289" i="6"/>
  <c r="D252" i="6"/>
  <c r="I143" i="6"/>
  <c r="I148" i="6" s="1"/>
  <c r="X18" i="6" s="1"/>
  <c r="D92" i="6"/>
  <c r="I76" i="6"/>
  <c r="I522" i="6"/>
  <c r="I495" i="6"/>
  <c r="D469" i="6"/>
  <c r="D414" i="6"/>
  <c r="D419" i="6" s="1"/>
  <c r="T48" i="6" s="1"/>
  <c r="I387" i="6"/>
  <c r="I392" i="6" s="1"/>
  <c r="X45" i="6" s="1"/>
  <c r="D361" i="6"/>
  <c r="D333" i="6"/>
  <c r="D338" i="6" s="1"/>
  <c r="T39" i="6" s="1"/>
  <c r="D82" i="6"/>
  <c r="I67" i="6"/>
  <c r="I290" i="6"/>
  <c r="D242" i="6"/>
  <c r="D247" i="6" s="1"/>
  <c r="T29" i="6" s="1"/>
  <c r="D188" i="6"/>
  <c r="I126" i="6"/>
  <c r="D77" i="6"/>
  <c r="D22" i="6"/>
  <c r="I513" i="6"/>
  <c r="I518" i="6" s="1"/>
  <c r="X59" i="6" s="1"/>
  <c r="D495" i="6"/>
  <c r="D500" i="6" s="1"/>
  <c r="T57" i="6" s="1"/>
  <c r="I468" i="6"/>
  <c r="I473" i="6" s="1"/>
  <c r="X54" i="6" s="1"/>
  <c r="I109" i="6"/>
  <c r="D306" i="6"/>
  <c r="D311" i="6" s="1"/>
  <c r="T36" i="6" s="1"/>
  <c r="I278" i="6"/>
  <c r="D233" i="6"/>
  <c r="D238" i="6" s="1"/>
  <c r="T28" i="6" s="1"/>
  <c r="D207" i="6"/>
  <c r="D126" i="6"/>
  <c r="I540" i="6"/>
  <c r="I545" i="6" s="1"/>
  <c r="X62" i="6" s="1"/>
  <c r="D513" i="6"/>
  <c r="D518" i="6" s="1"/>
  <c r="T59" i="6" s="1"/>
  <c r="D468" i="6"/>
  <c r="I432" i="6"/>
  <c r="I437" i="6" s="1"/>
  <c r="X50" i="6" s="1"/>
  <c r="I406" i="6"/>
  <c r="I486" i="6"/>
  <c r="I491" i="6" s="1"/>
  <c r="X56" i="6" s="1"/>
  <c r="D450" i="6"/>
  <c r="D455" i="6" s="1"/>
  <c r="T52" i="6" s="1"/>
  <c r="D396" i="6"/>
  <c r="D401" i="6" s="1"/>
  <c r="T46" i="6" s="1"/>
  <c r="I351" i="6"/>
  <c r="I356" i="6" s="1"/>
  <c r="X41" i="6" s="1"/>
  <c r="I243" i="6"/>
  <c r="D206" i="6"/>
  <c r="I117" i="6"/>
  <c r="D91" i="6"/>
  <c r="D117" i="6"/>
  <c r="D288" i="6"/>
  <c r="I108" i="6"/>
  <c r="I224" i="6"/>
  <c r="I229" i="6" s="1"/>
  <c r="X27" i="6" s="1"/>
  <c r="I58" i="6"/>
  <c r="I504" i="6"/>
  <c r="I509" i="6" s="1"/>
  <c r="X58" i="6" s="1"/>
  <c r="I423" i="6"/>
  <c r="I428" i="6" s="1"/>
  <c r="X49" i="6" s="1"/>
  <c r="I342" i="6"/>
  <c r="I347" i="6" s="1"/>
  <c r="X40" i="6" s="1"/>
  <c r="I153" i="6"/>
  <c r="D89" i="6"/>
  <c r="D423" i="6"/>
  <c r="D428" i="6" s="1"/>
  <c r="T49" i="6" s="1"/>
  <c r="I283" i="6"/>
  <c r="I251" i="6"/>
  <c r="I256" i="6" s="1"/>
  <c r="X30" i="6" s="1"/>
  <c r="I152" i="6"/>
  <c r="I157" i="6" s="1"/>
  <c r="X19" i="6" s="1"/>
  <c r="I549" i="6"/>
  <c r="I554" i="6" s="1"/>
  <c r="X63" i="6" s="1"/>
  <c r="D298" i="6"/>
  <c r="D302" i="6" s="1"/>
  <c r="T35" i="6" s="1"/>
  <c r="I567" i="6"/>
  <c r="I572" i="6" s="1"/>
  <c r="X65" i="6" s="1"/>
  <c r="D315" i="6"/>
  <c r="I269" i="6"/>
  <c r="I274" i="6" s="1"/>
  <c r="X32" i="6" s="1"/>
  <c r="I170" i="6"/>
  <c r="I175" i="6" s="1"/>
  <c r="X21" i="6" s="1"/>
  <c r="I78" i="6"/>
  <c r="I477" i="6"/>
  <c r="I482" i="6" s="1"/>
  <c r="X55" i="6" s="1"/>
  <c r="D432" i="6"/>
  <c r="D437" i="6" s="1"/>
  <c r="T50" i="6" s="1"/>
  <c r="D351" i="6"/>
  <c r="D356" i="6" s="1"/>
  <c r="T41" i="6" s="1"/>
  <c r="I288" i="6"/>
  <c r="D90" i="6"/>
  <c r="D33" i="6"/>
  <c r="D388" i="6"/>
  <c r="I154" i="6"/>
  <c r="I89" i="6"/>
  <c r="I94" i="6" s="1"/>
  <c r="X12" i="6" s="1"/>
  <c r="I260" i="6"/>
  <c r="I265" i="6" s="1"/>
  <c r="X31" i="6" s="1"/>
  <c r="D30" i="6"/>
  <c r="I12" i="6"/>
  <c r="I17" i="6" s="1"/>
  <c r="X4" i="6" s="1"/>
  <c r="D76" i="6"/>
  <c r="D83" i="6"/>
  <c r="I459" i="6"/>
  <c r="I464" i="6" s="1"/>
  <c r="X53" i="6" s="1"/>
  <c r="D66" i="6"/>
  <c r="D180" i="6"/>
  <c r="D567" i="6"/>
  <c r="D572" i="6" s="1"/>
  <c r="T65" i="6" s="1"/>
  <c r="D261" i="6"/>
  <c r="D135" i="6"/>
  <c r="D78" i="6"/>
  <c r="D477" i="6"/>
  <c r="D482" i="6" s="1"/>
  <c r="T55" i="6" s="1"/>
  <c r="D307" i="6"/>
  <c r="D189" i="6"/>
  <c r="I107" i="6"/>
  <c r="I66" i="6"/>
  <c r="D224" i="6"/>
  <c r="D229" i="6" s="1"/>
  <c r="T27" i="6" s="1"/>
  <c r="I128" i="6"/>
  <c r="D75" i="6"/>
  <c r="D58" i="6"/>
  <c r="I40" i="6"/>
  <c r="D12" i="6"/>
  <c r="D17" i="6" s="1"/>
  <c r="T4" i="6" s="1"/>
  <c r="D504" i="6"/>
  <c r="D509" i="6" s="1"/>
  <c r="T58" i="6" s="1"/>
  <c r="D342" i="6"/>
  <c r="D347" i="6" s="1"/>
  <c r="T40" i="6" s="1"/>
  <c r="D107" i="6"/>
  <c r="D112" i="6" s="1"/>
  <c r="T14" i="6" s="1"/>
  <c r="D370" i="6"/>
  <c r="I82" i="6"/>
  <c r="C145" i="6"/>
  <c r="C92" i="6"/>
  <c r="I297" i="6"/>
  <c r="I302" i="6" s="1"/>
  <c r="X35" i="6" s="1"/>
  <c r="C298" i="6"/>
  <c r="H450" i="6"/>
  <c r="H23" i="6"/>
  <c r="C40" i="6"/>
  <c r="I171" i="6"/>
  <c r="I246" i="6"/>
  <c r="H324" i="6"/>
  <c r="I450" i="6"/>
  <c r="I455" i="6" s="1"/>
  <c r="X52" i="6" s="1"/>
  <c r="H540" i="6"/>
  <c r="D57" i="5"/>
  <c r="D469" i="5"/>
  <c r="D189" i="5"/>
  <c r="D477" i="5"/>
  <c r="D482" i="5" s="1"/>
  <c r="T55" i="5" s="1"/>
  <c r="D33" i="5"/>
  <c r="H77" i="5"/>
  <c r="H477" i="5"/>
  <c r="I48" i="5"/>
  <c r="I53" i="5" s="1"/>
  <c r="X8" i="5" s="1"/>
  <c r="I77" i="5"/>
  <c r="I152" i="5"/>
  <c r="I477" i="5"/>
  <c r="I482" i="5" s="1"/>
  <c r="X55" i="5" s="1"/>
  <c r="H12" i="5"/>
  <c r="C78" i="5"/>
  <c r="I154" i="5"/>
  <c r="I22" i="5"/>
  <c r="D77" i="5"/>
  <c r="I125" i="5"/>
  <c r="H152" i="5"/>
  <c r="H126" i="5"/>
  <c r="C423" i="5"/>
  <c r="I126" i="5"/>
  <c r="H360" i="5"/>
  <c r="C31" i="5"/>
  <c r="D78" i="5"/>
  <c r="D369" i="5"/>
  <c r="C107" i="5"/>
  <c r="H378" i="5"/>
  <c r="D90" i="5"/>
  <c r="I414" i="5"/>
  <c r="D3" i="5"/>
  <c r="I39" i="5"/>
  <c r="I44" i="5" s="1"/>
  <c r="X7" i="5" s="1"/>
  <c r="C513" i="5"/>
  <c r="H495" i="5"/>
  <c r="C477" i="5"/>
  <c r="C459" i="5"/>
  <c r="H432" i="5"/>
  <c r="C414" i="5"/>
  <c r="C370" i="5"/>
  <c r="H324" i="5"/>
  <c r="H66" i="5"/>
  <c r="C4" i="5"/>
  <c r="H100" i="5"/>
  <c r="C48" i="5"/>
  <c r="H30" i="5"/>
  <c r="C531" i="5"/>
  <c r="C495" i="5"/>
  <c r="C432" i="5"/>
  <c r="H369" i="5"/>
  <c r="H306" i="5"/>
  <c r="J306" i="5" s="1"/>
  <c r="C278" i="5"/>
  <c r="H242" i="5"/>
  <c r="C206" i="5"/>
  <c r="C170" i="5"/>
  <c r="C152" i="5"/>
  <c r="C126" i="5"/>
  <c r="H116" i="5"/>
  <c r="H89" i="5"/>
  <c r="H80" i="5"/>
  <c r="H76" i="5"/>
  <c r="C39" i="5"/>
  <c r="C32" i="5"/>
  <c r="C388" i="5"/>
  <c r="H504" i="5"/>
  <c r="C469" i="5"/>
  <c r="H450" i="5"/>
  <c r="H406" i="5"/>
  <c r="H387" i="5"/>
  <c r="C369" i="5"/>
  <c r="C342" i="5"/>
  <c r="C504" i="5"/>
  <c r="H405" i="5"/>
  <c r="C316" i="5"/>
  <c r="H21" i="5"/>
  <c r="C299" i="5"/>
  <c r="H281" i="5"/>
  <c r="H233" i="5"/>
  <c r="C179" i="5"/>
  <c r="C134" i="5"/>
  <c r="C98" i="5"/>
  <c r="C79" i="5"/>
  <c r="C75" i="5"/>
  <c r="H290" i="5"/>
  <c r="H282" i="5"/>
  <c r="H269" i="5"/>
  <c r="H251" i="5"/>
  <c r="H215" i="5"/>
  <c r="C198" i="5"/>
  <c r="H179" i="5"/>
  <c r="H161" i="5"/>
  <c r="C146" i="5"/>
  <c r="H134" i="5"/>
  <c r="C125" i="5"/>
  <c r="C99" i="5"/>
  <c r="H79" i="5"/>
  <c r="H75" i="5"/>
  <c r="H40" i="5"/>
  <c r="H523" i="5"/>
  <c r="C487" i="5"/>
  <c r="H468" i="5"/>
  <c r="C450" i="5"/>
  <c r="H423" i="5"/>
  <c r="C387" i="5"/>
  <c r="C290" i="5"/>
  <c r="C269" i="5"/>
  <c r="C251" i="5"/>
  <c r="C215" i="5"/>
  <c r="C197" i="5"/>
  <c r="C161" i="5"/>
  <c r="C145" i="5"/>
  <c r="H109" i="5"/>
  <c r="H83" i="5"/>
  <c r="H57" i="5"/>
  <c r="H496" i="5"/>
  <c r="C460" i="5"/>
  <c r="H291" i="5"/>
  <c r="C279" i="5"/>
  <c r="C224" i="5"/>
  <c r="C189" i="5"/>
  <c r="H143" i="5"/>
  <c r="C119" i="5"/>
  <c r="C82" i="5"/>
  <c r="C76" i="5"/>
  <c r="H58" i="5"/>
  <c r="H522" i="5"/>
  <c r="H342" i="5"/>
  <c r="H3" i="5"/>
  <c r="H414" i="5"/>
  <c r="C378" i="5"/>
  <c r="C289" i="5"/>
  <c r="H244" i="5"/>
  <c r="C188" i="5"/>
  <c r="H154" i="5"/>
  <c r="C135" i="5"/>
  <c r="H117" i="5"/>
  <c r="C81" i="5"/>
  <c r="H67" i="5"/>
  <c r="C40" i="5"/>
  <c r="C30" i="5"/>
  <c r="H22" i="5"/>
  <c r="C486" i="5"/>
  <c r="H333" i="5"/>
  <c r="C306" i="5"/>
  <c r="H288" i="5"/>
  <c r="H243" i="5"/>
  <c r="H207" i="5"/>
  <c r="C180" i="5"/>
  <c r="H153" i="5"/>
  <c r="C117" i="5"/>
  <c r="C92" i="5"/>
  <c r="C80" i="5"/>
  <c r="C67" i="5"/>
  <c r="C22" i="5"/>
  <c r="H513" i="5"/>
  <c r="H441" i="5"/>
  <c r="C405" i="5"/>
  <c r="C333" i="5"/>
  <c r="H48" i="5"/>
  <c r="C360" i="5"/>
  <c r="I306" i="5"/>
  <c r="I311" i="5" s="1"/>
  <c r="X36" i="5" s="1"/>
  <c r="D278" i="5"/>
  <c r="D284" i="5" s="1"/>
  <c r="T33" i="5" s="1"/>
  <c r="I242" i="5"/>
  <c r="D206" i="5"/>
  <c r="D170" i="5"/>
  <c r="D152" i="5"/>
  <c r="D157" i="5" s="1"/>
  <c r="T19" i="5" s="1"/>
  <c r="D126" i="5"/>
  <c r="I116" i="5"/>
  <c r="I100" i="5"/>
  <c r="I89" i="5"/>
  <c r="I94" i="5" s="1"/>
  <c r="X12" i="5" s="1"/>
  <c r="I80" i="5"/>
  <c r="I76" i="5"/>
  <c r="D48" i="5"/>
  <c r="D53" i="5" s="1"/>
  <c r="T8" i="5" s="1"/>
  <c r="D39" i="5"/>
  <c r="D44" i="5" s="1"/>
  <c r="T7" i="5" s="1"/>
  <c r="D32" i="5"/>
  <c r="I30" i="5"/>
  <c r="I35" i="5" s="1"/>
  <c r="X6" i="5" s="1"/>
  <c r="D531" i="5"/>
  <c r="D536" i="5" s="1"/>
  <c r="T61" i="5" s="1"/>
  <c r="D495" i="5"/>
  <c r="D500" i="5" s="1"/>
  <c r="T57" i="5" s="1"/>
  <c r="D432" i="5"/>
  <c r="D437" i="5" s="1"/>
  <c r="T50" i="5" s="1"/>
  <c r="D388" i="5"/>
  <c r="I369" i="5"/>
  <c r="I374" i="5" s="1"/>
  <c r="X43" i="5" s="1"/>
  <c r="I342" i="5"/>
  <c r="I347" i="5" s="1"/>
  <c r="X40" i="5" s="1"/>
  <c r="D324" i="5"/>
  <c r="D329" i="5" s="1"/>
  <c r="T38" i="5" s="1"/>
  <c r="D66" i="5"/>
  <c r="I23" i="5"/>
  <c r="I290" i="5"/>
  <c r="I282" i="5"/>
  <c r="I269" i="5"/>
  <c r="I274" i="5" s="1"/>
  <c r="X32" i="5" s="1"/>
  <c r="I251" i="5"/>
  <c r="I256" i="5" s="1"/>
  <c r="X30" i="5" s="1"/>
  <c r="I215" i="5"/>
  <c r="I220" i="5" s="1"/>
  <c r="X26" i="5" s="1"/>
  <c r="D198" i="5"/>
  <c r="I179" i="5"/>
  <c r="I184" i="5" s="1"/>
  <c r="X22" i="5" s="1"/>
  <c r="I161" i="5"/>
  <c r="I166" i="5" s="1"/>
  <c r="X20" i="5" s="1"/>
  <c r="D146" i="5"/>
  <c r="I134" i="5"/>
  <c r="I139" i="5" s="1"/>
  <c r="X17" i="5" s="1"/>
  <c r="D125" i="5"/>
  <c r="D130" i="5" s="1"/>
  <c r="T16" i="5" s="1"/>
  <c r="D99" i="5"/>
  <c r="I79" i="5"/>
  <c r="I75" i="5"/>
  <c r="I40" i="5"/>
  <c r="I281" i="5"/>
  <c r="D269" i="5"/>
  <c r="D274" i="5" s="1"/>
  <c r="T32" i="5" s="1"/>
  <c r="I233" i="5"/>
  <c r="I238" i="5" s="1"/>
  <c r="X28" i="5" s="1"/>
  <c r="D197" i="5"/>
  <c r="D134" i="5"/>
  <c r="D139" i="5" s="1"/>
  <c r="T17" i="5" s="1"/>
  <c r="I83" i="5"/>
  <c r="I57" i="5"/>
  <c r="I62" i="5" s="1"/>
  <c r="X9" i="5" s="1"/>
  <c r="D334" i="5"/>
  <c r="I523" i="5"/>
  <c r="D504" i="5"/>
  <c r="D509" i="5" s="1"/>
  <c r="T58" i="5" s="1"/>
  <c r="D487" i="5"/>
  <c r="I468" i="5"/>
  <c r="I473" i="5" s="1"/>
  <c r="X54" i="5" s="1"/>
  <c r="D450" i="5"/>
  <c r="D455" i="5" s="1"/>
  <c r="T52" i="5" s="1"/>
  <c r="I423" i="5"/>
  <c r="I428" i="5" s="1"/>
  <c r="X49" i="5" s="1"/>
  <c r="I405" i="5"/>
  <c r="D387" i="5"/>
  <c r="D392" i="5" s="1"/>
  <c r="T45" i="5" s="1"/>
  <c r="D316" i="5"/>
  <c r="I21" i="5"/>
  <c r="D299" i="5"/>
  <c r="D290" i="5"/>
  <c r="D251" i="5"/>
  <c r="D256" i="5" s="1"/>
  <c r="T30" i="5" s="1"/>
  <c r="D215" i="5"/>
  <c r="D220" i="5" s="1"/>
  <c r="T26" i="5" s="1"/>
  <c r="D179" i="5"/>
  <c r="D184" i="5" s="1"/>
  <c r="T22" i="5" s="1"/>
  <c r="D161" i="5"/>
  <c r="D166" i="5" s="1"/>
  <c r="T20" i="5" s="1"/>
  <c r="D145" i="5"/>
  <c r="I109" i="5"/>
  <c r="D98" i="5"/>
  <c r="D103" i="5" s="1"/>
  <c r="T13" i="5" s="1"/>
  <c r="D79" i="5"/>
  <c r="D75" i="5"/>
  <c r="D40" i="5"/>
  <c r="I522" i="5"/>
  <c r="I486" i="5"/>
  <c r="I491" i="5" s="1"/>
  <c r="X56" i="5" s="1"/>
  <c r="D468" i="5"/>
  <c r="D473" i="5" s="1"/>
  <c r="T54" i="5" s="1"/>
  <c r="D423" i="5"/>
  <c r="D428" i="5" s="1"/>
  <c r="T49" i="5" s="1"/>
  <c r="D405" i="5"/>
  <c r="D410" i="5" s="1"/>
  <c r="T47" i="5" s="1"/>
  <c r="I360" i="5"/>
  <c r="I365" i="5" s="1"/>
  <c r="X42" i="5" s="1"/>
  <c r="I315" i="5"/>
  <c r="I320" i="5" s="1"/>
  <c r="X37" i="5" s="1"/>
  <c r="I3" i="5"/>
  <c r="I8" i="5" s="1"/>
  <c r="I459" i="5"/>
  <c r="I464" i="5" s="1"/>
  <c r="X53" i="5" s="1"/>
  <c r="I415" i="5"/>
  <c r="I289" i="5"/>
  <c r="I245" i="5"/>
  <c r="I188" i="5"/>
  <c r="I193" i="5" s="1"/>
  <c r="X23" i="5" s="1"/>
  <c r="D143" i="5"/>
  <c r="I99" i="5"/>
  <c r="I495" i="5"/>
  <c r="I378" i="5"/>
  <c r="I383" i="5" s="1"/>
  <c r="X44" i="5" s="1"/>
  <c r="I278" i="5"/>
  <c r="I216" i="5"/>
  <c r="D118" i="5"/>
  <c r="I81" i="5"/>
  <c r="D58" i="5"/>
  <c r="D486" i="5"/>
  <c r="D491" i="5" s="1"/>
  <c r="T56" i="5" s="1"/>
  <c r="I450" i="5"/>
  <c r="I455" i="5" s="1"/>
  <c r="X52" i="5" s="1"/>
  <c r="I333" i="5"/>
  <c r="I338" i="5" s="1"/>
  <c r="X39" i="5" s="1"/>
  <c r="D414" i="5"/>
  <c r="D419" i="5" s="1"/>
  <c r="T48" i="5" s="1"/>
  <c r="D306" i="5"/>
  <c r="D311" i="5" s="1"/>
  <c r="T36" i="5" s="1"/>
  <c r="I288" i="5"/>
  <c r="I293" i="5" s="1"/>
  <c r="X34" i="5" s="1"/>
  <c r="I243" i="5"/>
  <c r="I207" i="5"/>
  <c r="D180" i="5"/>
  <c r="I153" i="5"/>
  <c r="D117" i="5"/>
  <c r="D92" i="5"/>
  <c r="D80" i="5"/>
  <c r="D67" i="5"/>
  <c r="D22" i="5"/>
  <c r="I513" i="5"/>
  <c r="I518" i="5" s="1"/>
  <c r="X59" i="5" s="1"/>
  <c r="I441" i="5"/>
  <c r="I446" i="5" s="1"/>
  <c r="X51" i="5" s="1"/>
  <c r="I406" i="5"/>
  <c r="D333" i="5"/>
  <c r="I12" i="5"/>
  <c r="I17" i="5" s="1"/>
  <c r="X4" i="5" s="1"/>
  <c r="D4" i="5"/>
  <c r="D370" i="5"/>
  <c r="I298" i="5"/>
  <c r="D288" i="5"/>
  <c r="D261" i="5"/>
  <c r="D242" i="5"/>
  <c r="D247" i="5" s="1"/>
  <c r="T29" i="5" s="1"/>
  <c r="H99" i="5"/>
  <c r="H486" i="5"/>
  <c r="C58" i="5"/>
  <c r="H127" i="5"/>
  <c r="I432" i="5"/>
  <c r="I437" i="5" s="1"/>
  <c r="X50" i="5" s="1"/>
  <c r="I58" i="5"/>
  <c r="H78" i="5"/>
  <c r="I127" i="5"/>
  <c r="H206" i="5"/>
  <c r="I496" i="5"/>
  <c r="I78" i="5"/>
  <c r="H128" i="5"/>
  <c r="H170" i="5"/>
  <c r="I206" i="5"/>
  <c r="I211" i="5" s="1"/>
  <c r="X25" i="5" s="1"/>
  <c r="C252" i="5"/>
  <c r="H497" i="5"/>
  <c r="D81" i="5"/>
  <c r="H107" i="5"/>
  <c r="I128" i="5"/>
  <c r="I170" i="5"/>
  <c r="I175" i="5" s="1"/>
  <c r="X21" i="5" s="1"/>
  <c r="C207" i="5"/>
  <c r="D252" i="5"/>
  <c r="I497" i="5"/>
  <c r="D21" i="5"/>
  <c r="D26" i="5" s="1"/>
  <c r="T5" i="5" s="1"/>
  <c r="H81" i="5"/>
  <c r="I107" i="5"/>
  <c r="C171" i="5"/>
  <c r="D207" i="5"/>
  <c r="C260" i="5"/>
  <c r="H289" i="5"/>
  <c r="H498" i="5"/>
  <c r="C66" i="5"/>
  <c r="D82" i="5"/>
  <c r="H108" i="5"/>
  <c r="C143" i="5"/>
  <c r="D171" i="5"/>
  <c r="D260" i="5"/>
  <c r="D265" i="5" s="1"/>
  <c r="T31" i="5" s="1"/>
  <c r="I291" i="5"/>
  <c r="C396" i="5"/>
  <c r="D459" i="5"/>
  <c r="D464" i="5" s="1"/>
  <c r="T53" i="5" s="1"/>
  <c r="I498" i="5"/>
  <c r="I66" i="5"/>
  <c r="I71" i="5" s="1"/>
  <c r="X10" i="5" s="1"/>
  <c r="H82" i="5"/>
  <c r="I108" i="5"/>
  <c r="I143" i="5"/>
  <c r="I148" i="5" s="1"/>
  <c r="X18" i="5" s="1"/>
  <c r="H171" i="5"/>
  <c r="H216" i="5"/>
  <c r="H260" i="5"/>
  <c r="C297" i="5"/>
  <c r="D396" i="5"/>
  <c r="D401" i="5" s="1"/>
  <c r="T46" i="5" s="1"/>
  <c r="H459" i="5"/>
  <c r="D12" i="5"/>
  <c r="D17" i="5" s="1"/>
  <c r="T4" i="5" s="1"/>
  <c r="C242" i="5"/>
  <c r="I280" i="5"/>
  <c r="D315" i="5"/>
  <c r="D320" i="5" s="1"/>
  <c r="T37" i="5" s="1"/>
  <c r="I283" i="5"/>
  <c r="H23" i="5"/>
  <c r="I387" i="5"/>
  <c r="I392" i="5" s="1"/>
  <c r="X45" i="5" s="1"/>
  <c r="D441" i="5"/>
  <c r="D446" i="5" s="1"/>
  <c r="T51" i="5" s="1"/>
  <c r="I82" i="5"/>
  <c r="C116" i="5"/>
  <c r="C144" i="5"/>
  <c r="I171" i="5"/>
  <c r="D224" i="5"/>
  <c r="D229" i="5" s="1"/>
  <c r="T27" i="5" s="1"/>
  <c r="I260" i="5"/>
  <c r="I265" i="5" s="1"/>
  <c r="X31" i="5" s="1"/>
  <c r="D297" i="5"/>
  <c r="C334" i="5"/>
  <c r="H396" i="5"/>
  <c r="D460" i="5"/>
  <c r="I504" i="5"/>
  <c r="I509" i="5" s="1"/>
  <c r="X58" i="5" s="1"/>
  <c r="I67" i="5"/>
  <c r="C89" i="5"/>
  <c r="D116" i="5"/>
  <c r="D121" i="5" s="1"/>
  <c r="T15" i="5" s="1"/>
  <c r="D144" i="5"/>
  <c r="H224" i="5"/>
  <c r="C261" i="5"/>
  <c r="H297" i="5"/>
  <c r="D342" i="5"/>
  <c r="D347" i="5" s="1"/>
  <c r="T40" i="5" s="1"/>
  <c r="I396" i="5"/>
  <c r="I401" i="5" s="1"/>
  <c r="X46" i="5" s="1"/>
  <c r="D513" i="5"/>
  <c r="D518" i="5" s="1"/>
  <c r="T59" i="5" s="1"/>
  <c r="D279" i="5"/>
  <c r="I279" i="5"/>
  <c r="D307" i="5"/>
  <c r="I244" i="5"/>
  <c r="H283" i="5"/>
  <c r="D31" i="5"/>
  <c r="H315" i="5"/>
  <c r="C21" i="5"/>
  <c r="C324" i="5"/>
  <c r="I324" i="5"/>
  <c r="I329" i="5" s="1"/>
  <c r="X38" i="5" s="1"/>
  <c r="C307" i="5"/>
  <c r="H280" i="5"/>
  <c r="C315" i="5"/>
  <c r="H245" i="5"/>
  <c r="D378" i="5"/>
  <c r="D383" i="5" s="1"/>
  <c r="T44" i="5" s="1"/>
  <c r="C288" i="5"/>
  <c r="D289" i="5"/>
  <c r="D135" i="5"/>
  <c r="D30" i="5"/>
  <c r="D89" i="5"/>
  <c r="I117" i="5"/>
  <c r="H144" i="5"/>
  <c r="I224" i="5"/>
  <c r="I229" i="5" s="1"/>
  <c r="X27" i="5" s="1"/>
  <c r="I297" i="5"/>
  <c r="I302" i="5" s="1"/>
  <c r="X35" i="5" s="1"/>
  <c r="C351" i="5"/>
  <c r="C522" i="5"/>
  <c r="C57" i="5"/>
  <c r="D76" i="5"/>
  <c r="C90" i="5"/>
  <c r="C118" i="5"/>
  <c r="I144" i="5"/>
  <c r="D188" i="5"/>
  <c r="D193" i="5" s="1"/>
  <c r="T23" i="5" s="1"/>
  <c r="H278" i="5"/>
  <c r="C298" i="5"/>
  <c r="D351" i="5"/>
  <c r="D356" i="5" s="1"/>
  <c r="T41" i="5" s="1"/>
  <c r="C468" i="5"/>
  <c r="D522" i="5"/>
  <c r="D527" i="5" s="1"/>
  <c r="T60" i="5" s="1"/>
  <c r="D307" i="4"/>
  <c r="C152" i="4"/>
  <c r="H153" i="4"/>
  <c r="H477" i="4"/>
  <c r="I109" i="4"/>
  <c r="I297" i="4"/>
  <c r="I302" i="4" s="1"/>
  <c r="X35" i="4" s="1"/>
  <c r="D22" i="4"/>
  <c r="I233" i="4"/>
  <c r="I238" i="4" s="1"/>
  <c r="X28" i="4" s="1"/>
  <c r="I477" i="4"/>
  <c r="I482" i="4" s="1"/>
  <c r="X55" i="4" s="1"/>
  <c r="C77" i="4"/>
  <c r="H154" i="4"/>
  <c r="I117" i="4"/>
  <c r="I154" i="4"/>
  <c r="H280" i="4"/>
  <c r="D78" i="4"/>
  <c r="H405" i="4"/>
  <c r="H39" i="4"/>
  <c r="D57" i="4"/>
  <c r="C290" i="4"/>
  <c r="I134" i="4"/>
  <c r="I139" i="4" s="1"/>
  <c r="X17" i="4" s="1"/>
  <c r="D477" i="4"/>
  <c r="D482" i="4" s="1"/>
  <c r="T55" i="4" s="1"/>
  <c r="H100" i="4"/>
  <c r="D76" i="4"/>
  <c r="D320" i="4"/>
  <c r="T37" i="4" s="1"/>
  <c r="C78" i="4"/>
  <c r="D405" i="4"/>
  <c r="D410" i="4" s="1"/>
  <c r="T47" i="4" s="1"/>
  <c r="I280" i="4"/>
  <c r="C334" i="4"/>
  <c r="C57" i="4"/>
  <c r="D334" i="4"/>
  <c r="H360" i="4"/>
  <c r="C299" i="4"/>
  <c r="H245" i="4"/>
  <c r="H216" i="4"/>
  <c r="C171" i="4"/>
  <c r="C145" i="4"/>
  <c r="C33" i="4"/>
  <c r="C351" i="4"/>
  <c r="H315" i="4"/>
  <c r="H281" i="4"/>
  <c r="H207" i="4"/>
  <c r="H143" i="4"/>
  <c r="H78" i="4"/>
  <c r="H57" i="4"/>
  <c r="H48" i="4"/>
  <c r="C40" i="4"/>
  <c r="H415" i="4"/>
  <c r="D82" i="4"/>
  <c r="H498" i="4"/>
  <c r="H82" i="4"/>
  <c r="D290" i="4"/>
  <c r="D342" i="4"/>
  <c r="D347" i="4" s="1"/>
  <c r="T40" i="4" s="1"/>
  <c r="I498" i="4"/>
  <c r="D265" i="4"/>
  <c r="T31" i="4" s="1"/>
  <c r="I211" i="4"/>
  <c r="X25" i="4" s="1"/>
  <c r="C107" i="4"/>
  <c r="H522" i="4"/>
  <c r="C207" i="4"/>
  <c r="H279" i="4"/>
  <c r="I279" i="4"/>
  <c r="C251" i="4"/>
  <c r="D441" i="4"/>
  <c r="D446" i="4" s="1"/>
  <c r="T51" i="4" s="1"/>
  <c r="H23" i="4"/>
  <c r="C134" i="4"/>
  <c r="C252" i="4"/>
  <c r="D297" i="4"/>
  <c r="D370" i="4"/>
  <c r="I75" i="4"/>
  <c r="C279" i="4"/>
  <c r="C76" i="4"/>
  <c r="I153" i="4"/>
  <c r="C405" i="4"/>
  <c r="D171" i="4"/>
  <c r="I82" i="4"/>
  <c r="D179" i="4"/>
  <c r="D184" i="4" s="1"/>
  <c r="T22" i="4" s="1"/>
  <c r="H291" i="4"/>
  <c r="C441" i="4"/>
  <c r="D522" i="4"/>
  <c r="D527" i="4" s="1"/>
  <c r="T60" i="4" s="1"/>
  <c r="H12" i="4"/>
  <c r="H83" i="4"/>
  <c r="D251" i="4"/>
  <c r="I12" i="4"/>
  <c r="I17" i="4" s="1"/>
  <c r="X4" i="4" s="1"/>
  <c r="I83" i="4"/>
  <c r="I179" i="4"/>
  <c r="I184" i="4" s="1"/>
  <c r="X22" i="4" s="1"/>
  <c r="C260" i="4"/>
  <c r="I441" i="4"/>
  <c r="I446" i="4" s="1"/>
  <c r="X51" i="4" s="1"/>
  <c r="H513" i="4"/>
  <c r="C513" i="4"/>
  <c r="H495" i="4"/>
  <c r="C477" i="4"/>
  <c r="C459" i="4"/>
  <c r="H432" i="4"/>
  <c r="C414" i="4"/>
  <c r="C370" i="4"/>
  <c r="H324" i="4"/>
  <c r="C22" i="4"/>
  <c r="C12" i="4"/>
  <c r="H3" i="4"/>
  <c r="C3" i="4"/>
  <c r="H306" i="4"/>
  <c r="J306" i="4" s="1"/>
  <c r="C278" i="4"/>
  <c r="H242" i="4"/>
  <c r="C206" i="4"/>
  <c r="C188" i="4"/>
  <c r="H170" i="4"/>
  <c r="H152" i="4"/>
  <c r="C143" i="4"/>
  <c r="H126" i="4"/>
  <c r="C117" i="4"/>
  <c r="C91" i="4"/>
  <c r="H81" i="4"/>
  <c r="H77" i="4"/>
  <c r="C67" i="4"/>
  <c r="H58" i="4"/>
  <c r="C324" i="4"/>
  <c r="C531" i="4"/>
  <c r="C495" i="4"/>
  <c r="C432" i="4"/>
  <c r="C388" i="4"/>
  <c r="H369" i="4"/>
  <c r="H342" i="4"/>
  <c r="H504" i="4"/>
  <c r="C469" i="4"/>
  <c r="H450" i="4"/>
  <c r="H406" i="4"/>
  <c r="H387" i="4"/>
  <c r="C369" i="4"/>
  <c r="C342" i="4"/>
  <c r="H66" i="4"/>
  <c r="C4" i="4"/>
  <c r="H290" i="4"/>
  <c r="H282" i="4"/>
  <c r="H269" i="4"/>
  <c r="H251" i="4"/>
  <c r="H215" i="4"/>
  <c r="C198" i="4"/>
  <c r="C180" i="4"/>
  <c r="C135" i="4"/>
  <c r="H125" i="4"/>
  <c r="C116" i="4"/>
  <c r="H99" i="4"/>
  <c r="H89" i="4"/>
  <c r="H80" i="4"/>
  <c r="H76" i="4"/>
  <c r="C48" i="4"/>
  <c r="C39" i="4"/>
  <c r="C32" i="4"/>
  <c r="H30" i="4"/>
  <c r="H22" i="4"/>
  <c r="C30" i="4"/>
  <c r="H40" i="4"/>
  <c r="I66" i="4"/>
  <c r="C79" i="4"/>
  <c r="D89" i="4"/>
  <c r="I107" i="4"/>
  <c r="C125" i="4"/>
  <c r="C144" i="4"/>
  <c r="D161" i="4"/>
  <c r="D166" i="4" s="1"/>
  <c r="T20" i="4" s="1"/>
  <c r="I188" i="4"/>
  <c r="I193" i="4" s="1"/>
  <c r="X23" i="4" s="1"/>
  <c r="H243" i="4"/>
  <c r="D261" i="4"/>
  <c r="H283" i="4"/>
  <c r="C298" i="4"/>
  <c r="C316" i="4"/>
  <c r="I415" i="4"/>
  <c r="D459" i="4"/>
  <c r="D486" i="4"/>
  <c r="D491" i="4" s="1"/>
  <c r="T56" i="4" s="1"/>
  <c r="I513" i="4"/>
  <c r="I518" i="4" s="1"/>
  <c r="X59" i="4" s="1"/>
  <c r="I22" i="4"/>
  <c r="D30" i="4"/>
  <c r="I40" i="4"/>
  <c r="H67" i="4"/>
  <c r="D79" i="4"/>
  <c r="C90" i="4"/>
  <c r="H108" i="4"/>
  <c r="D125" i="4"/>
  <c r="D144" i="4"/>
  <c r="H161" i="4"/>
  <c r="C189" i="4"/>
  <c r="I243" i="4"/>
  <c r="C288" i="4"/>
  <c r="C387" i="4"/>
  <c r="H459" i="4"/>
  <c r="H486" i="4"/>
  <c r="I260" i="4"/>
  <c r="I265" i="4" s="1"/>
  <c r="X31" i="4" s="1"/>
  <c r="D107" i="4"/>
  <c r="D112" i="4" s="1"/>
  <c r="T14" i="4" s="1"/>
  <c r="I414" i="4"/>
  <c r="I419" i="4" s="1"/>
  <c r="X48" i="4" s="1"/>
  <c r="I3" i="4"/>
  <c r="I8" i="4" s="1"/>
  <c r="D40" i="4"/>
  <c r="I57" i="4"/>
  <c r="C66" i="4"/>
  <c r="I78" i="4"/>
  <c r="C89" i="4"/>
  <c r="H107" i="4"/>
  <c r="I143" i="4"/>
  <c r="C161" i="4"/>
  <c r="H188" i="4"/>
  <c r="I207" i="4"/>
  <c r="C242" i="4"/>
  <c r="C261" i="4"/>
  <c r="I281" i="4"/>
  <c r="I315" i="4"/>
  <c r="I320" i="4" s="1"/>
  <c r="X37" i="4" s="1"/>
  <c r="D351" i="4"/>
  <c r="D356" i="4" s="1"/>
  <c r="T41" i="4" s="1"/>
  <c r="C450" i="4"/>
  <c r="C486" i="4"/>
  <c r="I306" i="4"/>
  <c r="I311" i="4" s="1"/>
  <c r="X36" i="4" s="1"/>
  <c r="D278" i="4"/>
  <c r="D284" i="4" s="1"/>
  <c r="T33" i="4" s="1"/>
  <c r="I242" i="4"/>
  <c r="D206" i="4"/>
  <c r="D211" i="4" s="1"/>
  <c r="T25" i="4" s="1"/>
  <c r="D188" i="4"/>
  <c r="I170" i="4"/>
  <c r="I152" i="4"/>
  <c r="D143" i="4"/>
  <c r="I126" i="4"/>
  <c r="D117" i="4"/>
  <c r="D91" i="4"/>
  <c r="I81" i="4"/>
  <c r="I77" i="4"/>
  <c r="D67" i="4"/>
  <c r="I58" i="4"/>
  <c r="D77" i="4"/>
  <c r="I48" i="4"/>
  <c r="I53" i="4" s="1"/>
  <c r="X8" i="4" s="1"/>
  <c r="I406" i="4"/>
  <c r="D531" i="4"/>
  <c r="D536" i="4" s="1"/>
  <c r="T61" i="4" s="1"/>
  <c r="D495" i="4"/>
  <c r="D500" i="4" s="1"/>
  <c r="T57" i="4" s="1"/>
  <c r="D432" i="4"/>
  <c r="D437" i="4" s="1"/>
  <c r="T50" i="4" s="1"/>
  <c r="D388" i="4"/>
  <c r="I369" i="4"/>
  <c r="I374" i="4" s="1"/>
  <c r="X43" i="4" s="1"/>
  <c r="I342" i="4"/>
  <c r="I347" i="4" s="1"/>
  <c r="X40" i="4" s="1"/>
  <c r="D324" i="4"/>
  <c r="D329" i="4" s="1"/>
  <c r="T38" i="4" s="1"/>
  <c r="D3" i="4"/>
  <c r="D8" i="4" s="1"/>
  <c r="I216" i="4"/>
  <c r="D152" i="4"/>
  <c r="D157" i="4" s="1"/>
  <c r="T19" i="4" s="1"/>
  <c r="D126" i="4"/>
  <c r="I100" i="4"/>
  <c r="D90" i="4"/>
  <c r="D58" i="4"/>
  <c r="I39" i="4"/>
  <c r="I504" i="4"/>
  <c r="I509" i="4" s="1"/>
  <c r="X58" i="4" s="1"/>
  <c r="I450" i="4"/>
  <c r="I455" i="4" s="1"/>
  <c r="X52" i="4" s="1"/>
  <c r="D306" i="4"/>
  <c r="I291" i="4"/>
  <c r="I283" i="4"/>
  <c r="D252" i="4"/>
  <c r="D242" i="4"/>
  <c r="D247" i="4" s="1"/>
  <c r="T29" i="4" s="1"/>
  <c r="D170" i="4"/>
  <c r="I116" i="4"/>
  <c r="D81" i="4"/>
  <c r="D469" i="4"/>
  <c r="D473" i="4" s="1"/>
  <c r="T54" i="4" s="1"/>
  <c r="I387" i="4"/>
  <c r="I392" i="4" s="1"/>
  <c r="X45" i="4" s="1"/>
  <c r="I290" i="4"/>
  <c r="I282" i="4"/>
  <c r="I269" i="4"/>
  <c r="I274" i="4" s="1"/>
  <c r="X32" i="4" s="1"/>
  <c r="I251" i="4"/>
  <c r="I256" i="4" s="1"/>
  <c r="X30" i="4" s="1"/>
  <c r="I215" i="4"/>
  <c r="D198" i="4"/>
  <c r="D180" i="4"/>
  <c r="D135" i="4"/>
  <c r="D139" i="4" s="1"/>
  <c r="T17" i="4" s="1"/>
  <c r="I125" i="4"/>
  <c r="D116" i="4"/>
  <c r="I99" i="4"/>
  <c r="I103" i="4" s="1"/>
  <c r="X13" i="4" s="1"/>
  <c r="I89" i="4"/>
  <c r="I94" i="4" s="1"/>
  <c r="X12" i="4" s="1"/>
  <c r="I80" i="4"/>
  <c r="I76" i="4"/>
  <c r="D48" i="4"/>
  <c r="D53" i="4" s="1"/>
  <c r="T8" i="4" s="1"/>
  <c r="D39" i="4"/>
  <c r="D32" i="4"/>
  <c r="I30" i="4"/>
  <c r="I35" i="4" s="1"/>
  <c r="X6" i="4" s="1"/>
  <c r="I523" i="4"/>
  <c r="D504" i="4"/>
  <c r="D509" i="4" s="1"/>
  <c r="T58" i="4" s="1"/>
  <c r="D487" i="4"/>
  <c r="I468" i="4"/>
  <c r="I473" i="4" s="1"/>
  <c r="X54" i="4" s="1"/>
  <c r="D450" i="4"/>
  <c r="D455" i="4" s="1"/>
  <c r="T52" i="4" s="1"/>
  <c r="I423" i="4"/>
  <c r="I428" i="4" s="1"/>
  <c r="X49" i="4" s="1"/>
  <c r="I405" i="4"/>
  <c r="I410" i="4" s="1"/>
  <c r="X47" i="4" s="1"/>
  <c r="D387" i="4"/>
  <c r="D392" i="4" s="1"/>
  <c r="T45" i="4" s="1"/>
  <c r="D316" i="4"/>
  <c r="D66" i="4"/>
  <c r="I23" i="4"/>
  <c r="I67" i="4"/>
  <c r="H79" i="4"/>
  <c r="C92" i="4"/>
  <c r="I108" i="4"/>
  <c r="C126" i="4"/>
  <c r="H144" i="4"/>
  <c r="I161" i="4"/>
  <c r="I166" i="4" s="1"/>
  <c r="X20" i="4" s="1"/>
  <c r="D189" i="4"/>
  <c r="C215" i="4"/>
  <c r="H244" i="4"/>
  <c r="D288" i="4"/>
  <c r="H298" i="4"/>
  <c r="I324" i="4"/>
  <c r="I329" i="4" s="1"/>
  <c r="X38" i="4" s="1"/>
  <c r="C360" i="4"/>
  <c r="I459" i="4"/>
  <c r="I464" i="4" s="1"/>
  <c r="X53" i="4" s="1"/>
  <c r="I486" i="4"/>
  <c r="I491" i="4" s="1"/>
  <c r="X56" i="4" s="1"/>
  <c r="C21" i="4"/>
  <c r="I79" i="4"/>
  <c r="D92" i="4"/>
  <c r="H109" i="4"/>
  <c r="H127" i="4"/>
  <c r="I144" i="4"/>
  <c r="C170" i="4"/>
  <c r="D215" i="4"/>
  <c r="D220" i="4" s="1"/>
  <c r="T26" i="4" s="1"/>
  <c r="I244" i="4"/>
  <c r="C269" i="4"/>
  <c r="H288" i="4"/>
  <c r="I298" i="4"/>
  <c r="D360" i="4"/>
  <c r="D365" i="4" s="1"/>
  <c r="T42" i="4" s="1"/>
  <c r="C396" i="4"/>
  <c r="C423" i="4"/>
  <c r="C460" i="4"/>
  <c r="C487" i="4"/>
  <c r="C522" i="4"/>
  <c r="H21" i="4"/>
  <c r="C75" i="4"/>
  <c r="H128" i="4"/>
  <c r="C197" i="4"/>
  <c r="I245" i="4"/>
  <c r="D299" i="4"/>
  <c r="I360" i="4"/>
  <c r="I365" i="4" s="1"/>
  <c r="X42" i="4" s="1"/>
  <c r="I21" i="4"/>
  <c r="H171" i="4"/>
  <c r="D21" i="4"/>
  <c r="I288" i="4"/>
  <c r="D396" i="4"/>
  <c r="D401" i="4" s="1"/>
  <c r="T46" i="4" s="1"/>
  <c r="D423" i="4"/>
  <c r="D428" i="4" s="1"/>
  <c r="T49" i="4" s="1"/>
  <c r="D460" i="4"/>
  <c r="D33" i="4"/>
  <c r="D145" i="4"/>
  <c r="C289" i="4"/>
  <c r="H396" i="4"/>
  <c r="H423" i="4"/>
  <c r="C58" i="4"/>
  <c r="D75" i="4"/>
  <c r="C81" i="4"/>
  <c r="C98" i="4"/>
  <c r="I128" i="4"/>
  <c r="C146" i="4"/>
  <c r="D197" i="4"/>
  <c r="D224" i="4"/>
  <c r="D229" i="4" s="1"/>
  <c r="T27" i="4" s="1"/>
  <c r="H278" i="4"/>
  <c r="D289" i="4"/>
  <c r="C306" i="4"/>
  <c r="D333" i="4"/>
  <c r="I396" i="4"/>
  <c r="I401" i="4" s="1"/>
  <c r="X46" i="4" s="1"/>
  <c r="I432" i="4"/>
  <c r="I437" i="4" s="1"/>
  <c r="X50" i="4" s="1"/>
  <c r="I496" i="4"/>
  <c r="I500" i="4" s="1"/>
  <c r="X57" i="4" s="1"/>
  <c r="I522" i="4"/>
  <c r="D12" i="4"/>
  <c r="D17" i="4" s="1"/>
  <c r="T4" i="4" s="1"/>
  <c r="C31" i="4"/>
  <c r="H75" i="4"/>
  <c r="C82" i="4"/>
  <c r="D98" i="4"/>
  <c r="D103" i="4" s="1"/>
  <c r="T13" i="4" s="1"/>
  <c r="H116" i="4"/>
  <c r="D146" i="4"/>
  <c r="I171" i="4"/>
  <c r="H197" i="4"/>
  <c r="H224" i="4"/>
  <c r="I278" i="4"/>
  <c r="H289" i="4"/>
  <c r="H333" i="4"/>
  <c r="D369" i="4"/>
  <c r="D374" i="4" s="1"/>
  <c r="T43" i="4" s="1"/>
  <c r="C468" i="4"/>
  <c r="H497" i="4"/>
  <c r="H523" i="4"/>
  <c r="I117" i="3"/>
  <c r="C146" i="3"/>
  <c r="H179" i="3"/>
  <c r="C468" i="3"/>
  <c r="I62" i="3"/>
  <c r="X9" i="3" s="1"/>
  <c r="I513" i="3"/>
  <c r="I518" i="3" s="1"/>
  <c r="X59" i="3" s="1"/>
  <c r="I477" i="3"/>
  <c r="I482" i="3" s="1"/>
  <c r="X55" i="3" s="1"/>
  <c r="I459" i="3"/>
  <c r="I464" i="3" s="1"/>
  <c r="X53" i="3" s="1"/>
  <c r="I414" i="3"/>
  <c r="D396" i="3"/>
  <c r="D401" i="3" s="1"/>
  <c r="T46" i="3" s="1"/>
  <c r="D351" i="3"/>
  <c r="D356" i="3" s="1"/>
  <c r="T41" i="3" s="1"/>
  <c r="D307" i="3"/>
  <c r="I22" i="3"/>
  <c r="I12" i="3"/>
  <c r="I17" i="3" s="1"/>
  <c r="X4" i="3" s="1"/>
  <c r="I504" i="3"/>
  <c r="I509" i="3" s="1"/>
  <c r="X58" i="3" s="1"/>
  <c r="I432" i="3"/>
  <c r="I437" i="3" s="1"/>
  <c r="X50" i="3" s="1"/>
  <c r="D297" i="3"/>
  <c r="I233" i="3"/>
  <c r="I238" i="3" s="1"/>
  <c r="X28" i="3" s="1"/>
  <c r="D171" i="3"/>
  <c r="I152" i="3"/>
  <c r="I125" i="3"/>
  <c r="I98" i="3"/>
  <c r="I83" i="3"/>
  <c r="D78" i="3"/>
  <c r="D67" i="3"/>
  <c r="D58" i="3"/>
  <c r="D531" i="3"/>
  <c r="D536" i="3" s="1"/>
  <c r="T61" i="3" s="1"/>
  <c r="I486" i="3"/>
  <c r="I491" i="3" s="1"/>
  <c r="X56" i="3" s="1"/>
  <c r="I406" i="3"/>
  <c r="D387" i="3"/>
  <c r="D392" i="3" s="1"/>
  <c r="T45" i="3" s="1"/>
  <c r="I360" i="3"/>
  <c r="I365" i="3" s="1"/>
  <c r="X42" i="3" s="1"/>
  <c r="D504" i="3"/>
  <c r="D509" i="3" s="1"/>
  <c r="T58" i="3" s="1"/>
  <c r="D460" i="3"/>
  <c r="D432" i="3"/>
  <c r="D437" i="3" s="1"/>
  <c r="T50" i="3" s="1"/>
  <c r="I269" i="3"/>
  <c r="I274" i="3" s="1"/>
  <c r="X32" i="3" s="1"/>
  <c r="D251" i="3"/>
  <c r="D233" i="3"/>
  <c r="D238" i="3" s="1"/>
  <c r="T28" i="3" s="1"/>
  <c r="I207" i="3"/>
  <c r="I188" i="3"/>
  <c r="I193" i="3" s="1"/>
  <c r="X23" i="3" s="1"/>
  <c r="I170" i="3"/>
  <c r="D152" i="3"/>
  <c r="D157" i="3" s="1"/>
  <c r="T19" i="3" s="1"/>
  <c r="D135" i="3"/>
  <c r="I498" i="3"/>
  <c r="I378" i="3"/>
  <c r="I383" i="3" s="1"/>
  <c r="X44" i="3" s="1"/>
  <c r="D298" i="3"/>
  <c r="I282" i="3"/>
  <c r="I242" i="3"/>
  <c r="D116" i="3"/>
  <c r="D98" i="3"/>
  <c r="I81" i="3"/>
  <c r="I76" i="3"/>
  <c r="D39" i="3"/>
  <c r="D44" i="3" s="1"/>
  <c r="T7" i="3" s="1"/>
  <c r="D469" i="3"/>
  <c r="I441" i="3"/>
  <c r="I446" i="3" s="1"/>
  <c r="X51" i="3" s="1"/>
  <c r="I405" i="3"/>
  <c r="I342" i="3"/>
  <c r="I347" i="3" s="1"/>
  <c r="X40" i="3" s="1"/>
  <c r="D261" i="3"/>
  <c r="D215" i="3"/>
  <c r="D220" i="3" s="1"/>
  <c r="T26" i="3" s="1"/>
  <c r="D188" i="3"/>
  <c r="I144" i="3"/>
  <c r="I48" i="3"/>
  <c r="I53" i="3" s="1"/>
  <c r="X8" i="3" s="1"/>
  <c r="I523" i="3"/>
  <c r="I497" i="3"/>
  <c r="D378" i="3"/>
  <c r="D383" i="3" s="1"/>
  <c r="T44" i="3" s="1"/>
  <c r="I315" i="3"/>
  <c r="I320" i="3" s="1"/>
  <c r="X37" i="3" s="1"/>
  <c r="I281" i="3"/>
  <c r="D242" i="3"/>
  <c r="D247" i="3" s="1"/>
  <c r="T29" i="3" s="1"/>
  <c r="I161" i="3"/>
  <c r="I166" i="3" s="1"/>
  <c r="X20" i="3" s="1"/>
  <c r="D126" i="3"/>
  <c r="I109" i="3"/>
  <c r="D92" i="3"/>
  <c r="D81" i="3"/>
  <c r="D76" i="3"/>
  <c r="I468" i="3"/>
  <c r="I473" i="3" s="1"/>
  <c r="X54" i="3" s="1"/>
  <c r="D441" i="3"/>
  <c r="D446" i="3" s="1"/>
  <c r="T51" i="3" s="1"/>
  <c r="D405" i="3"/>
  <c r="D410" i="3" s="1"/>
  <c r="T47" i="3" s="1"/>
  <c r="D342" i="3"/>
  <c r="D347" i="3" s="1"/>
  <c r="T40" i="3" s="1"/>
  <c r="I291" i="3"/>
  <c r="D260" i="3"/>
  <c r="I143" i="3"/>
  <c r="D48" i="3"/>
  <c r="D53" i="3" s="1"/>
  <c r="T8" i="3" s="1"/>
  <c r="I522" i="3"/>
  <c r="D370" i="3"/>
  <c r="D374" i="3" s="1"/>
  <c r="T43" i="3" s="1"/>
  <c r="D315" i="3"/>
  <c r="D320" i="3" s="1"/>
  <c r="T37" i="3" s="1"/>
  <c r="I280" i="3"/>
  <c r="I206" i="3"/>
  <c r="I211" i="3" s="1"/>
  <c r="X25" i="3" s="1"/>
  <c r="D161" i="3"/>
  <c r="D166" i="3" s="1"/>
  <c r="T20" i="3" s="1"/>
  <c r="D125" i="3"/>
  <c r="D130" i="3" s="1"/>
  <c r="T16" i="3" s="1"/>
  <c r="I108" i="3"/>
  <c r="D91" i="3"/>
  <c r="I80" i="3"/>
  <c r="I75" i="3"/>
  <c r="I85" i="3" s="1"/>
  <c r="X11" i="3" s="1"/>
  <c r="I40" i="3"/>
  <c r="D468" i="3"/>
  <c r="D473" i="3" s="1"/>
  <c r="T54" i="3" s="1"/>
  <c r="I290" i="3"/>
  <c r="D180" i="3"/>
  <c r="D143" i="3"/>
  <c r="D21" i="3"/>
  <c r="D26" i="3" s="1"/>
  <c r="T5" i="3" s="1"/>
  <c r="D82" i="3"/>
  <c r="D198" i="3"/>
  <c r="I243" i="3"/>
  <c r="I278" i="3"/>
  <c r="D299" i="3"/>
  <c r="I23" i="3"/>
  <c r="I67" i="3"/>
  <c r="D450" i="3"/>
  <c r="D455" i="3" s="1"/>
  <c r="T52" i="3" s="1"/>
  <c r="I3" i="3"/>
  <c r="I8" i="3" s="1"/>
  <c r="I21" i="3"/>
  <c r="C75" i="3"/>
  <c r="D107" i="3"/>
  <c r="D112" i="3" s="1"/>
  <c r="T14" i="3" s="1"/>
  <c r="D134" i="3"/>
  <c r="D170" i="3"/>
  <c r="I245" i="3"/>
  <c r="I279" i="3"/>
  <c r="C351" i="3"/>
  <c r="C396" i="3"/>
  <c r="H450" i="3"/>
  <c r="D75" i="3"/>
  <c r="C89" i="3"/>
  <c r="H116" i="3"/>
  <c r="H134" i="3"/>
  <c r="H170" i="3"/>
  <c r="C206" i="3"/>
  <c r="C306" i="3"/>
  <c r="I396" i="3"/>
  <c r="I401" i="3" s="1"/>
  <c r="X46" i="3" s="1"/>
  <c r="I450" i="3"/>
  <c r="I455" i="3" s="1"/>
  <c r="X52" i="3" s="1"/>
  <c r="H75" i="3"/>
  <c r="D89" i="3"/>
  <c r="I116" i="3"/>
  <c r="I121" i="3" s="1"/>
  <c r="X15" i="3" s="1"/>
  <c r="I134" i="3"/>
  <c r="I139" i="3" s="1"/>
  <c r="X17" i="3" s="1"/>
  <c r="D206" i="3"/>
  <c r="D306" i="3"/>
  <c r="C32" i="3"/>
  <c r="C40" i="3"/>
  <c r="C77" i="3"/>
  <c r="C117" i="3"/>
  <c r="C135" i="3"/>
  <c r="I215" i="3"/>
  <c r="I220" i="3" s="1"/>
  <c r="X26" i="3" s="1"/>
  <c r="C251" i="3"/>
  <c r="D288" i="3"/>
  <c r="D293" i="3" s="1"/>
  <c r="T34" i="3" s="1"/>
  <c r="D360" i="3"/>
  <c r="D365" i="3" s="1"/>
  <c r="T42" i="3" s="1"/>
  <c r="C12" i="3"/>
  <c r="C30" i="3"/>
  <c r="D32" i="3"/>
  <c r="D40" i="3"/>
  <c r="H58" i="3"/>
  <c r="D77" i="3"/>
  <c r="I89" i="3"/>
  <c r="I94" i="3" s="1"/>
  <c r="X12" i="3" s="1"/>
  <c r="D117" i="3"/>
  <c r="C143" i="3"/>
  <c r="C179" i="3"/>
  <c r="H216" i="3"/>
  <c r="C252" i="3"/>
  <c r="C289" i="3"/>
  <c r="I306" i="3"/>
  <c r="I311" i="3" s="1"/>
  <c r="X36" i="3" s="1"/>
  <c r="D414" i="3"/>
  <c r="D419" i="3" s="1"/>
  <c r="T48" i="3" s="1"/>
  <c r="C459" i="3"/>
  <c r="D12" i="3"/>
  <c r="D17" i="3" s="1"/>
  <c r="T4" i="3" s="1"/>
  <c r="D30" i="3"/>
  <c r="H40" i="3"/>
  <c r="I58" i="3"/>
  <c r="H77" i="3"/>
  <c r="C90" i="3"/>
  <c r="H117" i="3"/>
  <c r="D145" i="3"/>
  <c r="D179" i="3"/>
  <c r="D184" i="3" s="1"/>
  <c r="T22" i="3" s="1"/>
  <c r="I216" i="3"/>
  <c r="D252" i="3"/>
  <c r="D289" i="3"/>
  <c r="C369" i="3"/>
  <c r="I415" i="3"/>
  <c r="D459" i="3"/>
  <c r="D464" i="3" s="1"/>
  <c r="T53" i="3" s="1"/>
  <c r="C504" i="3"/>
  <c r="H12" i="3"/>
  <c r="H30" i="3"/>
  <c r="I77" i="3"/>
  <c r="D22" i="3"/>
  <c r="I30" i="3"/>
  <c r="I35" i="3" s="1"/>
  <c r="X6" i="3" s="1"/>
  <c r="C79" i="3"/>
  <c r="C99" i="3"/>
  <c r="D146" i="3"/>
  <c r="I179" i="3"/>
  <c r="I184" i="3" s="1"/>
  <c r="X22" i="3" s="1"/>
  <c r="C324" i="3"/>
  <c r="H369" i="3"/>
  <c r="H22" i="3"/>
  <c r="D79" i="3"/>
  <c r="D99" i="3"/>
  <c r="C180" i="3"/>
  <c r="C269" i="3"/>
  <c r="C290" i="3"/>
  <c r="D324" i="3"/>
  <c r="D329" i="3" s="1"/>
  <c r="T38" i="3" s="1"/>
  <c r="I369" i="3"/>
  <c r="I374" i="3" s="1"/>
  <c r="X43" i="3" s="1"/>
  <c r="C423" i="3"/>
  <c r="C477" i="3"/>
  <c r="C513" i="3"/>
  <c r="C66" i="3"/>
  <c r="H79" i="3"/>
  <c r="H99" i="3"/>
  <c r="C197" i="3"/>
  <c r="D269" i="3"/>
  <c r="D274" i="3" s="1"/>
  <c r="T32" i="3" s="1"/>
  <c r="D290" i="3"/>
  <c r="D423" i="3"/>
  <c r="D428" i="3" s="1"/>
  <c r="T49" i="3" s="1"/>
  <c r="D477" i="3"/>
  <c r="D482" i="3" s="1"/>
  <c r="T55" i="3" s="1"/>
  <c r="D513" i="3"/>
  <c r="D518" i="3" s="1"/>
  <c r="T59" i="3" s="1"/>
  <c r="C4" i="3"/>
  <c r="D66" i="3"/>
  <c r="D71" i="3" s="1"/>
  <c r="T10" i="3" s="1"/>
  <c r="I79" i="3"/>
  <c r="I99" i="3"/>
  <c r="C152" i="3"/>
  <c r="D197" i="3"/>
  <c r="H269" i="3"/>
  <c r="H290" i="3"/>
  <c r="H423" i="3"/>
  <c r="D4" i="3"/>
  <c r="D8" i="3" s="1"/>
  <c r="H39" i="3"/>
  <c r="H66" i="3"/>
  <c r="H100" i="3"/>
  <c r="H153" i="3"/>
  <c r="H197" i="3"/>
  <c r="C278" i="3"/>
  <c r="H298" i="3"/>
  <c r="I423" i="3"/>
  <c r="I428" i="3" s="1"/>
  <c r="X49" i="3" s="1"/>
  <c r="C486" i="3"/>
  <c r="H522" i="3"/>
  <c r="C370" i="3"/>
  <c r="H280" i="3"/>
  <c r="H206" i="3"/>
  <c r="C161" i="3"/>
  <c r="C125" i="3"/>
  <c r="H108" i="3"/>
  <c r="C91" i="3"/>
  <c r="H80" i="3"/>
  <c r="I39" i="3"/>
  <c r="H57" i="3"/>
  <c r="I66" i="3"/>
  <c r="I71" i="3" s="1"/>
  <c r="X10" i="3" s="1"/>
  <c r="D80" i="3"/>
  <c r="I100" i="3"/>
  <c r="I153" i="3"/>
  <c r="I197" i="3"/>
  <c r="I202" i="3" s="1"/>
  <c r="X24" i="3" s="1"/>
  <c r="C233" i="3"/>
  <c r="D278" i="3"/>
  <c r="I298" i="3"/>
  <c r="C388" i="3"/>
  <c r="D486" i="3"/>
  <c r="D491" i="3" s="1"/>
  <c r="T56" i="3" s="1"/>
  <c r="D522" i="3"/>
  <c r="D527" i="3" s="1"/>
  <c r="T60" i="3" s="1"/>
  <c r="H497" i="3"/>
  <c r="C460" i="3"/>
  <c r="C441" i="3"/>
  <c r="H415" i="3"/>
  <c r="H396" i="3"/>
  <c r="C378" i="3"/>
  <c r="C333" i="3"/>
  <c r="C21" i="3"/>
  <c r="H297" i="3"/>
  <c r="H288" i="3"/>
  <c r="C279" i="3"/>
  <c r="H260" i="3"/>
  <c r="H244" i="3"/>
  <c r="H224" i="3"/>
  <c r="C207" i="3"/>
  <c r="C189" i="3"/>
  <c r="H171" i="3"/>
  <c r="H154" i="3"/>
  <c r="C144" i="3"/>
  <c r="H128" i="3"/>
  <c r="C118" i="3"/>
  <c r="H107" i="3"/>
  <c r="H82" i="3"/>
  <c r="H78" i="3"/>
  <c r="C57" i="3"/>
  <c r="C33" i="3"/>
  <c r="C31" i="3"/>
  <c r="H513" i="3"/>
  <c r="H496" i="3"/>
  <c r="H477" i="3"/>
  <c r="H459" i="3"/>
  <c r="H414" i="3"/>
  <c r="C487" i="3"/>
  <c r="H387" i="3"/>
  <c r="C334" i="3"/>
  <c r="C315" i="3"/>
  <c r="C48" i="3"/>
  <c r="C22" i="3"/>
  <c r="H504" i="3"/>
  <c r="H432" i="3"/>
  <c r="C297" i="3"/>
  <c r="H251" i="3"/>
  <c r="H233" i="3"/>
  <c r="C171" i="3"/>
  <c r="H152" i="3"/>
  <c r="H125" i="3"/>
  <c r="H98" i="3"/>
  <c r="H83" i="3"/>
  <c r="C78" i="3"/>
  <c r="C67" i="3"/>
  <c r="C58" i="3"/>
  <c r="C531" i="3"/>
  <c r="H486" i="3"/>
  <c r="H406" i="3"/>
  <c r="C387" i="3"/>
  <c r="H360" i="3"/>
  <c r="H333" i="3"/>
  <c r="C307" i="3"/>
  <c r="H143" i="3"/>
  <c r="C260" i="3"/>
  <c r="H291" i="3"/>
  <c r="C342" i="3"/>
  <c r="C405" i="3"/>
  <c r="C432" i="3"/>
  <c r="H468" i="3"/>
  <c r="H495" i="3"/>
  <c r="C76" i="3"/>
  <c r="C81" i="3"/>
  <c r="C92" i="3"/>
  <c r="H109" i="3"/>
  <c r="C126" i="3"/>
  <c r="H161" i="3"/>
  <c r="H207" i="3"/>
  <c r="C242" i="3"/>
  <c r="H281" i="3"/>
  <c r="H315" i="3"/>
  <c r="H523" i="3"/>
  <c r="I297" i="3"/>
  <c r="I302" i="3" s="1"/>
  <c r="X35" i="3" s="1"/>
  <c r="H48" i="3"/>
  <c r="H144" i="3"/>
  <c r="C188" i="3"/>
  <c r="C215" i="3"/>
  <c r="C261" i="3"/>
  <c r="H342" i="3"/>
  <c r="H405" i="3"/>
  <c r="H441" i="3"/>
  <c r="C469" i="3"/>
  <c r="I496" i="3"/>
  <c r="I500" i="3" s="1"/>
  <c r="X57" i="3" s="1"/>
  <c r="I251" i="3"/>
  <c r="I256" i="3" s="1"/>
  <c r="X30" i="3" s="1"/>
  <c r="I333" i="3"/>
  <c r="I338" i="3" s="1"/>
  <c r="X39" i="3" s="1"/>
  <c r="I283" i="3"/>
  <c r="C39" i="3"/>
  <c r="H76" i="3"/>
  <c r="H81" i="3"/>
  <c r="C98" i="3"/>
  <c r="C116" i="3"/>
  <c r="H126" i="3"/>
  <c r="H242" i="3"/>
  <c r="H282" i="3"/>
  <c r="C298" i="3"/>
  <c r="C316" i="3"/>
  <c r="H378" i="3"/>
  <c r="H498" i="3"/>
  <c r="I126" i="3"/>
  <c r="C145" i="3"/>
  <c r="H188" i="3"/>
  <c r="H215" i="3"/>
  <c r="D316" i="3"/>
  <c r="D31" i="3"/>
  <c r="D33" i="3"/>
  <c r="D57" i="3"/>
  <c r="I78" i="3"/>
  <c r="I82" i="3"/>
  <c r="I107" i="3"/>
  <c r="D118" i="3"/>
  <c r="I128" i="3"/>
  <c r="D144" i="3"/>
  <c r="I154" i="3"/>
  <c r="I171" i="3"/>
  <c r="D189" i="3"/>
  <c r="D207" i="3"/>
  <c r="I224" i="3"/>
  <c r="I229" i="3" s="1"/>
  <c r="X27" i="3" s="1"/>
  <c r="I244" i="3"/>
  <c r="I260" i="3"/>
  <c r="I265" i="3" s="1"/>
  <c r="X31" i="3" s="1"/>
  <c r="D279" i="3"/>
  <c r="I288" i="3"/>
  <c r="D130" i="11" l="1"/>
  <c r="T16" i="11" s="1"/>
  <c r="I121" i="11"/>
  <c r="X15" i="11" s="1"/>
  <c r="I500" i="11"/>
  <c r="X57" i="11" s="1"/>
  <c r="I157" i="11"/>
  <c r="X19" i="11" s="1"/>
  <c r="D284" i="11"/>
  <c r="T33" i="11" s="1"/>
  <c r="D265" i="11"/>
  <c r="T31" i="11" s="1"/>
  <c r="I293" i="11"/>
  <c r="X34" i="11" s="1"/>
  <c r="D175" i="11"/>
  <c r="T21" i="11" s="1"/>
  <c r="I527" i="11"/>
  <c r="X60" i="11" s="1"/>
  <c r="I211" i="11"/>
  <c r="X25" i="11" s="1"/>
  <c r="I247" i="11"/>
  <c r="X29" i="11" s="1"/>
  <c r="D85" i="11"/>
  <c r="T11" i="11" s="1"/>
  <c r="T3" i="11"/>
  <c r="D311" i="11"/>
  <c r="T36" i="11" s="1"/>
  <c r="I103" i="11"/>
  <c r="X13" i="11" s="1"/>
  <c r="X69" i="11" s="1"/>
  <c r="I112" i="11"/>
  <c r="X14" i="11" s="1"/>
  <c r="D94" i="11"/>
  <c r="T12" i="11" s="1"/>
  <c r="D256" i="11"/>
  <c r="T30" i="11" s="1"/>
  <c r="D365" i="11"/>
  <c r="T42" i="11" s="1"/>
  <c r="D184" i="11"/>
  <c r="T22" i="11" s="1"/>
  <c r="I85" i="11"/>
  <c r="X11" i="11" s="1"/>
  <c r="I284" i="11"/>
  <c r="X33" i="11" s="1"/>
  <c r="I53" i="11"/>
  <c r="X8" i="11" s="1"/>
  <c r="D320" i="11"/>
  <c r="T37" i="11" s="1"/>
  <c r="I302" i="11"/>
  <c r="X35" i="11" s="1"/>
  <c r="D148" i="11"/>
  <c r="T18" i="11" s="1"/>
  <c r="I410" i="11"/>
  <c r="X47" i="11" s="1"/>
  <c r="D536" i="11"/>
  <c r="T61" i="11" s="1"/>
  <c r="I545" i="11"/>
  <c r="X62" i="11" s="1"/>
  <c r="D464" i="11"/>
  <c r="T53" i="11" s="1"/>
  <c r="D193" i="10"/>
  <c r="T23" i="10" s="1"/>
  <c r="I103" i="10"/>
  <c r="X13" i="10" s="1"/>
  <c r="D338" i="10"/>
  <c r="T39" i="10" s="1"/>
  <c r="D103" i="10"/>
  <c r="T13" i="10" s="1"/>
  <c r="D184" i="10"/>
  <c r="T22" i="10" s="1"/>
  <c r="I62" i="10"/>
  <c r="X9" i="10" s="1"/>
  <c r="I85" i="10"/>
  <c r="X11" i="10" s="1"/>
  <c r="D265" i="10"/>
  <c r="T31" i="10" s="1"/>
  <c r="D247" i="10"/>
  <c r="T29" i="10" s="1"/>
  <c r="I247" i="10"/>
  <c r="X29" i="10" s="1"/>
  <c r="D256" i="10"/>
  <c r="T30" i="10" s="1"/>
  <c r="D175" i="10"/>
  <c r="T21" i="10" s="1"/>
  <c r="D94" i="10"/>
  <c r="T12" i="10" s="1"/>
  <c r="D35" i="10"/>
  <c r="T6" i="10" s="1"/>
  <c r="I284" i="10"/>
  <c r="X33" i="10" s="1"/>
  <c r="D71" i="10"/>
  <c r="T10" i="10" s="1"/>
  <c r="I211" i="10"/>
  <c r="X25" i="10" s="1"/>
  <c r="I175" i="10"/>
  <c r="X21" i="10" s="1"/>
  <c r="D85" i="10"/>
  <c r="T11" i="10" s="1"/>
  <c r="I293" i="10"/>
  <c r="X34" i="10" s="1"/>
  <c r="I410" i="10"/>
  <c r="X47" i="10" s="1"/>
  <c r="T3" i="10"/>
  <c r="D148" i="10"/>
  <c r="T18" i="10" s="1"/>
  <c r="X3" i="10"/>
  <c r="I148" i="10"/>
  <c r="X18" i="10" s="1"/>
  <c r="D44" i="10"/>
  <c r="T7" i="10" s="1"/>
  <c r="D338" i="9"/>
  <c r="T39" i="9" s="1"/>
  <c r="D103" i="9"/>
  <c r="T13" i="9" s="1"/>
  <c r="D464" i="9"/>
  <c r="T53" i="9" s="1"/>
  <c r="I62" i="9"/>
  <c r="X9" i="9" s="1"/>
  <c r="I284" i="9"/>
  <c r="X33" i="9" s="1"/>
  <c r="I130" i="9"/>
  <c r="X16" i="9" s="1"/>
  <c r="I103" i="9"/>
  <c r="X13" i="9" s="1"/>
  <c r="D247" i="9"/>
  <c r="T29" i="9" s="1"/>
  <c r="D184" i="9"/>
  <c r="T22" i="9" s="1"/>
  <c r="I53" i="9"/>
  <c r="X8" i="9" s="1"/>
  <c r="T3" i="9"/>
  <c r="D85" i="9"/>
  <c r="T11" i="9" s="1"/>
  <c r="I293" i="9"/>
  <c r="X34" i="9" s="1"/>
  <c r="D256" i="9"/>
  <c r="T30" i="9" s="1"/>
  <c r="I71" i="9"/>
  <c r="X10" i="9" s="1"/>
  <c r="I112" i="9"/>
  <c r="X14" i="9" s="1"/>
  <c r="D311" i="9"/>
  <c r="T36" i="9" s="1"/>
  <c r="I220" i="9"/>
  <c r="X26" i="9" s="1"/>
  <c r="X3" i="9"/>
  <c r="D35" i="9"/>
  <c r="T6" i="9" s="1"/>
  <c r="D26" i="9"/>
  <c r="T5" i="9" s="1"/>
  <c r="D175" i="9"/>
  <c r="T21" i="9" s="1"/>
  <c r="D302" i="9"/>
  <c r="T35" i="9" s="1"/>
  <c r="I247" i="9"/>
  <c r="X29" i="9" s="1"/>
  <c r="D265" i="9"/>
  <c r="T31" i="9" s="1"/>
  <c r="D193" i="9"/>
  <c r="T23" i="9" s="1"/>
  <c r="D392" i="9"/>
  <c r="T45" i="9" s="1"/>
  <c r="I211" i="9"/>
  <c r="X25" i="9" s="1"/>
  <c r="I85" i="9"/>
  <c r="X11" i="9" s="1"/>
  <c r="I26" i="8"/>
  <c r="X5" i="8" s="1"/>
  <c r="X3" i="8"/>
  <c r="I62" i="8"/>
  <c r="X9" i="8" s="1"/>
  <c r="I112" i="8"/>
  <c r="X14" i="8" s="1"/>
  <c r="D85" i="8"/>
  <c r="T11" i="8" s="1"/>
  <c r="I103" i="8"/>
  <c r="X13" i="8" s="1"/>
  <c r="D35" i="8"/>
  <c r="T6" i="8" s="1"/>
  <c r="I284" i="8"/>
  <c r="X33" i="8" s="1"/>
  <c r="I500" i="8"/>
  <c r="X57" i="8" s="1"/>
  <c r="T3" i="8"/>
  <c r="D293" i="8"/>
  <c r="T34" i="8" s="1"/>
  <c r="I302" i="8"/>
  <c r="X35" i="8" s="1"/>
  <c r="D211" i="8"/>
  <c r="T25" i="8" s="1"/>
  <c r="I157" i="8"/>
  <c r="X19" i="8" s="1"/>
  <c r="D130" i="8"/>
  <c r="T16" i="8" s="1"/>
  <c r="I545" i="8"/>
  <c r="X62" i="8" s="1"/>
  <c r="D392" i="8"/>
  <c r="T45" i="8" s="1"/>
  <c r="I85" i="8"/>
  <c r="X11" i="8" s="1"/>
  <c r="D247" i="8"/>
  <c r="T29" i="8" s="1"/>
  <c r="D148" i="8"/>
  <c r="T18" i="8" s="1"/>
  <c r="D71" i="8"/>
  <c r="T10" i="8" s="1"/>
  <c r="D265" i="8"/>
  <c r="T31" i="8" s="1"/>
  <c r="D121" i="8"/>
  <c r="T15" i="8" s="1"/>
  <c r="I410" i="8"/>
  <c r="X47" i="8" s="1"/>
  <c r="I527" i="8"/>
  <c r="X60" i="8" s="1"/>
  <c r="D311" i="8"/>
  <c r="T36" i="8" s="1"/>
  <c r="I44" i="8"/>
  <c r="X7" i="8" s="1"/>
  <c r="I130" i="8"/>
  <c r="X16" i="8" s="1"/>
  <c r="I220" i="8"/>
  <c r="X26" i="8" s="1"/>
  <c r="I293" i="8"/>
  <c r="X34" i="8" s="1"/>
  <c r="I71" i="8"/>
  <c r="X10" i="8" s="1"/>
  <c r="D491" i="8"/>
  <c r="T56" i="8" s="1"/>
  <c r="I265" i="7"/>
  <c r="X31" i="7" s="1"/>
  <c r="I85" i="7"/>
  <c r="X11" i="7" s="1"/>
  <c r="I293" i="7"/>
  <c r="X34" i="7" s="1"/>
  <c r="T3" i="7"/>
  <c r="D536" i="7"/>
  <c r="T61" i="7" s="1"/>
  <c r="D338" i="7"/>
  <c r="T39" i="7" s="1"/>
  <c r="D265" i="7"/>
  <c r="T31" i="7" s="1"/>
  <c r="D311" i="7"/>
  <c r="T36" i="7" s="1"/>
  <c r="D302" i="7"/>
  <c r="T35" i="7" s="1"/>
  <c r="I527" i="7"/>
  <c r="X60" i="7" s="1"/>
  <c r="D85" i="7"/>
  <c r="T11" i="7" s="1"/>
  <c r="D365" i="7"/>
  <c r="T42" i="7" s="1"/>
  <c r="I157" i="7"/>
  <c r="X19" i="7" s="1"/>
  <c r="R21" i="7"/>
  <c r="X3" i="7"/>
  <c r="X69" i="7" s="1"/>
  <c r="I44" i="7"/>
  <c r="X7" i="7" s="1"/>
  <c r="I284" i="7"/>
  <c r="X33" i="7" s="1"/>
  <c r="I148" i="7"/>
  <c r="X18" i="7" s="1"/>
  <c r="I103" i="7"/>
  <c r="X13" i="7" s="1"/>
  <c r="I121" i="7"/>
  <c r="X15" i="7" s="1"/>
  <c r="D35" i="7"/>
  <c r="T6" i="7" s="1"/>
  <c r="I545" i="7"/>
  <c r="X62" i="7" s="1"/>
  <c r="I130" i="7"/>
  <c r="X16" i="7" s="1"/>
  <c r="D35" i="6"/>
  <c r="T6" i="6" s="1"/>
  <c r="I71" i="6"/>
  <c r="X10" i="6" s="1"/>
  <c r="I112" i="6"/>
  <c r="X14" i="6" s="1"/>
  <c r="D211" i="6"/>
  <c r="T25" i="6" s="1"/>
  <c r="I500" i="6"/>
  <c r="X57" i="6" s="1"/>
  <c r="D130" i="6"/>
  <c r="T16" i="6" s="1"/>
  <c r="I527" i="6"/>
  <c r="X60" i="6" s="1"/>
  <c r="D184" i="6"/>
  <c r="T22" i="6" s="1"/>
  <c r="D103" i="6"/>
  <c r="T13" i="6" s="1"/>
  <c r="D365" i="6"/>
  <c r="T42" i="6" s="1"/>
  <c r="D202" i="6"/>
  <c r="T24" i="6" s="1"/>
  <c r="D374" i="6"/>
  <c r="T43" i="6" s="1"/>
  <c r="D320" i="6"/>
  <c r="T37" i="6" s="1"/>
  <c r="D491" i="6"/>
  <c r="T56" i="6" s="1"/>
  <c r="I44" i="6"/>
  <c r="X7" i="6" s="1"/>
  <c r="D8" i="6"/>
  <c r="I293" i="6"/>
  <c r="X34" i="6" s="1"/>
  <c r="I211" i="6"/>
  <c r="X25" i="6" s="1"/>
  <c r="I26" i="6"/>
  <c r="X5" i="6" s="1"/>
  <c r="D193" i="6"/>
  <c r="T23" i="6" s="1"/>
  <c r="D175" i="6"/>
  <c r="T21" i="6" s="1"/>
  <c r="D464" i="6"/>
  <c r="T53" i="6" s="1"/>
  <c r="D85" i="6"/>
  <c r="T11" i="6" s="1"/>
  <c r="D293" i="6"/>
  <c r="T34" i="6" s="1"/>
  <c r="I284" i="6"/>
  <c r="X33" i="6" s="1"/>
  <c r="D94" i="6"/>
  <c r="T12" i="6" s="1"/>
  <c r="I121" i="6"/>
  <c r="X15" i="6" s="1"/>
  <c r="D473" i="6"/>
  <c r="T54" i="6" s="1"/>
  <c r="X3" i="6"/>
  <c r="D71" i="6"/>
  <c r="T10" i="6" s="1"/>
  <c r="I247" i="6"/>
  <c r="X29" i="6" s="1"/>
  <c r="D62" i="6"/>
  <c r="T9" i="6" s="1"/>
  <c r="I157" i="5"/>
  <c r="X19" i="5" s="1"/>
  <c r="I26" i="5"/>
  <c r="X5" i="5" s="1"/>
  <c r="D35" i="5"/>
  <c r="T6" i="5" s="1"/>
  <c r="D338" i="5"/>
  <c r="T39" i="5" s="1"/>
  <c r="X3" i="5"/>
  <c r="D94" i="5"/>
  <c r="T12" i="5" s="1"/>
  <c r="D302" i="5"/>
  <c r="T35" i="5" s="1"/>
  <c r="I284" i="5"/>
  <c r="X33" i="5" s="1"/>
  <c r="D71" i="5"/>
  <c r="T10" i="5" s="1"/>
  <c r="I121" i="5"/>
  <c r="X15" i="5" s="1"/>
  <c r="I527" i="5"/>
  <c r="X60" i="5" s="1"/>
  <c r="I410" i="5"/>
  <c r="X47" i="5" s="1"/>
  <c r="I85" i="5"/>
  <c r="X11" i="5" s="1"/>
  <c r="I112" i="5"/>
  <c r="X14" i="5" s="1"/>
  <c r="D8" i="5"/>
  <c r="I419" i="5"/>
  <c r="X48" i="5" s="1"/>
  <c r="I500" i="5"/>
  <c r="X57" i="5" s="1"/>
  <c r="I103" i="5"/>
  <c r="X13" i="5" s="1"/>
  <c r="D85" i="5"/>
  <c r="T11" i="5" s="1"/>
  <c r="D175" i="5"/>
  <c r="T21" i="5" s="1"/>
  <c r="D293" i="5"/>
  <c r="T34" i="5" s="1"/>
  <c r="D148" i="5"/>
  <c r="T18" i="5" s="1"/>
  <c r="D211" i="5"/>
  <c r="T25" i="5" s="1"/>
  <c r="D202" i="5"/>
  <c r="T24" i="5" s="1"/>
  <c r="D374" i="5"/>
  <c r="T43" i="5" s="1"/>
  <c r="I247" i="5"/>
  <c r="X29" i="5" s="1"/>
  <c r="I130" i="5"/>
  <c r="X16" i="5" s="1"/>
  <c r="D62" i="5"/>
  <c r="T9" i="5" s="1"/>
  <c r="D44" i="4"/>
  <c r="T7" i="4" s="1"/>
  <c r="D35" i="4"/>
  <c r="T6" i="4" s="1"/>
  <c r="I121" i="4"/>
  <c r="X15" i="4" s="1"/>
  <c r="D175" i="4"/>
  <c r="T21" i="4" s="1"/>
  <c r="D121" i="4"/>
  <c r="T15" i="4" s="1"/>
  <c r="I157" i="4"/>
  <c r="X19" i="4" s="1"/>
  <c r="D202" i="4"/>
  <c r="T24" i="4" s="1"/>
  <c r="I175" i="4"/>
  <c r="X21" i="4" s="1"/>
  <c r="D193" i="4"/>
  <c r="T23" i="4" s="1"/>
  <c r="I112" i="4"/>
  <c r="X14" i="4" s="1"/>
  <c r="D94" i="4"/>
  <c r="T12" i="4" s="1"/>
  <c r="D338" i="4"/>
  <c r="T39" i="4" s="1"/>
  <c r="I71" i="4"/>
  <c r="X10" i="4" s="1"/>
  <c r="I284" i="4"/>
  <c r="X33" i="4" s="1"/>
  <c r="D464" i="4"/>
  <c r="T53" i="4" s="1"/>
  <c r="D148" i="4"/>
  <c r="T18" i="4" s="1"/>
  <c r="I85" i="4"/>
  <c r="X11" i="4" s="1"/>
  <c r="D26" i="4"/>
  <c r="T5" i="4" s="1"/>
  <c r="I130" i="4"/>
  <c r="X16" i="4" s="1"/>
  <c r="I148" i="4"/>
  <c r="X18" i="4" s="1"/>
  <c r="D293" i="4"/>
  <c r="T34" i="4" s="1"/>
  <c r="I26" i="4"/>
  <c r="X5" i="4" s="1"/>
  <c r="D311" i="4"/>
  <c r="T36" i="4" s="1"/>
  <c r="D256" i="4"/>
  <c r="T30" i="4" s="1"/>
  <c r="D302" i="4"/>
  <c r="T35" i="4" s="1"/>
  <c r="I527" i="4"/>
  <c r="X60" i="4" s="1"/>
  <c r="X3" i="4"/>
  <c r="T3" i="4"/>
  <c r="D71" i="4"/>
  <c r="T10" i="4" s="1"/>
  <c r="I293" i="4"/>
  <c r="X34" i="4" s="1"/>
  <c r="I247" i="4"/>
  <c r="X29" i="4" s="1"/>
  <c r="D130" i="4"/>
  <c r="T16" i="4" s="1"/>
  <c r="I220" i="4"/>
  <c r="X26" i="4" s="1"/>
  <c r="D62" i="4"/>
  <c r="T9" i="4" s="1"/>
  <c r="D85" i="4"/>
  <c r="T11" i="4" s="1"/>
  <c r="I44" i="4"/>
  <c r="X7" i="4" s="1"/>
  <c r="I62" i="4"/>
  <c r="X9" i="4" s="1"/>
  <c r="T3" i="3"/>
  <c r="X3" i="3"/>
  <c r="D193" i="3"/>
  <c r="T23" i="3" s="1"/>
  <c r="I175" i="3"/>
  <c r="X21" i="3" s="1"/>
  <c r="I112" i="3"/>
  <c r="X14" i="3" s="1"/>
  <c r="I410" i="3"/>
  <c r="X47" i="3" s="1"/>
  <c r="D85" i="3"/>
  <c r="T11" i="3" s="1"/>
  <c r="I284" i="3"/>
  <c r="X33" i="3" s="1"/>
  <c r="I103" i="3"/>
  <c r="X13" i="3" s="1"/>
  <c r="I130" i="3"/>
  <c r="X16" i="3" s="1"/>
  <c r="I26" i="3"/>
  <c r="X5" i="3" s="1"/>
  <c r="I419" i="3"/>
  <c r="X48" i="3" s="1"/>
  <c r="D62" i="3"/>
  <c r="T9" i="3" s="1"/>
  <c r="D256" i="3"/>
  <c r="T30" i="3" s="1"/>
  <c r="D211" i="3"/>
  <c r="T25" i="3" s="1"/>
  <c r="I44" i="3"/>
  <c r="X7" i="3" s="1"/>
  <c r="D311" i="3"/>
  <c r="T36" i="3" s="1"/>
  <c r="I157" i="3"/>
  <c r="X19" i="3" s="1"/>
  <c r="I293" i="3"/>
  <c r="X34" i="3" s="1"/>
  <c r="D202" i="3"/>
  <c r="T24" i="3" s="1"/>
  <c r="I527" i="3"/>
  <c r="X60" i="3" s="1"/>
  <c r="D284" i="3"/>
  <c r="T33" i="3" s="1"/>
  <c r="D148" i="3"/>
  <c r="T18" i="3" s="1"/>
  <c r="D103" i="3"/>
  <c r="T13" i="3" s="1"/>
  <c r="D302" i="3"/>
  <c r="T35" i="3" s="1"/>
  <c r="D94" i="3"/>
  <c r="T12" i="3" s="1"/>
  <c r="D175" i="3"/>
  <c r="T21" i="3" s="1"/>
  <c r="I148" i="3"/>
  <c r="X18" i="3" s="1"/>
  <c r="D121" i="3"/>
  <c r="T15" i="3" s="1"/>
  <c r="D35" i="3"/>
  <c r="T6" i="3" s="1"/>
  <c r="D139" i="3"/>
  <c r="T17" i="3" s="1"/>
  <c r="D265" i="3"/>
  <c r="T31" i="3" s="1"/>
  <c r="I247" i="3"/>
  <c r="X29" i="3" s="1"/>
  <c r="T69" i="11" l="1"/>
  <c r="O21" i="11"/>
  <c r="R21" i="11"/>
  <c r="R21" i="10"/>
  <c r="O21" i="10"/>
  <c r="O23" i="10" s="1"/>
  <c r="X69" i="10"/>
  <c r="T69" i="10"/>
  <c r="O21" i="9"/>
  <c r="T69" i="9"/>
  <c r="X69" i="9"/>
  <c r="R21" i="9"/>
  <c r="O21" i="8"/>
  <c r="T69" i="8"/>
  <c r="X69" i="8"/>
  <c r="R21" i="8"/>
  <c r="T69" i="7"/>
  <c r="W71" i="7" s="1"/>
  <c r="O21" i="7"/>
  <c r="O23" i="7" s="1"/>
  <c r="R21" i="6"/>
  <c r="X69" i="6"/>
  <c r="T3" i="6"/>
  <c r="T69" i="6" s="1"/>
  <c r="W71" i="6" s="1"/>
  <c r="O21" i="6"/>
  <c r="O21" i="5"/>
  <c r="T3" i="5"/>
  <c r="T63" i="5" s="1"/>
  <c r="R21" i="5"/>
  <c r="X63" i="5"/>
  <c r="X63" i="4"/>
  <c r="O21" i="4"/>
  <c r="T63" i="4"/>
  <c r="W66" i="4" s="1"/>
  <c r="R21" i="4"/>
  <c r="R21" i="3"/>
  <c r="X63" i="3"/>
  <c r="O21" i="3"/>
  <c r="O24" i="3" s="1"/>
  <c r="T63" i="3"/>
  <c r="W66" i="3" s="1"/>
  <c r="O23" i="11" l="1"/>
  <c r="X71" i="11"/>
  <c r="W71" i="11"/>
  <c r="X71" i="10"/>
  <c r="W71" i="10"/>
  <c r="X71" i="9"/>
  <c r="W71" i="9"/>
  <c r="O23" i="9"/>
  <c r="W71" i="8"/>
  <c r="X71" i="8"/>
  <c r="O23" i="8"/>
  <c r="O23" i="6"/>
  <c r="W66" i="5"/>
  <c r="O24" i="5"/>
  <c r="O24" i="4"/>
</calcChain>
</file>

<file path=xl/sharedStrings.xml><?xml version="1.0" encoding="utf-8"?>
<sst xmlns="http://schemas.openxmlformats.org/spreadsheetml/2006/main" count="9148" uniqueCount="203">
  <si>
    <t>Name</t>
  </si>
  <si>
    <t>SOHANJI</t>
  </si>
  <si>
    <t>ALWN.CO</t>
  </si>
  <si>
    <t>NAME</t>
  </si>
  <si>
    <t>SURESH</t>
  </si>
  <si>
    <t>JODHPUR</t>
  </si>
  <si>
    <t>Month</t>
  </si>
  <si>
    <t>Plan</t>
  </si>
  <si>
    <t>Commission</t>
  </si>
  <si>
    <t>Amount</t>
  </si>
  <si>
    <t>Plan Amt</t>
  </si>
  <si>
    <t>Total Commission</t>
  </si>
  <si>
    <t>Month|Plan</t>
  </si>
  <si>
    <t>AMOUNT</t>
  </si>
  <si>
    <t xml:space="preserve"> NAME</t>
  </si>
  <si>
    <t>AREA</t>
  </si>
  <si>
    <t>Total Payable</t>
  </si>
  <si>
    <t>JIVARAMJI</t>
  </si>
  <si>
    <t>YAMJAL</t>
  </si>
  <si>
    <t>BHAWARJI</t>
  </si>
  <si>
    <t>BAJPLY</t>
  </si>
  <si>
    <t>MANGILALJI</t>
  </si>
  <si>
    <t>BOLARAM</t>
  </si>
  <si>
    <t>NETHIRAMJI</t>
  </si>
  <si>
    <t>RAMARAM</t>
  </si>
  <si>
    <t>TOTAL</t>
  </si>
  <si>
    <t>GRAND TOTAL</t>
  </si>
  <si>
    <t>Total payable</t>
  </si>
  <si>
    <t>KAMAN</t>
  </si>
  <si>
    <t>TARARAMJI</t>
  </si>
  <si>
    <t>PRGATI NG</t>
  </si>
  <si>
    <t>BHONARAMJI</t>
  </si>
  <si>
    <t>G.MAISAMA</t>
  </si>
  <si>
    <t>SESHARAMJI</t>
  </si>
  <si>
    <t>MEDCHAL</t>
  </si>
  <si>
    <t>RAMESHJI</t>
  </si>
  <si>
    <t>HITECH</t>
  </si>
  <si>
    <t>CHANDUJI</t>
  </si>
  <si>
    <t>KAMMAN</t>
  </si>
  <si>
    <t>KOTLAPUR</t>
  </si>
  <si>
    <t>DEEPAKJI</t>
  </si>
  <si>
    <t>SUCHITRA</t>
  </si>
  <si>
    <t>VENKATREDDY</t>
  </si>
  <si>
    <t>SURARAM</t>
  </si>
  <si>
    <t>PEMARAMJI</t>
  </si>
  <si>
    <t>KUNARAMJI</t>
  </si>
  <si>
    <t>GANDHI NGR</t>
  </si>
  <si>
    <t>CHENARAMJI</t>
  </si>
  <si>
    <t>CHINTAL</t>
  </si>
  <si>
    <t>TOTAL PAYABLE</t>
  </si>
  <si>
    <t>MATAJI</t>
  </si>
  <si>
    <t>G.R</t>
  </si>
  <si>
    <t>J.E.W</t>
  </si>
  <si>
    <t>MOHANLALJI</t>
  </si>
  <si>
    <t>SNT.NAGAR</t>
  </si>
  <si>
    <t>SUNILJI</t>
  </si>
  <si>
    <t>S.P</t>
  </si>
  <si>
    <t>PRAKASHJI</t>
  </si>
  <si>
    <t>KONDAPUR</t>
  </si>
  <si>
    <t>NEMARAMJI</t>
  </si>
  <si>
    <t>S.R NAGAR</t>
  </si>
  <si>
    <t>NARAYANJI</t>
  </si>
  <si>
    <t>SHAPUR</t>
  </si>
  <si>
    <t>HIMTARAMJI</t>
  </si>
  <si>
    <t>GOVINDJI</t>
  </si>
  <si>
    <t>MGD NAGAR</t>
  </si>
  <si>
    <t>NARAYANLALJI</t>
  </si>
  <si>
    <t>SUBASH NGR</t>
  </si>
  <si>
    <t>VAKTARAMJI</t>
  </si>
  <si>
    <t>RMNTPUR</t>
  </si>
  <si>
    <t>B</t>
  </si>
  <si>
    <t>BHUNDARAMJI</t>
  </si>
  <si>
    <t>MIYAPUR</t>
  </si>
  <si>
    <t>MOHANJI</t>
  </si>
  <si>
    <t>NARSAPUR</t>
  </si>
  <si>
    <t>POKARJI</t>
  </si>
  <si>
    <t>J GUTTA</t>
  </si>
  <si>
    <t>VAJJARAMJI</t>
  </si>
  <si>
    <t>RING ROAD</t>
  </si>
  <si>
    <t>UDARAMJI</t>
  </si>
  <si>
    <t>SUMERSINGHJI</t>
  </si>
  <si>
    <t>KU PALLY</t>
  </si>
  <si>
    <t>HARISINGHJI</t>
  </si>
  <si>
    <t>MALLAPUR</t>
  </si>
  <si>
    <t>BHORARAMJI</t>
  </si>
  <si>
    <t>.</t>
  </si>
  <si>
    <t>MADARAMJI</t>
  </si>
  <si>
    <t>KUKARAMJI</t>
  </si>
  <si>
    <t>GENARAMJI</t>
  </si>
  <si>
    <t>NARENDRAJI</t>
  </si>
  <si>
    <t>SACHINJI</t>
  </si>
  <si>
    <t>MONTH</t>
  </si>
  <si>
    <t>PLAN</t>
  </si>
  <si>
    <t>C MMISSION</t>
  </si>
  <si>
    <t>HONARAMJI</t>
  </si>
  <si>
    <t>MEHNDARJI</t>
  </si>
  <si>
    <t>SR NGR</t>
  </si>
  <si>
    <t>KAILASHJI</t>
  </si>
  <si>
    <t>SHIVAMPET</t>
  </si>
  <si>
    <t>SOHANJI GUJAR</t>
  </si>
  <si>
    <t>R R NGR</t>
  </si>
  <si>
    <t>GUTTA</t>
  </si>
  <si>
    <t>RR NAGAR</t>
  </si>
  <si>
    <t>JAGDISHJI</t>
  </si>
  <si>
    <t>PPR NGR</t>
  </si>
  <si>
    <t>PRAGTI NGR</t>
  </si>
  <si>
    <t>JOGARAMJI</t>
  </si>
  <si>
    <t>MANOHARJI</t>
  </si>
  <si>
    <t>PAPI REDDY</t>
  </si>
  <si>
    <t>OMJI</t>
  </si>
  <si>
    <t>IDPL</t>
  </si>
  <si>
    <t>HEMARAMJI</t>
  </si>
  <si>
    <t>SURENDER</t>
  </si>
  <si>
    <t>P R NGR</t>
  </si>
  <si>
    <t>DURGARAMJI</t>
  </si>
  <si>
    <t>DHANARAMJI</t>
  </si>
  <si>
    <t>KHUSHVIRJI</t>
  </si>
  <si>
    <t>MUNJI</t>
  </si>
  <si>
    <t>JAIRUPRAMJI</t>
  </si>
  <si>
    <t>RMTPUR</t>
  </si>
  <si>
    <t>ALWN COL</t>
  </si>
  <si>
    <t>SURESHJI</t>
  </si>
  <si>
    <t>OM</t>
  </si>
  <si>
    <t>ALWAL</t>
  </si>
  <si>
    <t>BABULALJI</t>
  </si>
  <si>
    <t>CHILKA NGR</t>
  </si>
  <si>
    <t>CHENJI</t>
  </si>
  <si>
    <t>MUKESHJI</t>
  </si>
  <si>
    <t>MISRILALJI</t>
  </si>
  <si>
    <t>GOPJI</t>
  </si>
  <si>
    <t>GOVIND</t>
  </si>
  <si>
    <t>NEMJI</t>
  </si>
  <si>
    <t>SOHANLALJI</t>
  </si>
  <si>
    <t>RR NGR</t>
  </si>
  <si>
    <t>SEC</t>
  </si>
  <si>
    <t>MOTIJI</t>
  </si>
  <si>
    <t>MUSAPET</t>
  </si>
  <si>
    <t>BAGDARAMJI</t>
  </si>
  <si>
    <t>GANDHINGR</t>
  </si>
  <si>
    <t>KANJI</t>
  </si>
  <si>
    <t>SANGA RDY</t>
  </si>
  <si>
    <t>NEMARANJI</t>
  </si>
  <si>
    <t>INDERSUM</t>
  </si>
  <si>
    <t>BUDARAMJI</t>
  </si>
  <si>
    <t>PADMA NR</t>
  </si>
  <si>
    <t>HEMANTJI</t>
  </si>
  <si>
    <t>KEWALJI</t>
  </si>
  <si>
    <t>GOMARAM</t>
  </si>
  <si>
    <t>RAJUJI</t>
  </si>
  <si>
    <t>GOUTAMJI</t>
  </si>
  <si>
    <t>INDARSAM</t>
  </si>
  <si>
    <t>BHERARAMJI</t>
  </si>
  <si>
    <t>TARJI (R J)</t>
  </si>
  <si>
    <t>RAKESHDASHJI</t>
  </si>
  <si>
    <t>BOOK GUTA</t>
  </si>
  <si>
    <t>HEERJI</t>
  </si>
  <si>
    <t>HANUMAN NG</t>
  </si>
  <si>
    <t>VALARAMJI</t>
  </si>
  <si>
    <t>KOMPALY</t>
  </si>
  <si>
    <t>ASHOKJI</t>
  </si>
  <si>
    <t>VENKAT REDDY</t>
  </si>
  <si>
    <t>CHANDARAMJI</t>
  </si>
  <si>
    <t>VINJARAMJI</t>
  </si>
  <si>
    <t>R R NAGAR</t>
  </si>
  <si>
    <t>CHAMPALALJI</t>
  </si>
  <si>
    <t>RNGRD</t>
  </si>
  <si>
    <t>VENKTESHVAR</t>
  </si>
  <si>
    <t>AB CO</t>
  </si>
  <si>
    <t>AMEENPUR</t>
  </si>
  <si>
    <t>NIRMALJI</t>
  </si>
  <si>
    <t>KKPALLY</t>
  </si>
  <si>
    <t>THANARAMJI</t>
  </si>
  <si>
    <t>SRIKAKULAM B</t>
  </si>
  <si>
    <t>RR ROAD</t>
  </si>
  <si>
    <t>PUNJI</t>
  </si>
  <si>
    <t>R ROAD</t>
  </si>
  <si>
    <t xml:space="preserve">GOTAMJI </t>
  </si>
  <si>
    <t>TEJAJAMJI</t>
  </si>
  <si>
    <t>YELMBNDA</t>
  </si>
  <si>
    <t>AMINPUR</t>
  </si>
  <si>
    <t>PUNAMJI</t>
  </si>
  <si>
    <t>BADURPLY</t>
  </si>
  <si>
    <t xml:space="preserve"> </t>
  </si>
  <si>
    <t>Date  :   07-dec-2025</t>
  </si>
  <si>
    <t>JABBARSINGHJI</t>
  </si>
  <si>
    <t>K PALLY</t>
  </si>
  <si>
    <t>PAPRDY NGR</t>
  </si>
  <si>
    <t>KISHANJI</t>
  </si>
  <si>
    <t>MOHANJI 1</t>
  </si>
  <si>
    <t>SNTR</t>
  </si>
  <si>
    <t xml:space="preserve">PAP RDY NG </t>
  </si>
  <si>
    <t xml:space="preserve">           </t>
  </si>
  <si>
    <t>AKASHJI</t>
  </si>
  <si>
    <t>SNGAREDDY</t>
  </si>
  <si>
    <t>RUPARAMJI</t>
  </si>
  <si>
    <t>AB C0</t>
  </si>
  <si>
    <t>SNG REDDY</t>
  </si>
  <si>
    <t>Date  :   05-oct-2025</t>
  </si>
  <si>
    <t>AL CO</t>
  </si>
  <si>
    <t>Date  :   01-feb-2026</t>
  </si>
  <si>
    <t>PRAHLAD</t>
  </si>
  <si>
    <t>DINESHJI BOOK</t>
  </si>
  <si>
    <t>BHAWARLALJI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</si>
</sst>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64" formatCode="_(* #,##0.00_);_(* \(#,##0.00\);_(* &quot;-&quot;??_);_(@_)"/>
    <numFmt numFmtId="165" formatCode="_ * #,##0_ ;_ * \-#,##0_ ;_ * &quot;-&quot;??_ ;_ @_ "/>
    <numFmt numFmtId="166" formatCode="_ * #,##0.0_ ;_ * \-#,##0.0_ ;_ * &quot;-&quot;??_ ;_ @_ 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Times New Roman"/>
      <charset val="134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b/>
      <sz val="12"/>
      <name val="Times New Roman"/>
      <charset val="134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Calibri"/>
      <charset val="134"/>
      <scheme val="minor"/>
    </font>
    <font>
      <b/>
      <sz val="11"/>
      <color rgb="FFFF0000"/>
      <name val="Times New Roman"/>
      <charset val="134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Times New Roman"/>
      <charset val="134"/>
    </font>
    <font>
      <b/>
      <sz val="12"/>
      <color rgb="FFFF0000"/>
      <name val="Times New Roman"/>
      <family val="1"/>
    </font>
    <font>
      <b/>
      <sz val="14"/>
      <color rgb="FFFF0000"/>
      <name val="Times New Roman"/>
      <charset val="134"/>
    </font>
    <font>
      <b/>
      <sz val="12"/>
      <color rgb="FFFF0000"/>
      <name val="Calibri"/>
      <family val="2"/>
      <scheme val="minor"/>
    </font>
    <font>
      <b/>
      <sz val="12"/>
      <color rgb="FFFF0000"/>
      <name val="Times New Roman"/>
      <charset val="134"/>
    </font>
    <font>
      <b/>
      <sz val="11"/>
      <color theme="0"/>
      <name val="Calibri"/>
      <family val="2"/>
      <scheme val="minor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theme="2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auto="1"/>
      </left>
      <right/>
      <top/>
      <bottom/>
      <diagonal/>
    </border>
  </borders>
  <cellStyleXfs count="4">
    <xf numFmtId="0" fontId="0" fillId="0" borderId="0"/>
    <xf numFmtId="164" fontId="1" fillId="0" borderId="0"/>
    <xf numFmtId="41" fontId="1" fillId="0" borderId="0" applyFont="0" applyFill="0" applyBorder="0" applyAlignment="0" applyProtection="0"/>
    <xf numFmtId="0" fontId="20" fillId="3" borderId="10" applyNumberFormat="0" applyAlignment="0" applyProtection="0"/>
  </cellStyleXfs>
  <cellXfs count="90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6" fillId="0" borderId="0" xfId="0" applyFont="1"/>
    <xf numFmtId="0" fontId="5" fillId="0" borderId="0" xfId="0" applyFont="1" applyAlignment="1">
      <alignment horizontal="left" vertical="center"/>
    </xf>
    <xf numFmtId="165" fontId="8" fillId="2" borderId="1" xfId="1" applyNumberFormat="1" applyFont="1" applyFill="1" applyBorder="1" applyAlignment="1">
      <alignment horizontal="center" vertical="center"/>
    </xf>
    <xf numFmtId="165" fontId="2" fillId="2" borderId="1" xfId="1" applyNumberFormat="1" applyFont="1" applyFill="1" applyBorder="1" applyAlignment="1">
      <alignment horizontal="left" vertical="center"/>
    </xf>
    <xf numFmtId="15" fontId="2" fillId="0" borderId="1" xfId="1" applyNumberFormat="1" applyFont="1" applyBorder="1" applyAlignment="1">
      <alignment horizontal="left" vertical="center"/>
    </xf>
    <xf numFmtId="165" fontId="2" fillId="0" borderId="0" xfId="1" applyNumberFormat="1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5" fontId="9" fillId="0" borderId="0" xfId="1" applyNumberFormat="1" applyFont="1"/>
    <xf numFmtId="165" fontId="9" fillId="0" borderId="2" xfId="1" applyNumberFormat="1" applyFont="1" applyBorder="1"/>
    <xf numFmtId="165" fontId="10" fillId="0" borderId="2" xfId="1" applyNumberFormat="1" applyFont="1" applyBorder="1"/>
    <xf numFmtId="165" fontId="10" fillId="0" borderId="2" xfId="1" applyNumberFormat="1" applyFont="1" applyBorder="1" applyAlignment="1">
      <alignment horizontal="center" vertical="center" wrapText="1"/>
    </xf>
    <xf numFmtId="165" fontId="10" fillId="0" borderId="3" xfId="1" applyNumberFormat="1" applyFont="1" applyBorder="1"/>
    <xf numFmtId="0" fontId="11" fillId="0" borderId="0" xfId="0" applyFont="1"/>
    <xf numFmtId="0" fontId="7" fillId="0" borderId="0" xfId="0" applyFont="1"/>
    <xf numFmtId="165" fontId="8" fillId="0" borderId="1" xfId="1" applyNumberFormat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left" vertical="center"/>
    </xf>
    <xf numFmtId="166" fontId="9" fillId="0" borderId="2" xfId="1" applyNumberFormat="1" applyFont="1" applyBorder="1"/>
    <xf numFmtId="165" fontId="9" fillId="0" borderId="2" xfId="1" applyNumberFormat="1" applyFont="1" applyBorder="1" applyAlignment="1">
      <alignment horizontal="center" vertical="center" wrapText="1"/>
    </xf>
    <xf numFmtId="165" fontId="10" fillId="0" borderId="2" xfId="1" applyNumberFormat="1" applyFont="1" applyBorder="1" applyAlignment="1">
      <alignment horizontal="center" wrapText="1"/>
    </xf>
    <xf numFmtId="165" fontId="12" fillId="0" borderId="0" xfId="1" applyNumberFormat="1" applyFont="1"/>
    <xf numFmtId="0" fontId="13" fillId="0" borderId="0" xfId="0" applyFont="1" applyAlignment="1">
      <alignment horizontal="center"/>
    </xf>
    <xf numFmtId="0" fontId="3" fillId="2" borderId="0" xfId="0" applyFont="1" applyFill="1"/>
    <xf numFmtId="165" fontId="10" fillId="2" borderId="4" xfId="1" applyNumberFormat="1" applyFont="1" applyFill="1" applyBorder="1"/>
    <xf numFmtId="165" fontId="10" fillId="2" borderId="5" xfId="1" applyNumberFormat="1" applyFont="1" applyFill="1" applyBorder="1"/>
    <xf numFmtId="165" fontId="11" fillId="0" borderId="0" xfId="0" applyNumberFormat="1" applyFont="1"/>
    <xf numFmtId="0" fontId="14" fillId="0" borderId="0" xfId="0" applyFont="1" applyAlignment="1">
      <alignment horizontal="center" vertical="center"/>
    </xf>
    <xf numFmtId="165" fontId="9" fillId="2" borderId="4" xfId="1" applyNumberFormat="1" applyFont="1" applyFill="1" applyBorder="1"/>
    <xf numFmtId="165" fontId="2" fillId="2" borderId="6" xfId="1" applyNumberFormat="1" applyFont="1" applyFill="1" applyBorder="1" applyAlignment="1">
      <alignment horizontal="left" vertical="center"/>
    </xf>
    <xf numFmtId="165" fontId="2" fillId="2" borderId="7" xfId="1" applyNumberFormat="1" applyFont="1" applyFill="1" applyBorder="1" applyAlignment="1">
      <alignment horizontal="left" vertical="center"/>
    </xf>
    <xf numFmtId="165" fontId="2" fillId="2" borderId="8" xfId="1" applyNumberFormat="1" applyFont="1" applyFill="1" applyBorder="1" applyAlignment="1">
      <alignment horizontal="left" vertical="center"/>
    </xf>
    <xf numFmtId="165" fontId="2" fillId="0" borderId="6" xfId="1" applyNumberFormat="1" applyFont="1" applyBorder="1" applyAlignment="1">
      <alignment horizontal="left" vertical="center"/>
    </xf>
    <xf numFmtId="165" fontId="2" fillId="0" borderId="7" xfId="1" applyNumberFormat="1" applyFont="1" applyBorder="1" applyAlignment="1">
      <alignment horizontal="left" vertical="center"/>
    </xf>
    <xf numFmtId="165" fontId="2" fillId="0" borderId="8" xfId="1" applyNumberFormat="1" applyFont="1" applyBorder="1" applyAlignment="1">
      <alignment horizontal="left" vertical="center"/>
    </xf>
    <xf numFmtId="165" fontId="8" fillId="2" borderId="0" xfId="1" applyNumberFormat="1" applyFont="1" applyFill="1" applyAlignment="1">
      <alignment horizontal="center" vertical="center"/>
    </xf>
    <xf numFmtId="165" fontId="15" fillId="2" borderId="9" xfId="1" applyNumberFormat="1" applyFont="1" applyFill="1" applyBorder="1" applyAlignment="1">
      <alignment horizontal="left" vertical="center"/>
    </xf>
    <xf numFmtId="165" fontId="15" fillId="2" borderId="0" xfId="1" applyNumberFormat="1" applyFont="1" applyFill="1" applyAlignment="1">
      <alignment horizontal="left" vertical="center"/>
    </xf>
    <xf numFmtId="165" fontId="15" fillId="0" borderId="0" xfId="1" applyNumberFormat="1" applyFont="1" applyAlignment="1">
      <alignment horizontal="left" vertical="center"/>
    </xf>
    <xf numFmtId="165" fontId="8" fillId="0" borderId="0" xfId="1" applyNumberFormat="1" applyFont="1" applyAlignment="1">
      <alignment horizontal="center" vertical="center"/>
    </xf>
    <xf numFmtId="165" fontId="15" fillId="0" borderId="0" xfId="1" applyNumberFormat="1" applyFont="1"/>
    <xf numFmtId="165" fontId="9" fillId="0" borderId="4" xfId="1" applyNumberFormat="1" applyFont="1" applyBorder="1"/>
    <xf numFmtId="165" fontId="10" fillId="0" borderId="4" xfId="1" applyNumberFormat="1" applyFont="1" applyBorder="1"/>
    <xf numFmtId="165" fontId="10" fillId="0" borderId="5" xfId="1" applyNumberFormat="1" applyFont="1" applyBorder="1"/>
    <xf numFmtId="1" fontId="9" fillId="0" borderId="4" xfId="1" applyNumberFormat="1" applyFont="1" applyBorder="1"/>
    <xf numFmtId="165" fontId="3" fillId="0" borderId="0" xfId="0" applyNumberFormat="1" applyFont="1"/>
    <xf numFmtId="3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165" fontId="11" fillId="0" borderId="0" xfId="0" applyNumberFormat="1" applyFont="1" applyAlignment="1">
      <alignment horizontal="center"/>
    </xf>
    <xf numFmtId="165" fontId="15" fillId="0" borderId="1" xfId="1" applyNumberFormat="1" applyFont="1" applyBorder="1"/>
    <xf numFmtId="0" fontId="14" fillId="0" borderId="0" xfId="0" applyFont="1" applyAlignment="1">
      <alignment horizontal="center"/>
    </xf>
    <xf numFmtId="165" fontId="2" fillId="0" borderId="1" xfId="1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5" fontId="17" fillId="0" borderId="1" xfId="1" applyNumberFormat="1" applyFont="1" applyBorder="1" applyAlignment="1">
      <alignment horizontal="left" vertical="center"/>
    </xf>
    <xf numFmtId="165" fontId="16" fillId="0" borderId="1" xfId="1" applyNumberFormat="1" applyFont="1" applyBorder="1" applyAlignment="1">
      <alignment horizontal="center" vertical="center"/>
    </xf>
    <xf numFmtId="165" fontId="17" fillId="0" borderId="1" xfId="1" applyNumberFormat="1" applyFont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9" fillId="0" borderId="7" xfId="0" applyFont="1" applyBorder="1" applyAlignment="1">
      <alignment horizontal="left" vertical="center"/>
    </xf>
    <xf numFmtId="0" fontId="19" fillId="0" borderId="8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/>
    </xf>
    <xf numFmtId="165" fontId="10" fillId="0" borderId="0" xfId="1" applyNumberFormat="1" applyFont="1"/>
    <xf numFmtId="165" fontId="10" fillId="4" borderId="4" xfId="1" applyNumberFormat="1" applyFont="1" applyFill="1" applyBorder="1"/>
    <xf numFmtId="1" fontId="9" fillId="0" borderId="11" xfId="1" applyNumberFormat="1" applyFont="1" applyBorder="1"/>
    <xf numFmtId="0" fontId="4" fillId="2" borderId="10" xfId="3" applyFont="1" applyFill="1"/>
    <xf numFmtId="165" fontId="0" fillId="0" borderId="0" xfId="0" applyNumberFormat="1"/>
    <xf numFmtId="165" fontId="3" fillId="0" borderId="0" xfId="0" applyNumberFormat="1" applyFont="1" applyAlignment="1">
      <alignment horizontal="center"/>
    </xf>
    <xf numFmtId="41" fontId="21" fillId="0" borderId="1" xfId="2" applyFont="1" applyBorder="1" applyAlignment="1">
      <alignment horizontal="left" vertical="center"/>
    </xf>
    <xf numFmtId="165" fontId="6" fillId="0" borderId="0" xfId="0" applyNumberFormat="1" applyFont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165" fontId="2" fillId="0" borderId="6" xfId="1" applyNumberFormat="1" applyFont="1" applyBorder="1" applyAlignment="1">
      <alignment horizontal="left" vertical="center"/>
    </xf>
    <xf numFmtId="165" fontId="2" fillId="0" borderId="7" xfId="1" applyNumberFormat="1" applyFont="1" applyBorder="1" applyAlignment="1">
      <alignment horizontal="left" vertical="center"/>
    </xf>
    <xf numFmtId="165" fontId="2" fillId="0" borderId="8" xfId="1" applyNumberFormat="1" applyFont="1" applyBorder="1" applyAlignment="1">
      <alignment horizontal="left" vertical="center"/>
    </xf>
    <xf numFmtId="165" fontId="2" fillId="2" borderId="6" xfId="1" applyNumberFormat="1" applyFont="1" applyFill="1" applyBorder="1" applyAlignment="1">
      <alignment horizontal="left" vertical="center"/>
    </xf>
    <xf numFmtId="165" fontId="2" fillId="2" borderId="7" xfId="1" applyNumberFormat="1" applyFont="1" applyFill="1" applyBorder="1" applyAlignment="1">
      <alignment horizontal="left" vertical="center"/>
    </xf>
    <xf numFmtId="165" fontId="2" fillId="2" borderId="8" xfId="1" applyNumberFormat="1" applyFont="1" applyFill="1" applyBorder="1" applyAlignment="1">
      <alignment horizontal="left" vertical="center"/>
    </xf>
  </cellXfs>
  <cellStyles count="4">
    <cellStyle name="Check Cell" xfId="3" builtinId="23"/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3779-0E94-4A58-9542-9EC2C96FD427}">
  <dimension ref="A1:Z582"/>
  <sheetViews>
    <sheetView workbookViewId="0">
      <selection activeCell="J6" sqref="J6"/>
    </sheetView>
  </sheetViews>
  <sheetFormatPr defaultRowHeight="15"/>
  <sheetData>
    <row r="1" spans="1:26" ht="20.25" thickTop="1" thickBot="1">
      <c r="A1" s="7" t="s">
        <v>0</v>
      </c>
      <c r="B1" s="8" t="s">
        <v>1</v>
      </c>
      <c r="C1" s="8" t="s">
        <v>198</v>
      </c>
      <c r="D1" s="9">
        <v>46054</v>
      </c>
      <c r="E1" s="10"/>
      <c r="F1" s="11" t="s">
        <v>3</v>
      </c>
      <c r="G1" s="12" t="s">
        <v>4</v>
      </c>
      <c r="H1" s="12" t="s">
        <v>5</v>
      </c>
      <c r="I1" s="9">
        <v>46054</v>
      </c>
      <c r="J1" s="13"/>
      <c r="L1" s="1"/>
      <c r="M1" s="1"/>
      <c r="N1" s="14"/>
      <c r="O1" s="15"/>
      <c r="P1" s="16"/>
      <c r="Q1" s="15"/>
      <c r="R1" s="17"/>
      <c r="S1" s="1"/>
      <c r="T1" s="1"/>
      <c r="U1" s="1"/>
      <c r="V1" s="5" t="s">
        <v>199</v>
      </c>
      <c r="W1" s="1"/>
      <c r="X1" s="1"/>
      <c r="Y1" s="1"/>
      <c r="Z1" s="1"/>
    </row>
    <row r="2" spans="1:26" ht="46.5" thickTop="1" thickBot="1">
      <c r="A2" s="7" t="s">
        <v>6</v>
      </c>
      <c r="B2" s="8" t="s">
        <v>1</v>
      </c>
      <c r="C2" s="8" t="s">
        <v>8</v>
      </c>
      <c r="D2" s="8" t="s">
        <v>9</v>
      </c>
      <c r="E2" s="10"/>
      <c r="F2" s="20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7">
        <v>1</v>
      </c>
      <c r="B3" s="8">
        <v>1000000</v>
      </c>
      <c r="C3" s="8">
        <f>VLOOKUP(A3&amp;"|"&amp;B3,$O$3:$P$16,2,FALSE)</f>
        <v>8600</v>
      </c>
      <c r="D3" s="8">
        <f>VLOOKUP(A3&amp;"|"&amp;B3,$Q$3:$R$16,2,FALSE)</f>
        <v>41400</v>
      </c>
      <c r="E3" s="10"/>
      <c r="F3" s="26">
        <v>1</v>
      </c>
      <c r="G3" s="21">
        <v>500000</v>
      </c>
      <c r="H3" s="21">
        <f>VLOOKUP(F3&amp;"|"&amp;G3,$O$3:$P$19,2,FALSE)</f>
        <v>4300</v>
      </c>
      <c r="I3" s="21">
        <f>VLOOKUP(F3&amp;"|"&amp;G3,$Q$3:$R$19,2,FALSE)</f>
        <v>20700</v>
      </c>
      <c r="J3" s="13"/>
      <c r="K3" s="1"/>
      <c r="L3" s="27">
        <v>15</v>
      </c>
      <c r="M3" s="28">
        <v>500000</v>
      </c>
      <c r="N3" s="28">
        <v>15000</v>
      </c>
      <c r="O3" s="28" t="str">
        <f t="shared" ref="O3:O16" si="0">L3&amp;"|"&amp;M3</f>
        <v>15|500000</v>
      </c>
      <c r="P3" s="28">
        <f t="shared" ref="P3:P16" si="1">N3/20</f>
        <v>750</v>
      </c>
      <c r="Q3" s="28" t="str">
        <f t="shared" ref="Q3:Q16" si="2">L3&amp;"|"&amp;M3</f>
        <v>15|500000</v>
      </c>
      <c r="R3" s="29">
        <f t="shared" ref="R3:R16" si="3">(M3-N3)/20</f>
        <v>24250</v>
      </c>
      <c r="S3" s="1"/>
      <c r="T3" s="49">
        <f>D8</f>
        <v>64600</v>
      </c>
      <c r="U3" s="49" t="str">
        <f>B1</f>
        <v>SOHANJI</v>
      </c>
      <c r="V3" s="49" t="str">
        <f>C1</f>
        <v>AL CO</v>
      </c>
      <c r="W3" s="1"/>
      <c r="X3" s="49">
        <f>I8</f>
        <v>20700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31">
        <v>10</v>
      </c>
      <c r="B4" s="8">
        <v>500000</v>
      </c>
      <c r="C4" s="8">
        <f>VLOOKUP(A4&amp;"|"&amp;B4,$O$3:$P$16,2,FALSE)</f>
        <v>1800</v>
      </c>
      <c r="D4" s="8">
        <f>VLOOKUP(A4&amp;"|"&amp;B4,$Q$3:$R$16,2,FALSE)</f>
        <v>23200</v>
      </c>
      <c r="E4" s="10"/>
      <c r="F4" s="20"/>
      <c r="G4" s="21"/>
      <c r="H4" s="21"/>
      <c r="I4" s="21"/>
      <c r="J4" s="13"/>
      <c r="K4" s="1"/>
      <c r="L4" s="27">
        <v>15</v>
      </c>
      <c r="M4" s="28">
        <v>250000</v>
      </c>
      <c r="N4" s="32">
        <v>7000</v>
      </c>
      <c r="O4" s="28" t="str">
        <f t="shared" si="0"/>
        <v>15|250000</v>
      </c>
      <c r="P4" s="28">
        <f t="shared" si="1"/>
        <v>350</v>
      </c>
      <c r="Q4" s="28" t="str">
        <f t="shared" si="2"/>
        <v>15|250000</v>
      </c>
      <c r="R4" s="29">
        <f t="shared" si="3"/>
        <v>12150</v>
      </c>
      <c r="S4" s="1"/>
      <c r="T4" s="49">
        <f>D17</f>
        <v>20700</v>
      </c>
      <c r="U4" s="49" t="str">
        <f>B10</f>
        <v>JIVARAMJI</v>
      </c>
      <c r="V4" s="49" t="str">
        <f>C10</f>
        <v>YAMJAL</v>
      </c>
      <c r="W4" s="1"/>
      <c r="X4" s="49">
        <f>I17</f>
        <v>82650</v>
      </c>
      <c r="Y4" s="49" t="str">
        <f>G10</f>
        <v>JABBARSINGHJI</v>
      </c>
      <c r="Z4" s="49" t="str">
        <f>H10</f>
        <v>K PALLY</v>
      </c>
    </row>
    <row r="5" spans="1:26" ht="20.25" thickTop="1" thickBot="1">
      <c r="A5" s="7"/>
      <c r="B5" s="8"/>
      <c r="C5" s="8"/>
      <c r="D5" s="8"/>
      <c r="E5" s="10"/>
      <c r="F5" s="20"/>
      <c r="G5" s="21"/>
      <c r="H5" s="21"/>
      <c r="I5" s="21"/>
      <c r="J5" s="13"/>
      <c r="K5" s="1"/>
      <c r="L5" s="27">
        <v>10</v>
      </c>
      <c r="M5" s="27">
        <v>2000000</v>
      </c>
      <c r="N5" s="27">
        <v>135000</v>
      </c>
      <c r="O5" s="32" t="str">
        <f t="shared" si="0"/>
        <v>10|2000000</v>
      </c>
      <c r="P5" s="28">
        <f t="shared" si="1"/>
        <v>6750</v>
      </c>
      <c r="Q5" s="32" t="str">
        <f t="shared" si="2"/>
        <v>10|2000000</v>
      </c>
      <c r="R5" s="29">
        <f t="shared" si="3"/>
        <v>93250</v>
      </c>
      <c r="S5" s="1"/>
      <c r="T5" s="49">
        <f>D26</f>
        <v>134650</v>
      </c>
      <c r="U5" s="49" t="str">
        <f>B19</f>
        <v>MANGILALJI</v>
      </c>
      <c r="V5" s="49" t="str">
        <f>C19</f>
        <v>BOLARAM</v>
      </c>
      <c r="W5" s="1"/>
      <c r="X5" s="49">
        <f>I26</f>
        <v>123900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7"/>
      <c r="B6" s="8"/>
      <c r="C6" s="8"/>
      <c r="D6" s="8"/>
      <c r="E6" s="10"/>
      <c r="F6" s="20"/>
      <c r="G6" s="21"/>
      <c r="H6" s="21"/>
      <c r="I6" s="21"/>
      <c r="J6" s="13"/>
      <c r="K6" s="1"/>
      <c r="L6" s="27">
        <v>10</v>
      </c>
      <c r="M6" s="32">
        <v>500000</v>
      </c>
      <c r="N6" s="32">
        <v>36000</v>
      </c>
      <c r="O6" s="32" t="str">
        <f t="shared" si="0"/>
        <v>10|500000</v>
      </c>
      <c r="P6" s="28">
        <f t="shared" si="1"/>
        <v>1800</v>
      </c>
      <c r="Q6" s="32" t="str">
        <f t="shared" si="2"/>
        <v>10|500000</v>
      </c>
      <c r="R6" s="29">
        <f t="shared" si="3"/>
        <v>23200</v>
      </c>
      <c r="S6" s="1"/>
      <c r="T6" s="49">
        <f>D35</f>
        <v>90850</v>
      </c>
      <c r="U6" s="49" t="str">
        <f>B28</f>
        <v>KISHANJI</v>
      </c>
      <c r="V6" s="49" t="str">
        <f>C28</f>
        <v>KAMAN</v>
      </c>
      <c r="W6" s="1"/>
      <c r="X6" s="49">
        <f>I35</f>
        <v>23200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7"/>
      <c r="B7" s="8"/>
      <c r="C7" s="8"/>
      <c r="D7" s="8"/>
      <c r="E7" s="10"/>
      <c r="F7" s="20"/>
      <c r="G7" s="21"/>
      <c r="H7" s="21"/>
      <c r="I7" s="21"/>
      <c r="J7" s="13"/>
      <c r="K7" s="1"/>
      <c r="L7" s="27">
        <v>1</v>
      </c>
      <c r="M7" s="32">
        <v>500000</v>
      </c>
      <c r="N7" s="32">
        <v>86000</v>
      </c>
      <c r="O7" s="32" t="str">
        <f t="shared" si="0"/>
        <v>1|500000</v>
      </c>
      <c r="P7" s="28">
        <f t="shared" si="1"/>
        <v>4300</v>
      </c>
      <c r="Q7" s="28" t="str">
        <f t="shared" si="2"/>
        <v>1|500000</v>
      </c>
      <c r="R7" s="29">
        <f t="shared" si="3"/>
        <v>20700</v>
      </c>
      <c r="S7" s="1"/>
      <c r="T7" s="49">
        <f>D44</f>
        <v>22500</v>
      </c>
      <c r="U7" s="49" t="str">
        <f>B37</f>
        <v>BHONARAMJI</v>
      </c>
      <c r="V7" s="49" t="str">
        <f>C37</f>
        <v>G.MAISAMA</v>
      </c>
      <c r="W7" s="1"/>
      <c r="X7" s="49">
        <f>I44</f>
        <v>134500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33" t="s">
        <v>16</v>
      </c>
      <c r="B8" s="34"/>
      <c r="C8" s="35"/>
      <c r="D8" s="8">
        <f>SUM(D3:D7)</f>
        <v>64600</v>
      </c>
      <c r="E8" s="10"/>
      <c r="F8" s="36" t="s">
        <v>16</v>
      </c>
      <c r="G8" s="37"/>
      <c r="H8" s="38"/>
      <c r="I8" s="21">
        <f>SUM(I3:I7)</f>
        <v>20700</v>
      </c>
      <c r="J8" s="13"/>
      <c r="K8" s="1"/>
      <c r="L8" s="27">
        <v>1</v>
      </c>
      <c r="M8" s="32">
        <v>1000000</v>
      </c>
      <c r="N8" s="32">
        <v>172000</v>
      </c>
      <c r="O8" s="32" t="str">
        <f t="shared" si="0"/>
        <v>1|1000000</v>
      </c>
      <c r="P8" s="28">
        <f t="shared" si="1"/>
        <v>8600</v>
      </c>
      <c r="Q8" s="32" t="str">
        <f t="shared" si="2"/>
        <v>1|1000000</v>
      </c>
      <c r="R8" s="29">
        <f t="shared" si="3"/>
        <v>41400</v>
      </c>
      <c r="S8" s="1"/>
      <c r="T8" s="49">
        <f>D53</f>
        <v>20700</v>
      </c>
      <c r="U8" s="49" t="str">
        <f>B46</f>
        <v>RAMESHJI</v>
      </c>
      <c r="V8" s="49" t="str">
        <f>C46</f>
        <v>HITECH</v>
      </c>
      <c r="W8" s="1"/>
      <c r="X8" s="49">
        <f>I53</f>
        <v>46600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39"/>
      <c r="B9" s="40"/>
      <c r="C9" s="41"/>
      <c r="D9" s="41"/>
      <c r="E9" s="42"/>
      <c r="F9" s="43"/>
      <c r="G9" s="42"/>
      <c r="H9" s="42"/>
      <c r="I9" s="42"/>
      <c r="J9" s="13"/>
      <c r="K9" s="1"/>
      <c r="L9" s="27">
        <v>1.1000000000000001</v>
      </c>
      <c r="M9" s="32">
        <v>1000000</v>
      </c>
      <c r="N9" s="32">
        <v>175000</v>
      </c>
      <c r="O9" s="32" t="str">
        <f t="shared" si="0"/>
        <v>1.1|1000000</v>
      </c>
      <c r="P9" s="28">
        <f t="shared" si="1"/>
        <v>8750</v>
      </c>
      <c r="Q9" s="32" t="str">
        <f t="shared" si="2"/>
        <v>1.1|1000000</v>
      </c>
      <c r="R9" s="29">
        <f t="shared" si="3"/>
        <v>41250</v>
      </c>
      <c r="S9" s="1"/>
      <c r="T9" s="49">
        <f>D62</f>
        <v>83750</v>
      </c>
      <c r="U9" s="49" t="str">
        <f>B55</f>
        <v>SOHANJI</v>
      </c>
      <c r="V9" s="49" t="str">
        <f>C55</f>
        <v>KOTLAPUR</v>
      </c>
      <c r="W9" s="1"/>
      <c r="X9" s="49">
        <f>I62</f>
        <v>65800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0" t="s">
        <v>0</v>
      </c>
      <c r="B10" s="21" t="s">
        <v>17</v>
      </c>
      <c r="C10" s="21" t="s">
        <v>18</v>
      </c>
      <c r="D10" s="9">
        <v>46054</v>
      </c>
      <c r="E10" s="10"/>
      <c r="F10" s="20" t="s">
        <v>0</v>
      </c>
      <c r="G10" s="21" t="s">
        <v>184</v>
      </c>
      <c r="H10" s="21" t="s">
        <v>185</v>
      </c>
      <c r="I10" s="9">
        <v>46054</v>
      </c>
      <c r="J10" s="44"/>
      <c r="K10" s="1"/>
      <c r="L10" s="27">
        <v>18</v>
      </c>
      <c r="M10" s="32">
        <v>500000</v>
      </c>
      <c r="N10" s="32">
        <v>4000</v>
      </c>
      <c r="O10" s="32" t="str">
        <f t="shared" si="0"/>
        <v>18|500000</v>
      </c>
      <c r="P10" s="28">
        <f t="shared" si="1"/>
        <v>200</v>
      </c>
      <c r="Q10" s="32" t="str">
        <f t="shared" si="2"/>
        <v>18|500000</v>
      </c>
      <c r="R10" s="29">
        <f t="shared" si="3"/>
        <v>24800</v>
      </c>
      <c r="S10" s="1"/>
      <c r="T10" s="49">
        <f>D71</f>
        <v>93250</v>
      </c>
      <c r="U10" s="49" t="str">
        <f>B64</f>
        <v>KUNARAMJI</v>
      </c>
      <c r="V10" s="49" t="str">
        <f>C64</f>
        <v>GANDHI NGR</v>
      </c>
      <c r="W10" s="1"/>
      <c r="X10" s="49">
        <f>I71</f>
        <v>43900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0" t="s">
        <v>6</v>
      </c>
      <c r="B11" s="21" t="s">
        <v>7</v>
      </c>
      <c r="C11" s="21" t="s">
        <v>8</v>
      </c>
      <c r="D11" s="21" t="s">
        <v>9</v>
      </c>
      <c r="E11" s="10"/>
      <c r="F11" s="20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27">
        <v>5</v>
      </c>
      <c r="M11" s="32">
        <v>500000</v>
      </c>
      <c r="N11" s="32">
        <v>64000</v>
      </c>
      <c r="O11" s="32" t="str">
        <f t="shared" si="0"/>
        <v>5|500000</v>
      </c>
      <c r="P11" s="28">
        <f t="shared" si="1"/>
        <v>3200</v>
      </c>
      <c r="Q11" s="32" t="str">
        <f t="shared" si="2"/>
        <v>5|500000</v>
      </c>
      <c r="R11" s="29">
        <f t="shared" si="3"/>
        <v>21800</v>
      </c>
      <c r="S11" s="1"/>
      <c r="T11" s="49">
        <f>D85</f>
        <v>337550</v>
      </c>
      <c r="U11" s="49" t="str">
        <f>B73</f>
        <v>MATAJI</v>
      </c>
      <c r="V11" s="49" t="str">
        <f>C73</f>
        <v>G.R</v>
      </c>
      <c r="W11" s="1"/>
      <c r="X11" s="49">
        <f>I85</f>
        <v>322450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31">
        <v>1</v>
      </c>
      <c r="B12" s="21">
        <v>500000</v>
      </c>
      <c r="C12" s="21">
        <f>VLOOKUP(A12&amp;"|"&amp;B12,$O$3:$P$16,2,FALSE)</f>
        <v>4300</v>
      </c>
      <c r="D12" s="21">
        <f>VLOOKUP(A12&amp;"|"&amp;B12,$Q$3:$R$16,2,FALSE)</f>
        <v>20700</v>
      </c>
      <c r="E12" s="10"/>
      <c r="F12" s="26">
        <v>1</v>
      </c>
      <c r="G12" s="21">
        <v>1000000</v>
      </c>
      <c r="H12" s="21">
        <f>VLOOKUP(F12&amp;"|"&amp;G12,$O$3:$P$16,2,FALSE)</f>
        <v>8600</v>
      </c>
      <c r="I12" s="21">
        <f>VLOOKUP(F12&amp;"|"&amp;G12,$Q$3:$R$16,2,FALSE)</f>
        <v>41400</v>
      </c>
      <c r="J12" s="13"/>
      <c r="K12" s="1"/>
      <c r="L12" s="27">
        <v>5</v>
      </c>
      <c r="M12" s="32">
        <v>1000000</v>
      </c>
      <c r="N12" s="32">
        <v>150000</v>
      </c>
      <c r="O12" s="32" t="str">
        <f t="shared" si="0"/>
        <v>5|1000000</v>
      </c>
      <c r="P12" s="28">
        <f t="shared" si="1"/>
        <v>7500</v>
      </c>
      <c r="Q12" s="32" t="str">
        <f t="shared" si="2"/>
        <v>5|1000000</v>
      </c>
      <c r="R12" s="29">
        <f t="shared" si="3"/>
        <v>42500</v>
      </c>
      <c r="S12" s="1"/>
      <c r="T12" s="49">
        <f>D94</f>
        <v>270250</v>
      </c>
      <c r="U12" s="49" t="str">
        <f>B87</f>
        <v>MOHANLALJI</v>
      </c>
      <c r="V12" s="49" t="str">
        <f>C87</f>
        <v>SNT.NAGAR</v>
      </c>
      <c r="W12" s="1"/>
      <c r="X12" s="49">
        <f>I94</f>
        <v>31050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0"/>
      <c r="B13" s="21"/>
      <c r="C13" s="21"/>
      <c r="D13" s="21"/>
      <c r="E13" s="10"/>
      <c r="F13" s="20">
        <v>1.1000000000000001</v>
      </c>
      <c r="G13" s="21">
        <v>1000000</v>
      </c>
      <c r="H13" s="21">
        <f>VLOOKUP(F13&amp;"|"&amp;G13,$O$3:$P$16,2,FALSE)</f>
        <v>8750</v>
      </c>
      <c r="I13" s="21">
        <f>VLOOKUP(F13&amp;"|"&amp;G13,$Q$3:$R$16,2,FALSE)</f>
        <v>41250</v>
      </c>
      <c r="J13" s="13"/>
      <c r="K13" s="1"/>
      <c r="L13" s="27">
        <v>5.0999999999999996</v>
      </c>
      <c r="M13" s="27">
        <v>1000000</v>
      </c>
      <c r="N13" s="27">
        <v>148000</v>
      </c>
      <c r="O13" s="32" t="str">
        <f t="shared" si="0"/>
        <v>5.1|1000000</v>
      </c>
      <c r="P13" s="28">
        <f t="shared" si="1"/>
        <v>7400</v>
      </c>
      <c r="Q13" s="32" t="str">
        <f t="shared" si="2"/>
        <v>5.1|1000000</v>
      </c>
      <c r="R13" s="29">
        <f t="shared" si="3"/>
        <v>42600</v>
      </c>
      <c r="S13" s="1"/>
      <c r="T13" s="49">
        <f>D103</f>
        <v>64600</v>
      </c>
      <c r="U13" s="49" t="str">
        <f>B96</f>
        <v>PRAKASHJI</v>
      </c>
      <c r="V13" s="49" t="str">
        <f>C96</f>
        <v>KONDAPUR</v>
      </c>
      <c r="W13" s="1"/>
      <c r="X13" s="49">
        <f>I103</f>
        <v>125150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0"/>
      <c r="B14" s="21"/>
      <c r="C14" s="21"/>
      <c r="D14" s="21"/>
      <c r="E14" s="10"/>
      <c r="F14" s="20"/>
      <c r="G14" s="21"/>
      <c r="H14" s="21"/>
      <c r="I14" s="21"/>
      <c r="J14" s="13" t="s">
        <v>182</v>
      </c>
      <c r="K14" s="1"/>
      <c r="L14" s="27">
        <v>10</v>
      </c>
      <c r="M14" s="32">
        <v>1000000</v>
      </c>
      <c r="N14" s="32">
        <v>72000</v>
      </c>
      <c r="O14" s="32" t="str">
        <f t="shared" si="0"/>
        <v>10|1000000</v>
      </c>
      <c r="P14" s="28">
        <f t="shared" si="1"/>
        <v>3600</v>
      </c>
      <c r="Q14" s="32" t="str">
        <f t="shared" si="2"/>
        <v>10|1000000</v>
      </c>
      <c r="R14" s="29">
        <f t="shared" si="3"/>
        <v>46400</v>
      </c>
      <c r="S14" s="1"/>
      <c r="T14" s="49">
        <f>D112</f>
        <v>20700</v>
      </c>
      <c r="U14" s="49" t="str">
        <f>B105</f>
        <v>NARAYANJI</v>
      </c>
      <c r="V14" s="49" t="str">
        <f>C105</f>
        <v>SHAPUR</v>
      </c>
      <c r="W14" s="1"/>
      <c r="X14" s="49">
        <f>I112</f>
        <v>134650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0"/>
      <c r="B15" s="21"/>
      <c r="C15" s="21"/>
      <c r="D15" s="21"/>
      <c r="E15" s="10"/>
      <c r="F15" s="20"/>
      <c r="G15" s="21"/>
      <c r="H15" s="21"/>
      <c r="I15" s="21"/>
      <c r="J15" s="13"/>
      <c r="K15" s="1"/>
      <c r="L15" s="27">
        <v>1</v>
      </c>
      <c r="M15" s="32">
        <v>250000</v>
      </c>
      <c r="N15" s="32">
        <v>43000</v>
      </c>
      <c r="O15" s="32" t="str">
        <f t="shared" si="0"/>
        <v>1|250000</v>
      </c>
      <c r="P15" s="28">
        <f t="shared" si="1"/>
        <v>2150</v>
      </c>
      <c r="Q15" s="32" t="str">
        <f t="shared" si="2"/>
        <v>1|250000</v>
      </c>
      <c r="R15" s="29">
        <f t="shared" si="3"/>
        <v>10350</v>
      </c>
      <c r="S15" s="1"/>
      <c r="T15" s="49">
        <f>D121</f>
        <v>111800</v>
      </c>
      <c r="U15" s="49" t="str">
        <f>B114</f>
        <v>CHENARAMJI</v>
      </c>
      <c r="V15" s="49" t="str">
        <f>C114</f>
        <v>KOTLAPUR</v>
      </c>
      <c r="W15" s="1"/>
      <c r="X15" s="49">
        <f>I121</f>
        <v>134650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0"/>
      <c r="B16" s="21"/>
      <c r="C16" s="21"/>
      <c r="D16" s="21"/>
      <c r="E16" s="2"/>
      <c r="F16" s="20"/>
      <c r="G16" s="21"/>
      <c r="H16" s="21"/>
      <c r="I16" s="21"/>
      <c r="J16" s="13"/>
      <c r="K16" s="1"/>
      <c r="L16" s="27">
        <v>10.1</v>
      </c>
      <c r="M16" s="28">
        <v>1000000</v>
      </c>
      <c r="N16" s="32">
        <v>67000</v>
      </c>
      <c r="O16" s="32" t="str">
        <f t="shared" si="0"/>
        <v>10.1|1000000</v>
      </c>
      <c r="P16" s="28">
        <f t="shared" si="1"/>
        <v>3350</v>
      </c>
      <c r="Q16" s="32" t="str">
        <f t="shared" si="2"/>
        <v>10.1|1000000</v>
      </c>
      <c r="R16" s="29">
        <f t="shared" si="3"/>
        <v>46650</v>
      </c>
      <c r="S16" s="1"/>
      <c r="T16" s="49">
        <f>D130</f>
        <v>175900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154300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36" t="s">
        <v>16</v>
      </c>
      <c r="B17" s="37"/>
      <c r="C17" s="38"/>
      <c r="D17" s="8">
        <f>SUM(D12:D16)</f>
        <v>20700</v>
      </c>
      <c r="E17" s="2"/>
      <c r="F17" s="36" t="s">
        <v>16</v>
      </c>
      <c r="G17" s="37"/>
      <c r="H17" s="38"/>
      <c r="I17" s="21">
        <f>SUM(I12:I16)</f>
        <v>82650</v>
      </c>
      <c r="J17" s="13"/>
      <c r="K17" s="1"/>
      <c r="L17" s="1"/>
      <c r="M17" s="1"/>
      <c r="N17" s="1"/>
      <c r="O17" s="45"/>
      <c r="P17" s="46"/>
      <c r="Q17" s="45"/>
      <c r="R17" s="47"/>
      <c r="S17" s="1"/>
      <c r="T17" s="49">
        <f>D139</f>
        <v>63200</v>
      </c>
      <c r="U17" s="49" t="str">
        <f>B132</f>
        <v>BHUNDARAMJI</v>
      </c>
      <c r="V17" s="49" t="str">
        <f>C132</f>
        <v>MIYAPUR</v>
      </c>
      <c r="W17" s="1"/>
      <c r="X17" s="49">
        <f>I139</f>
        <v>20700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1"/>
      <c r="B18" s="3"/>
      <c r="C18" s="3"/>
      <c r="D18" s="3"/>
      <c r="E18" s="3"/>
      <c r="F18" s="43"/>
      <c r="G18" s="42"/>
      <c r="H18" s="42"/>
      <c r="I18" s="42"/>
      <c r="J18" s="13"/>
      <c r="K18" s="1"/>
      <c r="L18" s="1"/>
      <c r="M18" s="1"/>
      <c r="N18" s="1"/>
      <c r="O18" s="45"/>
      <c r="P18" s="46"/>
      <c r="Q18" s="45"/>
      <c r="R18" s="47"/>
      <c r="S18" s="1"/>
      <c r="T18" s="49">
        <f>D148</f>
        <v>112250</v>
      </c>
      <c r="U18" s="49" t="str">
        <f>B141</f>
        <v>POKARJI</v>
      </c>
      <c r="V18" s="49" t="str">
        <f>C141</f>
        <v>J GUTTA</v>
      </c>
      <c r="W18" s="1"/>
      <c r="X18" s="49">
        <f>I148</f>
        <v>85100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0" t="s">
        <v>0</v>
      </c>
      <c r="B19" s="21" t="s">
        <v>21</v>
      </c>
      <c r="C19" s="21" t="s">
        <v>22</v>
      </c>
      <c r="D19" s="9">
        <v>46054</v>
      </c>
      <c r="E19" s="2"/>
      <c r="F19" s="20" t="s">
        <v>0</v>
      </c>
      <c r="G19" s="21" t="s">
        <v>23</v>
      </c>
      <c r="H19" s="21" t="s">
        <v>24</v>
      </c>
      <c r="I19" s="9">
        <v>46054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21800</v>
      </c>
      <c r="U19" s="49" t="str">
        <f>B150</f>
        <v>UDARAMJI</v>
      </c>
      <c r="V19" s="49" t="str">
        <f>C150</f>
        <v>CHINTAL</v>
      </c>
      <c r="W19" s="1"/>
      <c r="X19" s="49">
        <f>I157</f>
        <v>67300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0" t="s">
        <v>6</v>
      </c>
      <c r="B20" s="21" t="s">
        <v>7</v>
      </c>
      <c r="C20" s="21" t="s">
        <v>8</v>
      </c>
      <c r="D20" s="21" t="s">
        <v>9</v>
      </c>
      <c r="E20" s="2"/>
      <c r="F20" s="20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41250</v>
      </c>
      <c r="U20" s="49" t="str">
        <f>B159</f>
        <v>HARISINGHJI</v>
      </c>
      <c r="V20" s="49" t="str">
        <f>C159</f>
        <v>RAMARAM</v>
      </c>
      <c r="W20" s="1"/>
      <c r="X20" s="49">
        <f>I166</f>
        <v>41250</v>
      </c>
      <c r="Y20" s="49" t="str">
        <f>G159</f>
        <v>BHAWARLALJI</v>
      </c>
      <c r="Z20" s="49" t="str">
        <f>H159</f>
        <v>RAMARAM</v>
      </c>
    </row>
    <row r="21" spans="1:26" ht="20.25" thickTop="1" thickBot="1">
      <c r="A21" s="20">
        <v>1</v>
      </c>
      <c r="B21" s="21">
        <v>1000000</v>
      </c>
      <c r="C21" s="21">
        <f>VLOOKUP(A21&amp;"|"&amp;B21,$O$3:$P$16,2,FALSE)</f>
        <v>8600</v>
      </c>
      <c r="D21" s="21">
        <f>VLOOKUP(A21&amp;"|"&amp;B21,$Q$3:$R$16,2,FALSE)</f>
        <v>41400</v>
      </c>
      <c r="E21" s="2"/>
      <c r="F21" s="26">
        <v>1</v>
      </c>
      <c r="G21" s="21">
        <v>1000000</v>
      </c>
      <c r="H21" s="21">
        <f>VLOOKUP(F21&amp;"|"&amp;G21,$O$3:$P$16,2,FALSE)</f>
        <v>8600</v>
      </c>
      <c r="I21" s="21">
        <f>VLOOKUP(F21&amp;"|"&amp;G21,$Q$3:$R$16,2,FALSE)</f>
        <v>41400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>4303500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4139650</v>
      </c>
      <c r="S21" s="1"/>
      <c r="T21" s="49">
        <f>D175</f>
        <v>134050</v>
      </c>
      <c r="U21" s="49" t="str">
        <f>B168</f>
        <v>BHORARAMJI</v>
      </c>
      <c r="V21" s="49" t="str">
        <f>C168</f>
        <v>MIYAPUR</v>
      </c>
      <c r="W21" s="1"/>
      <c r="X21" s="49">
        <f>I175</f>
        <v>24250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0">
        <v>10</v>
      </c>
      <c r="B22" s="21">
        <v>2000000</v>
      </c>
      <c r="C22" s="21">
        <f>VLOOKUP(A22&amp;"|"&amp;B22,$O$3:$P$17,2,FALSE)</f>
        <v>6750</v>
      </c>
      <c r="D22" s="21">
        <f>VLOOKUP(A22&amp;"|"&amp;B22,$Q$3:$R$17,2,FALSE)</f>
        <v>93250</v>
      </c>
      <c r="E22" s="2"/>
      <c r="F22" s="26">
        <v>1.1000000000000001</v>
      </c>
      <c r="G22" s="21">
        <v>1000000</v>
      </c>
      <c r="H22" s="21">
        <f>VLOOKUP(F22&amp;"|"&amp;G22,$O$3:$P$16,2,FALSE)</f>
        <v>8750</v>
      </c>
      <c r="I22" s="21">
        <f>VLOOKUP(F22&amp;"|"&amp;G22,$Q$3:$R$16,2,FALSE)</f>
        <v>41250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49">
        <f>D184</f>
        <v>118050</v>
      </c>
      <c r="U22" s="49" t="str">
        <f>B177</f>
        <v>MADARAMJI</v>
      </c>
      <c r="V22" s="49" t="str">
        <f>C177</f>
        <v>SHAPUR</v>
      </c>
      <c r="W22" s="1"/>
      <c r="X22" s="49">
        <f>I184</f>
        <v>41250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0"/>
      <c r="B23" s="21"/>
      <c r="C23" s="21"/>
      <c r="D23" s="21"/>
      <c r="E23" s="2"/>
      <c r="F23" s="26">
        <v>1.1000000000000001</v>
      </c>
      <c r="G23" s="21">
        <v>1000000</v>
      </c>
      <c r="H23" s="21">
        <f>VLOOKUP(F23&amp;"|"&amp;G23,$O$3:$P$16,2,FALSE)</f>
        <v>8750</v>
      </c>
      <c r="I23" s="21">
        <f>VLOOKUP(F23&amp;"|"&amp;G23,$Q$3:$R$16,2,FALSE)</f>
        <v>41250</v>
      </c>
      <c r="J23" s="1"/>
      <c r="K23" s="1"/>
      <c r="L23" s="1"/>
      <c r="M23" s="1"/>
      <c r="N23" s="1"/>
      <c r="O23" s="49">
        <f>SUM(O21,R21)</f>
        <v>8443150</v>
      </c>
      <c r="P23" s="1"/>
      <c r="Q23" s="1"/>
      <c r="R23" s="1"/>
      <c r="S23" s="1"/>
      <c r="T23" s="49">
        <f>D193</f>
        <v>83750</v>
      </c>
      <c r="U23" s="49" t="str">
        <f>B186</f>
        <v>GENARAMJI</v>
      </c>
      <c r="V23" s="49" t="str">
        <f>C186</f>
        <v>J GUTTA</v>
      </c>
      <c r="W23" s="1"/>
      <c r="X23" s="49">
        <f>I193</f>
        <v>41400</v>
      </c>
      <c r="Y23" s="49" t="str">
        <f>G186</f>
        <v>MOHANJI 1</v>
      </c>
      <c r="Z23" s="49" t="str">
        <f>H186</f>
        <v>SNTR</v>
      </c>
    </row>
    <row r="24" spans="1:26" ht="20.25" thickTop="1" thickBot="1">
      <c r="A24" s="20"/>
      <c r="B24" s="21"/>
      <c r="C24" s="21"/>
      <c r="D24" s="21"/>
      <c r="E24" s="2"/>
      <c r="F24" s="20"/>
      <c r="G24" s="21"/>
      <c r="H24" s="21"/>
      <c r="I24" s="21"/>
      <c r="J24" s="1"/>
      <c r="K24" s="1"/>
      <c r="L24" s="1"/>
      <c r="M24" s="1"/>
      <c r="N24" s="1" t="s">
        <v>26</v>
      </c>
      <c r="O24" s="1"/>
      <c r="P24" s="1"/>
      <c r="Q24" s="1"/>
      <c r="R24" s="1"/>
      <c r="S24" s="1"/>
      <c r="T24" s="49">
        <f>D202</f>
        <v>87650</v>
      </c>
      <c r="U24" s="49" t="str">
        <f>B195</f>
        <v>HONARAMJI</v>
      </c>
      <c r="V24" s="49" t="str">
        <f>C195</f>
        <v>RAMARAM</v>
      </c>
      <c r="W24" s="1"/>
      <c r="X24" s="49">
        <f>I202</f>
        <v>41400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0"/>
      <c r="B25" s="21"/>
      <c r="C25" s="21"/>
      <c r="D25" s="21"/>
      <c r="E25" s="2"/>
      <c r="F25" s="20"/>
      <c r="G25" s="21"/>
      <c r="H25" s="21"/>
      <c r="I25" s="21"/>
      <c r="J25" s="1"/>
      <c r="K25" s="1"/>
      <c r="L25" s="1"/>
      <c r="M25" s="1" t="s">
        <v>182</v>
      </c>
      <c r="N25" s="1"/>
      <c r="O25" s="49"/>
      <c r="P25" s="1"/>
      <c r="Q25" s="1"/>
      <c r="R25" s="1"/>
      <c r="S25" s="1"/>
      <c r="T25" s="49">
        <f>D211</f>
        <v>82650</v>
      </c>
      <c r="U25" s="49" t="str">
        <f>B204</f>
        <v>KAILASHJI</v>
      </c>
      <c r="V25" s="49" t="str">
        <f>C204</f>
        <v>SHIVAMPET</v>
      </c>
      <c r="W25" s="1"/>
      <c r="X25" s="49">
        <f>I211</f>
        <v>89000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36" t="s">
        <v>16</v>
      </c>
      <c r="B26" s="37"/>
      <c r="C26" s="38"/>
      <c r="D26" s="8">
        <f>SUM(D21:D25)</f>
        <v>134650</v>
      </c>
      <c r="E26" s="2"/>
      <c r="F26" s="36" t="s">
        <v>27</v>
      </c>
      <c r="G26" s="37"/>
      <c r="H26" s="38"/>
      <c r="I26" s="21">
        <f>SUM(I21:I25)</f>
        <v>123900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9">
        <v>41400</v>
      </c>
      <c r="U26" s="79" t="s">
        <v>107</v>
      </c>
      <c r="V26" s="80" t="s">
        <v>186</v>
      </c>
      <c r="W26" s="1"/>
      <c r="X26" s="49">
        <f>I220</f>
        <v>46600</v>
      </c>
      <c r="Y26" s="49" t="str">
        <f>G213</f>
        <v>RAMESHJI</v>
      </c>
      <c r="Z26" s="49" t="str">
        <f>H213</f>
        <v>RR NAGAR</v>
      </c>
    </row>
    <row r="27" spans="1:26" ht="17.25" thickTop="1" thickBot="1">
      <c r="A27" s="31"/>
      <c r="B27" s="2"/>
      <c r="C27" s="2"/>
      <c r="D27" s="2"/>
      <c r="E27" s="2"/>
      <c r="F27" s="31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24250</v>
      </c>
      <c r="U27" s="49" t="str">
        <f>B222</f>
        <v>GENARAMJI</v>
      </c>
      <c r="V27" s="49" t="str">
        <f>C222</f>
        <v>RAMARAM</v>
      </c>
      <c r="W27" s="1"/>
      <c r="X27" s="49">
        <f>I229</f>
        <v>24250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0" t="s">
        <v>0</v>
      </c>
      <c r="B28" s="21" t="s">
        <v>187</v>
      </c>
      <c r="C28" s="21" t="s">
        <v>28</v>
      </c>
      <c r="D28" s="9">
        <v>46054</v>
      </c>
      <c r="E28" s="2"/>
      <c r="F28" s="20" t="s">
        <v>0</v>
      </c>
      <c r="G28" s="21" t="s">
        <v>29</v>
      </c>
      <c r="H28" s="21" t="s">
        <v>30</v>
      </c>
      <c r="I28" s="9">
        <v>46054</v>
      </c>
      <c r="J28" s="1"/>
      <c r="K28" s="1"/>
      <c r="L28" s="1"/>
      <c r="M28" s="1"/>
      <c r="N28" s="50"/>
      <c r="O28" s="1"/>
      <c r="P28" s="1"/>
      <c r="Q28" s="1"/>
      <c r="R28" s="1"/>
      <c r="S28" s="1"/>
      <c r="T28" s="49">
        <f>D238</f>
        <v>23200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93250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0" t="s">
        <v>6</v>
      </c>
      <c r="B29" s="21" t="s">
        <v>7</v>
      </c>
      <c r="C29" s="21" t="s">
        <v>8</v>
      </c>
      <c r="D29" s="21" t="s">
        <v>9</v>
      </c>
      <c r="E29" s="2"/>
      <c r="F29" s="20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43600</v>
      </c>
      <c r="U29" s="49" t="str">
        <f>B240</f>
        <v>RAMESHJI</v>
      </c>
      <c r="V29" s="49" t="str">
        <f>C240</f>
        <v>KONDAPUR</v>
      </c>
      <c r="W29" s="1"/>
      <c r="X29" s="49">
        <f>I247</f>
        <v>227950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31">
        <v>1.1000000000000001</v>
      </c>
      <c r="B30" s="21">
        <v>1000000</v>
      </c>
      <c r="C30" s="21">
        <f>VLOOKUP(A30&amp;"|"&amp;B30,$O$3:$P$16,2,FALSE)</f>
        <v>8750</v>
      </c>
      <c r="D30" s="21">
        <f>VLOOKUP(A30&amp;"|"&amp;B30,$Q$3:$R$16,2,FALSE)</f>
        <v>41250</v>
      </c>
      <c r="E30" s="2"/>
      <c r="F30" s="26">
        <v>10</v>
      </c>
      <c r="G30" s="21">
        <v>500000</v>
      </c>
      <c r="H30" s="21">
        <f>VLOOKUP(F30&amp;"|"&amp;G30,$O$3:$P$16,2,FALSE)</f>
        <v>1800</v>
      </c>
      <c r="I30" s="21">
        <f>VLOOKUP(F30&amp;"|"&amp;G30,$Q$3:$R$16,2,FALSE)</f>
        <v>23200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49">
        <f>D256</f>
        <v>85100</v>
      </c>
      <c r="U30" s="49" t="str">
        <f>B249</f>
        <v>OMJI</v>
      </c>
      <c r="V30" s="49" t="str">
        <f>C249</f>
        <v>IDPL</v>
      </c>
      <c r="W30" s="1"/>
      <c r="X30" s="49">
        <f>I256</f>
        <v>24250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31">
        <v>18</v>
      </c>
      <c r="B31" s="21">
        <v>500000</v>
      </c>
      <c r="C31" s="21">
        <f>VLOOKUP(A31&amp;"|"&amp;B31,$O$3:$P$16,2,FALSE)</f>
        <v>200</v>
      </c>
      <c r="D31" s="21">
        <f>VLOOKUP(A31&amp;"|"&amp;B31,$Q$3:$R$16,2,FALSE)</f>
        <v>24800</v>
      </c>
      <c r="E31" s="2"/>
      <c r="F31" s="20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87800</v>
      </c>
      <c r="U31" s="49" t="str">
        <f>B258</f>
        <v>HEMARAMJI</v>
      </c>
      <c r="V31" s="49" t="str">
        <f>C258</f>
        <v>YAMJAL</v>
      </c>
      <c r="W31" s="1"/>
      <c r="X31" s="49">
        <f>I265</f>
        <v>43600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31">
        <v>18</v>
      </c>
      <c r="B32" s="21">
        <v>500000</v>
      </c>
      <c r="C32" s="21">
        <f>VLOOKUP(A32&amp;"|"&amp;B32,$O$3:$P$16,2,FALSE)</f>
        <v>200</v>
      </c>
      <c r="D32" s="21">
        <f>VLOOKUP(A32&amp;"|"&amp;B32,$Q$3:$R$16,2,FALSE)</f>
        <v>24800</v>
      </c>
      <c r="E32" s="2"/>
      <c r="F32" s="20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23200</v>
      </c>
      <c r="U32" s="49" t="str">
        <f>B267</f>
        <v>DURGARAMJI</v>
      </c>
      <c r="V32" s="49" t="str">
        <f>C267</f>
        <v>RAMARAM</v>
      </c>
      <c r="W32" s="1"/>
      <c r="X32" s="49">
        <f>I274</f>
        <v>23200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31"/>
      <c r="B33" s="21"/>
      <c r="C33" s="21"/>
      <c r="D33" s="21"/>
      <c r="E33" s="2"/>
      <c r="F33" s="20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88900</v>
      </c>
      <c r="U33" s="49" t="str">
        <f>B276</f>
        <v>DHANARAMJI</v>
      </c>
      <c r="V33" s="49" t="str">
        <f>C276</f>
        <v>KAMAN</v>
      </c>
      <c r="W33" s="1"/>
      <c r="X33" s="49">
        <f>I284</f>
        <v>188450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0"/>
      <c r="B34" s="21"/>
      <c r="C34" s="21"/>
      <c r="D34" s="21"/>
      <c r="E34" s="2"/>
      <c r="F34" s="20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116450</v>
      </c>
      <c r="U34" s="49" t="str">
        <f>B286</f>
        <v>KHUSHVIRJI</v>
      </c>
      <c r="V34" s="49" t="str">
        <f>C286</f>
        <v>MEDCHAL</v>
      </c>
      <c r="W34" s="1"/>
      <c r="X34" s="49">
        <f>I293</f>
        <v>120250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36" t="s">
        <v>16</v>
      </c>
      <c r="B35" s="37"/>
      <c r="C35" s="38"/>
      <c r="D35" s="8">
        <f>SUM(D30:D34)</f>
        <v>90850</v>
      </c>
      <c r="E35" s="2"/>
      <c r="F35" s="36" t="s">
        <v>16</v>
      </c>
      <c r="G35" s="37"/>
      <c r="H35" s="38"/>
      <c r="I35" s="21">
        <f>SUM(I30:I34)</f>
        <v>23200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159450</v>
      </c>
      <c r="U35" s="49" t="str">
        <f>B295</f>
        <v>MUNJI</v>
      </c>
      <c r="V35" s="49" t="str">
        <f>C295</f>
        <v>RAMARAM</v>
      </c>
      <c r="W35" s="1"/>
      <c r="X35" s="49">
        <f>I302</f>
        <v>139650</v>
      </c>
      <c r="Y35" s="49" t="str">
        <f>G295</f>
        <v>JAIRUPRAMJI</v>
      </c>
      <c r="Z35" s="49" t="str">
        <f>H295</f>
        <v>RMTPUR</v>
      </c>
    </row>
    <row r="36" spans="1:26" ht="17.25" thickTop="1" thickBot="1">
      <c r="A36" s="31"/>
      <c r="B36" s="2"/>
      <c r="C36" s="2"/>
      <c r="D36" s="2"/>
      <c r="E36" s="2"/>
      <c r="F36" s="31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88900</v>
      </c>
      <c r="U36" s="49" t="str">
        <f>B304</f>
        <v>RAMESHJI</v>
      </c>
      <c r="V36" s="49" t="str">
        <f>C304</f>
        <v>ALWN COL</v>
      </c>
      <c r="W36" s="1"/>
      <c r="X36" s="49">
        <f>I311</f>
        <v>46400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0" t="s">
        <v>0</v>
      </c>
      <c r="B37" s="21" t="s">
        <v>31</v>
      </c>
      <c r="C37" s="21" t="s">
        <v>32</v>
      </c>
      <c r="D37" s="9">
        <v>46054</v>
      </c>
      <c r="E37" s="2"/>
      <c r="F37" s="20" t="s">
        <v>0</v>
      </c>
      <c r="G37" s="21" t="s">
        <v>33</v>
      </c>
      <c r="H37" s="21" t="s">
        <v>34</v>
      </c>
      <c r="I37" s="9">
        <v>46054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47450</v>
      </c>
      <c r="U37" s="49" t="str">
        <f>B313</f>
        <v>OM</v>
      </c>
      <c r="V37" s="49" t="str">
        <f>C313</f>
        <v>J GUTTA</v>
      </c>
      <c r="W37" s="1"/>
      <c r="X37" s="49">
        <f>I320</f>
        <v>20700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0" t="s">
        <v>6</v>
      </c>
      <c r="B38" s="21" t="s">
        <v>7</v>
      </c>
      <c r="C38" s="21" t="s">
        <v>8</v>
      </c>
      <c r="D38" s="21" t="s">
        <v>9</v>
      </c>
      <c r="E38" s="2"/>
      <c r="F38" s="20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21800</v>
      </c>
      <c r="U38" s="49" t="str">
        <f>B322</f>
        <v>BABULALJI</v>
      </c>
      <c r="V38" s="49" t="str">
        <f>C322</f>
        <v>CHILKA NGR</v>
      </c>
      <c r="W38" s="1"/>
      <c r="X38" s="49">
        <f>I329</f>
        <v>24250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31">
        <v>15</v>
      </c>
      <c r="B39" s="21">
        <v>250000</v>
      </c>
      <c r="C39" s="21">
        <f>VLOOKUP(A39&amp;"|"&amp;B39,$O$3:$P$16,2,FALSE)</f>
        <v>350</v>
      </c>
      <c r="D39" s="21">
        <f>VLOOKUP(A39&amp;"|"&amp;B39,$Q$3:$R$16,2,FALSE)</f>
        <v>12150</v>
      </c>
      <c r="E39" s="2"/>
      <c r="F39" s="26">
        <v>1.1000000000000001</v>
      </c>
      <c r="G39" s="21">
        <v>1000000</v>
      </c>
      <c r="H39" s="21">
        <f>VLOOKUP(F39&amp;"|"&amp;G39,$O$3:$P$16,2,FALSE)</f>
        <v>8750</v>
      </c>
      <c r="I39" s="21">
        <f>VLOOKUP(F39&amp;"|"&amp;G39,$Q$3:$R$16,2,FALSE)</f>
        <v>41250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49050</v>
      </c>
      <c r="U39" s="49" t="str">
        <f>B331</f>
        <v>MUKESHJI</v>
      </c>
      <c r="V39" s="49" t="str">
        <f>C331</f>
        <v>RAMARAM</v>
      </c>
      <c r="W39" s="1"/>
      <c r="X39" s="49">
        <f>I338</f>
        <v>24250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31">
        <v>1</v>
      </c>
      <c r="B40" s="21">
        <v>250000</v>
      </c>
      <c r="C40" s="21">
        <f>VLOOKUP(A40&amp;"|"&amp;B40,$O$3:$P$18,2,FALSE)</f>
        <v>2150</v>
      </c>
      <c r="D40" s="21">
        <f>VLOOKUP(A40&amp;"|"&amp;B40,$Q$3:$R$18,2,FALSE)</f>
        <v>10350</v>
      </c>
      <c r="E40" s="2"/>
      <c r="F40" s="26">
        <v>10</v>
      </c>
      <c r="G40" s="21">
        <v>2000000</v>
      </c>
      <c r="H40" s="21">
        <f>VLOOKUP(F40&amp;"|"&amp;G40,$O$3:$P$16,2,FALSE)</f>
        <v>6750</v>
      </c>
      <c r="I40" s="21">
        <f>VLOOKUP(F40&amp;"|"&amp;G40,$Q$3:$R$16,2,FALSE)</f>
        <v>93250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24800</v>
      </c>
      <c r="U40" s="49" t="str">
        <f>B340</f>
        <v>MISRILALJI</v>
      </c>
      <c r="V40" s="49" t="str">
        <f>C340</f>
        <v>MEDCHAL</v>
      </c>
      <c r="W40" s="1"/>
      <c r="X40" s="49">
        <f>I347</f>
        <v>21800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0"/>
      <c r="B41" s="21"/>
      <c r="C41" s="21"/>
      <c r="D41" s="21"/>
      <c r="E41" s="2"/>
      <c r="F41" s="20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20700</v>
      </c>
      <c r="U41" s="49" t="str">
        <f>B349</f>
        <v>GOVIND</v>
      </c>
      <c r="V41" s="49" t="str">
        <f>C349</f>
        <v>PPR NGR</v>
      </c>
      <c r="W41" s="1"/>
      <c r="X41" s="49">
        <f>I356</f>
        <v>21800</v>
      </c>
      <c r="Y41" s="49" t="str">
        <f>G349</f>
        <v>NEMJI</v>
      </c>
      <c r="Z41" s="49" t="str">
        <f>H349</f>
        <v>SUCHITRA</v>
      </c>
    </row>
    <row r="42" spans="1:26" ht="20.25" thickTop="1" thickBot="1">
      <c r="A42" s="20"/>
      <c r="B42" s="21"/>
      <c r="C42" s="21"/>
      <c r="D42" s="21"/>
      <c r="E42" s="2"/>
      <c r="F42" s="20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65800</v>
      </c>
      <c r="U42" s="49" t="str">
        <f>B358</f>
        <v>SOHANLALJI</v>
      </c>
      <c r="V42" s="49" t="str">
        <f>C358</f>
        <v>RR NGR</v>
      </c>
      <c r="W42" s="1"/>
      <c r="X42" s="49">
        <f>I365</f>
        <v>24800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0"/>
      <c r="B43" s="21"/>
      <c r="C43" s="21"/>
      <c r="D43" s="21"/>
      <c r="E43" s="2"/>
      <c r="F43" s="20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68200</v>
      </c>
      <c r="U43" s="49" t="str">
        <f>B367</f>
        <v>KISHANJI</v>
      </c>
      <c r="V43" s="49" t="str">
        <f>C367</f>
        <v>KAMAN</v>
      </c>
      <c r="W43" s="1"/>
      <c r="X43" s="49">
        <f>I374</f>
        <v>24800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36" t="s">
        <v>16</v>
      </c>
      <c r="B44" s="37"/>
      <c r="C44" s="38"/>
      <c r="D44" s="8">
        <f>SUM(D39:D43)</f>
        <v>22500</v>
      </c>
      <c r="E44" s="2"/>
      <c r="F44" s="36" t="s">
        <v>16</v>
      </c>
      <c r="G44" s="37"/>
      <c r="H44" s="38"/>
      <c r="I44" s="21">
        <f>SUM(I39:I43)</f>
        <v>134500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23200</v>
      </c>
      <c r="U44" s="49" t="str">
        <f>B376</f>
        <v>RAMESHJI</v>
      </c>
      <c r="V44" s="49" t="str">
        <f>C376</f>
        <v>SHAPUR</v>
      </c>
      <c r="W44" s="1"/>
      <c r="X44" s="49">
        <f>I383</f>
        <v>23200</v>
      </c>
      <c r="Y44" s="49" t="str">
        <f>G376</f>
        <v>OMJI</v>
      </c>
      <c r="Z44" s="49" t="str">
        <f>H376</f>
        <v>SEC</v>
      </c>
    </row>
    <row r="45" spans="1:26" ht="17.25" thickTop="1" thickBot="1">
      <c r="A45" s="31"/>
      <c r="B45" s="2"/>
      <c r="C45" s="2"/>
      <c r="D45" s="2"/>
      <c r="E45" s="2"/>
      <c r="F45" s="31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82650</v>
      </c>
      <c r="U45" s="49" t="str">
        <f>B385</f>
        <v>MISRILALJI</v>
      </c>
      <c r="V45" s="49" t="str">
        <f>C385</f>
        <v>SEC</v>
      </c>
      <c r="W45" s="1"/>
      <c r="X45" s="49">
        <f>I392</f>
        <v>24250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0" t="s">
        <v>0</v>
      </c>
      <c r="B46" s="21" t="s">
        <v>35</v>
      </c>
      <c r="C46" s="21" t="s">
        <v>36</v>
      </c>
      <c r="D46" s="9">
        <v>46054</v>
      </c>
      <c r="E46" s="2"/>
      <c r="F46" s="20" t="s">
        <v>0</v>
      </c>
      <c r="G46" s="21" t="s">
        <v>37</v>
      </c>
      <c r="H46" s="21" t="s">
        <v>38</v>
      </c>
      <c r="I46" s="9">
        <v>46054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41400</v>
      </c>
      <c r="U46" s="49" t="str">
        <f>B394</f>
        <v>BAGDARAMJI</v>
      </c>
      <c r="V46" s="49" t="str">
        <f>C394</f>
        <v>GANDHINGR</v>
      </c>
      <c r="W46" s="1"/>
      <c r="X46" s="49">
        <f>I401</f>
        <v>46400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0" t="s">
        <v>6</v>
      </c>
      <c r="B47" s="21" t="s">
        <v>7</v>
      </c>
      <c r="C47" s="21" t="s">
        <v>8</v>
      </c>
      <c r="D47" s="21" t="s">
        <v>9</v>
      </c>
      <c r="E47" s="2"/>
      <c r="F47" s="20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21800</v>
      </c>
      <c r="U47" s="1" t="str">
        <f>B403</f>
        <v>NARAYANJI</v>
      </c>
      <c r="V47" s="1" t="str">
        <f>C403</f>
        <v>KOTLAPUR</v>
      </c>
      <c r="W47" s="1"/>
      <c r="X47" s="49">
        <f>I410</f>
        <v>42500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31">
        <v>1</v>
      </c>
      <c r="B48" s="21">
        <v>500000</v>
      </c>
      <c r="C48" s="21">
        <f>VLOOKUP(A48&amp;"|"&amp;B48,$O$3:$P$16,2,FALSE)</f>
        <v>4300</v>
      </c>
      <c r="D48" s="21">
        <f>VLOOKUP(A48&amp;"|"&amp;B48,$Q$3:$R$16,2,FALSE)</f>
        <v>20700</v>
      </c>
      <c r="E48" s="2"/>
      <c r="F48" s="26">
        <v>18</v>
      </c>
      <c r="G48" s="21">
        <v>500000</v>
      </c>
      <c r="H48" s="21">
        <f>VLOOKUP(F48&amp;"|"&amp;G48,$O$3:$P$16,2,FALSE)</f>
        <v>200</v>
      </c>
      <c r="I48" s="21">
        <f>VLOOKUP(F48&amp;"|"&amp;G48,$Q$3:$R$16,2,FALSE)</f>
        <v>24800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23200</v>
      </c>
      <c r="U48" s="1" t="str">
        <f>B412</f>
        <v>HEMANTJI</v>
      </c>
      <c r="V48" s="1" t="str">
        <f>C412</f>
        <v>SURARAM</v>
      </c>
      <c r="W48" s="1"/>
      <c r="X48" s="49">
        <f>I419</f>
        <v>42500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0"/>
      <c r="B49" s="21"/>
      <c r="C49" s="21"/>
      <c r="D49" s="21"/>
      <c r="E49" s="2"/>
      <c r="F49" s="31">
        <v>5</v>
      </c>
      <c r="G49" s="21">
        <v>500000</v>
      </c>
      <c r="H49" s="21">
        <f>VLOOKUP(F49&amp;"|"&amp;G49,$O$3:$P$16,2,FALSE)</f>
        <v>3200</v>
      </c>
      <c r="I49" s="21">
        <f>VLOOKUP(F49&amp;"|"&amp;G49,$Q$3:$R$16,2,FALSE)</f>
        <v>21800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46650</v>
      </c>
      <c r="U49" s="1" t="str">
        <f>B421</f>
        <v>RAJUJI</v>
      </c>
      <c r="V49" s="1" t="str">
        <f>C421</f>
        <v>SHAPUR</v>
      </c>
      <c r="W49" s="1"/>
      <c r="X49" s="49">
        <f>I428</f>
        <v>93250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0"/>
      <c r="B50" s="21"/>
      <c r="C50" s="21"/>
      <c r="D50" s="21"/>
      <c r="E50" s="2"/>
      <c r="F50" s="20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46400</v>
      </c>
      <c r="U50" s="1" t="str">
        <f>B430</f>
        <v>GOUTAMJI</v>
      </c>
      <c r="V50" s="1" t="str">
        <f>C430</f>
        <v>RAMARAM</v>
      </c>
      <c r="W50" s="1"/>
      <c r="X50" s="49">
        <f>I437</f>
        <v>46650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0"/>
      <c r="B51" s="21"/>
      <c r="C51" s="21"/>
      <c r="D51" s="21"/>
      <c r="E51" s="2"/>
      <c r="F51" s="20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21800</v>
      </c>
      <c r="U51" s="1" t="str">
        <f>B439</f>
        <v>BHERARAMJI</v>
      </c>
      <c r="V51" s="1" t="str">
        <f>C439</f>
        <v>SURARAM</v>
      </c>
      <c r="W51" s="1"/>
      <c r="X51" s="49">
        <f>I446</f>
        <v>93250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0"/>
      <c r="B52" s="21"/>
      <c r="C52" s="21"/>
      <c r="D52" s="21"/>
      <c r="E52" s="2"/>
      <c r="F52" s="20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42500</v>
      </c>
      <c r="U52" s="1" t="str">
        <f>B448</f>
        <v>MISRILALJI</v>
      </c>
      <c r="V52" s="1" t="str">
        <f>C448</f>
        <v>GUTTA</v>
      </c>
      <c r="W52" s="1"/>
      <c r="X52" s="49">
        <f>I455</f>
        <v>42600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36" t="s">
        <v>16</v>
      </c>
      <c r="B53" s="37"/>
      <c r="C53" s="38"/>
      <c r="D53" s="8">
        <f>SUM(D48:D52)</f>
        <v>20700</v>
      </c>
      <c r="E53" s="2"/>
      <c r="F53" s="36" t="s">
        <v>16</v>
      </c>
      <c r="G53" s="37"/>
      <c r="H53" s="38"/>
      <c r="I53" s="21">
        <f>SUM(I48:I52)</f>
        <v>46600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87800</v>
      </c>
      <c r="U53" s="1" t="str">
        <f>B457</f>
        <v>RAMESHJI</v>
      </c>
      <c r="V53" s="1" t="str">
        <f>C457</f>
        <v>BOOK GUTA</v>
      </c>
      <c r="W53" s="1"/>
      <c r="X53" s="49">
        <f>I464</f>
        <v>46400</v>
      </c>
      <c r="Y53" s="1" t="str">
        <f>G457</f>
        <v>HEERJI</v>
      </c>
      <c r="Z53" s="1" t="str">
        <f>H457</f>
        <v>HANUMAN NG</v>
      </c>
    </row>
    <row r="54" spans="1:26" ht="17.25" thickTop="1" thickBot="1">
      <c r="A54" s="31"/>
      <c r="B54" s="2"/>
      <c r="C54" s="2"/>
      <c r="D54" s="2"/>
      <c r="E54" s="2"/>
      <c r="F54" s="31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42500</v>
      </c>
      <c r="U54" s="1" t="str">
        <f>B466</f>
        <v>VALARAMJI</v>
      </c>
      <c r="V54" s="1" t="str">
        <f>C466</f>
        <v>CHINTAL</v>
      </c>
      <c r="W54" s="1"/>
      <c r="X54" s="49">
        <f>I473</f>
        <v>41400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0" t="s">
        <v>0</v>
      </c>
      <c r="B55" s="21" t="s">
        <v>1</v>
      </c>
      <c r="C55" s="21" t="s">
        <v>39</v>
      </c>
      <c r="D55" s="9">
        <v>46054</v>
      </c>
      <c r="E55" s="2"/>
      <c r="F55" s="20" t="s">
        <v>0</v>
      </c>
      <c r="G55" s="21" t="s">
        <v>40</v>
      </c>
      <c r="H55" s="21" t="s">
        <v>41</v>
      </c>
      <c r="I55" s="9">
        <v>46054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20700</v>
      </c>
      <c r="U55" s="1" t="str">
        <f>B475</f>
        <v>NARAYANLALJI</v>
      </c>
      <c r="V55" s="1" t="str">
        <f>C475</f>
        <v>SURARAM</v>
      </c>
      <c r="W55" s="49"/>
      <c r="X55" s="49">
        <f>I482</f>
        <v>21800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0" t="s">
        <v>6</v>
      </c>
      <c r="B56" s="21" t="s">
        <v>7</v>
      </c>
      <c r="C56" s="21" t="s">
        <v>8</v>
      </c>
      <c r="D56" s="21" t="s">
        <v>9</v>
      </c>
      <c r="E56" s="2"/>
      <c r="F56" s="20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49600</v>
      </c>
      <c r="U56" s="1" t="s">
        <v>42</v>
      </c>
      <c r="V56" s="1" t="s">
        <v>43</v>
      </c>
      <c r="W56" s="1"/>
      <c r="X56" s="49">
        <f>I491</f>
        <v>23200</v>
      </c>
      <c r="Y56" s="1" t="s">
        <v>44</v>
      </c>
      <c r="Z56" s="1" t="s">
        <v>43</v>
      </c>
    </row>
    <row r="57" spans="1:26" ht="20.25" thickTop="1" thickBot="1">
      <c r="A57" s="31">
        <v>1.1000000000000001</v>
      </c>
      <c r="B57" s="21">
        <v>1000000</v>
      </c>
      <c r="C57" s="21">
        <f>VLOOKUP(A57&amp;"|"&amp;B57,$O$3:$P$16,2,FALSE)</f>
        <v>8750</v>
      </c>
      <c r="D57" s="21">
        <f>VLOOKUP(A57&amp;"|"&amp;B57,$Q$3:$R$16,2,FALSE)</f>
        <v>41250</v>
      </c>
      <c r="E57" s="2"/>
      <c r="F57" s="26">
        <v>5.0999999999999996</v>
      </c>
      <c r="G57" s="21">
        <v>1000000</v>
      </c>
      <c r="H57" s="21">
        <f>VLOOKUP(F57&amp;"|"&amp;G57,$O$3:$P$19,2,FALSE)</f>
        <v>7400</v>
      </c>
      <c r="I57" s="21">
        <f>VLOOKUP(F57&amp;"|"&amp;G57,$Q$3:$R$19,2,FALSE)</f>
        <v>42600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24250</v>
      </c>
      <c r="U57" s="1" t="str">
        <f>B493</f>
        <v>CHANDARAMJI</v>
      </c>
      <c r="V57" s="1" t="str">
        <f>C493</f>
        <v>SURARAM</v>
      </c>
      <c r="W57" s="1"/>
      <c r="X57" s="49">
        <f>I500</f>
        <v>114200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31">
        <v>5</v>
      </c>
      <c r="B58" s="21">
        <v>1000000</v>
      </c>
      <c r="C58" s="21">
        <f>VLOOKUP(A58&amp;"|"&amp;B58,$O$3:$P$16,2,FALSE)</f>
        <v>7500</v>
      </c>
      <c r="D58" s="21">
        <f>VLOOKUP(A58&amp;"|"&amp;B58,$Q$3:$R$16,2,FALSE)</f>
        <v>42500</v>
      </c>
      <c r="E58" s="2"/>
      <c r="F58" s="26">
        <v>10</v>
      </c>
      <c r="G58" s="21">
        <v>500000</v>
      </c>
      <c r="H58" s="21">
        <f>VLOOKUP(F58&amp;"|"&amp;G58,$O$3:$P$19,2,FALSE)</f>
        <v>1800</v>
      </c>
      <c r="I58" s="21">
        <f>VLOOKUP(F58&amp;"|"&amp;G58,$Q$3:$R$19,2,FALSE)</f>
        <v>23200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93250</v>
      </c>
      <c r="U58" s="49" t="str">
        <f>B502</f>
        <v>CHAMPALALJI</v>
      </c>
      <c r="V58" s="1" t="str">
        <f>C502</f>
        <v>RNGRD</v>
      </c>
      <c r="W58" s="1"/>
      <c r="X58" s="49">
        <f>I509</f>
        <v>23200</v>
      </c>
      <c r="Y58" s="1" t="str">
        <f>G502</f>
        <v>VENKTESHVAR</v>
      </c>
      <c r="Z58" s="1" t="str">
        <f>H502</f>
        <v>AB CO</v>
      </c>
    </row>
    <row r="59" spans="1:26" ht="20.25" thickTop="1" thickBot="1">
      <c r="A59" s="20"/>
      <c r="B59" s="21"/>
      <c r="C59" s="21"/>
      <c r="D59" s="21"/>
      <c r="E59" s="2"/>
      <c r="F59" s="20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23200</v>
      </c>
      <c r="U59" s="1" t="str">
        <f>B511</f>
        <v>KEWALJI</v>
      </c>
      <c r="V59" s="1" t="str">
        <f>C511</f>
        <v>KAMMAN</v>
      </c>
      <c r="W59" s="49"/>
      <c r="X59" s="49">
        <f>I518</f>
        <v>23200</v>
      </c>
      <c r="Y59" s="1" t="str">
        <f>G511</f>
        <v>PRAKASHJI</v>
      </c>
      <c r="Z59" s="1" t="str">
        <f>H511</f>
        <v>AMEENPUR</v>
      </c>
    </row>
    <row r="60" spans="1:26" ht="20.25" thickTop="1" thickBot="1">
      <c r="A60" s="20"/>
      <c r="B60" s="21"/>
      <c r="C60" s="21"/>
      <c r="D60" s="21"/>
      <c r="E60" s="2"/>
      <c r="F60" s="20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20700</v>
      </c>
      <c r="U60" s="1" t="str">
        <f>B520</f>
        <v>NIRMALJI</v>
      </c>
      <c r="V60" s="1" t="str">
        <f>C520</f>
        <v>KKPALLY</v>
      </c>
      <c r="W60" s="1"/>
      <c r="X60" s="49">
        <f>I527</f>
        <v>92800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0"/>
      <c r="B61" s="21"/>
      <c r="C61" s="21"/>
      <c r="D61" s="21"/>
      <c r="E61" s="2"/>
      <c r="F61" s="20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85100</v>
      </c>
      <c r="U61" s="1" t="str">
        <f>B529</f>
        <v>NARAYANJI</v>
      </c>
      <c r="V61" s="1" t="str">
        <f>C529</f>
        <v>RR ROAD</v>
      </c>
      <c r="W61" s="1"/>
      <c r="X61" s="49">
        <f>I536</f>
        <v>93250</v>
      </c>
      <c r="Y61" s="1" t="str">
        <f>G529</f>
        <v>PUNJI</v>
      </c>
      <c r="Z61" s="1" t="str">
        <f>H529</f>
        <v>R ROAD</v>
      </c>
    </row>
    <row r="62" spans="1:26" ht="20.25" thickTop="1" thickBot="1">
      <c r="A62" s="36" t="s">
        <v>16</v>
      </c>
      <c r="B62" s="37"/>
      <c r="C62" s="38"/>
      <c r="D62" s="8">
        <f>SUM(D57:D61)</f>
        <v>83750</v>
      </c>
      <c r="E62" s="2"/>
      <c r="F62" s="36" t="s">
        <v>16</v>
      </c>
      <c r="G62" s="37"/>
      <c r="H62" s="38"/>
      <c r="I62" s="21">
        <f>SUM(I57:I61)</f>
        <v>65800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49">
        <f>D545</f>
        <v>42600</v>
      </c>
      <c r="U62" s="49" t="str">
        <f>B538</f>
        <v xml:space="preserve">GOTAMJI </v>
      </c>
      <c r="V62" s="1" t="str">
        <f>C538</f>
        <v>RR ROAD</v>
      </c>
      <c r="W62" s="49"/>
      <c r="X62" s="49">
        <f>I545</f>
        <v>85100</v>
      </c>
      <c r="Y62" s="1" t="str">
        <f>G538</f>
        <v>SOHANJI</v>
      </c>
      <c r="Z62" s="1" t="str">
        <f>H538</f>
        <v>RR ROAD</v>
      </c>
    </row>
    <row r="63" spans="1:26" ht="20.25" thickTop="1" thickBot="1">
      <c r="A63" s="43"/>
      <c r="B63" s="10"/>
      <c r="C63" s="10"/>
      <c r="D63" s="10"/>
      <c r="E63" s="2"/>
      <c r="F63" s="43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49">
        <f>D554</f>
        <v>42600</v>
      </c>
      <c r="U63" s="1" t="str">
        <f>B547</f>
        <v>TEJAJAMJI</v>
      </c>
      <c r="V63" s="1" t="str">
        <f>C547</f>
        <v>YELMBNDA</v>
      </c>
      <c r="W63" s="1"/>
      <c r="X63" s="49">
        <f>I554</f>
        <v>42600</v>
      </c>
      <c r="Y63" s="1" t="str">
        <f>G547</f>
        <v>MOHANJI</v>
      </c>
      <c r="Z63" s="1" t="str">
        <f>H547</f>
        <v>CHINTAL</v>
      </c>
    </row>
    <row r="64" spans="1:26" ht="20.25" thickTop="1" thickBot="1">
      <c r="A64" s="11" t="s">
        <v>3</v>
      </c>
      <c r="B64" s="12" t="s">
        <v>45</v>
      </c>
      <c r="C64" s="12" t="s">
        <v>46</v>
      </c>
      <c r="D64" s="9">
        <v>46054</v>
      </c>
      <c r="E64" s="2"/>
      <c r="F64" s="20" t="s">
        <v>0</v>
      </c>
      <c r="G64" s="21" t="s">
        <v>47</v>
      </c>
      <c r="H64" s="21" t="s">
        <v>48</v>
      </c>
      <c r="I64" s="9">
        <v>46054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49">
        <f>D563</f>
        <v>42600</v>
      </c>
      <c r="U64" s="1" t="str">
        <f>B556</f>
        <v>BABULALJI</v>
      </c>
      <c r="V64" s="1" t="str">
        <f>C556</f>
        <v>RAMARAM</v>
      </c>
      <c r="W64" s="1"/>
      <c r="X64" s="49">
        <f>I563</f>
        <v>21800</v>
      </c>
      <c r="Y64" s="1" t="str">
        <f>G556</f>
        <v>MOHANJI</v>
      </c>
      <c r="Z64" s="1" t="str">
        <f>H556</f>
        <v>AMINPUR</v>
      </c>
    </row>
    <row r="65" spans="1:26" ht="20.25" thickTop="1" thickBot="1">
      <c r="A65" s="20" t="s">
        <v>6</v>
      </c>
      <c r="B65" s="21" t="s">
        <v>7</v>
      </c>
      <c r="C65" s="21" t="s">
        <v>8</v>
      </c>
      <c r="D65" s="21" t="s">
        <v>9</v>
      </c>
      <c r="E65" s="2"/>
      <c r="F65" s="20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49">
        <f>D572</f>
        <v>21800</v>
      </c>
      <c r="U65" s="1" t="str">
        <f>B565</f>
        <v>PUNAMJI</v>
      </c>
      <c r="V65" s="1" t="str">
        <f>C565</f>
        <v>BADURPLY</v>
      </c>
      <c r="W65" s="1"/>
      <c r="X65" s="49">
        <v>20700</v>
      </c>
      <c r="Y65" s="1" t="s">
        <v>200</v>
      </c>
      <c r="Z65" s="1" t="s">
        <v>101</v>
      </c>
    </row>
    <row r="66" spans="1:26" ht="20.25" thickTop="1" thickBot="1">
      <c r="A66" s="31">
        <v>10</v>
      </c>
      <c r="B66" s="21">
        <v>2000000</v>
      </c>
      <c r="C66" s="21">
        <f>VLOOKUP(A66&amp;"|"&amp;B66,$O$3:$P$17,2,FALSE)</f>
        <v>6750</v>
      </c>
      <c r="D66" s="21">
        <f>VLOOKUP(A66&amp;"|"&amp;B66,$Q$3:$R$17,2,FALSE)</f>
        <v>93250</v>
      </c>
      <c r="E66" s="2"/>
      <c r="F66" s="26">
        <v>1</v>
      </c>
      <c r="G66" s="21">
        <v>500000</v>
      </c>
      <c r="H66" s="21">
        <f>VLOOKUP(F66&amp;"|"&amp;G66,$O$3:$P$16,2,FALSE)</f>
        <v>4300</v>
      </c>
      <c r="I66" s="21">
        <f>VLOOKUP(F66&amp;"|"&amp;G66,$Q$3:$R$16,2,FALSE)</f>
        <v>20700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49">
        <v>20700</v>
      </c>
      <c r="U66" s="1" t="s">
        <v>201</v>
      </c>
      <c r="V66" s="1" t="s">
        <v>101</v>
      </c>
      <c r="W66" s="1"/>
      <c r="X66" s="49"/>
      <c r="Y66" s="1"/>
      <c r="Z66" s="1"/>
    </row>
    <row r="67" spans="1:26" ht="20.25" thickTop="1" thickBot="1">
      <c r="A67" s="31"/>
      <c r="B67" s="21"/>
      <c r="C67" s="21"/>
      <c r="D67" s="21"/>
      <c r="E67" s="2"/>
      <c r="F67" s="26">
        <v>10</v>
      </c>
      <c r="G67" s="21">
        <v>500000</v>
      </c>
      <c r="H67" s="21">
        <f>VLOOKUP(F67&amp;"|"&amp;G67,$O$3:$P$16,2,FALSE)</f>
        <v>1800</v>
      </c>
      <c r="I67" s="21">
        <f>VLOOKUP(F67&amp;"|"&amp;G67,$Q$3:$R$16,2,FALSE)</f>
        <v>23200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49"/>
      <c r="U67" s="1"/>
      <c r="V67" s="1"/>
      <c r="W67" s="1"/>
      <c r="X67" s="1"/>
      <c r="Y67" s="1"/>
      <c r="Z67" s="1"/>
    </row>
    <row r="68" spans="1:26" ht="20.25" thickTop="1" thickBot="1">
      <c r="A68" s="20"/>
      <c r="B68" s="21"/>
      <c r="C68" s="21"/>
      <c r="D68" s="21"/>
      <c r="E68" s="2"/>
      <c r="F68" s="20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0"/>
      <c r="B69" s="21"/>
      <c r="C69" s="21"/>
      <c r="D69" s="21"/>
      <c r="E69" s="2"/>
      <c r="F69" s="20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49">
        <f>SUM(T3:T67)</f>
        <v>4303500</v>
      </c>
      <c r="U69" s="1"/>
      <c r="V69" s="1"/>
      <c r="W69" s="1"/>
      <c r="X69" s="49">
        <f>SUM(X3:X66)</f>
        <v>4139650</v>
      </c>
      <c r="Y69" s="1"/>
      <c r="Z69" s="1"/>
    </row>
    <row r="70" spans="1:26" ht="20.25" thickTop="1" thickBot="1">
      <c r="A70" s="20"/>
      <c r="B70" s="21"/>
      <c r="C70" s="21"/>
      <c r="D70" s="21"/>
      <c r="E70" s="2"/>
      <c r="F70" s="51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36" t="s">
        <v>16</v>
      </c>
      <c r="B71" s="53"/>
      <c r="C71" s="54"/>
      <c r="D71" s="21">
        <f>SUM(D66:D70)</f>
        <v>93250</v>
      </c>
      <c r="E71" s="2"/>
      <c r="F71" s="36" t="s">
        <v>16</v>
      </c>
      <c r="G71" s="37"/>
      <c r="H71" s="38"/>
      <c r="I71" s="21">
        <f>SUM(I66:I70)</f>
        <v>43900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25</v>
      </c>
      <c r="W71" s="78">
        <f>SUM(T69,X69)</f>
        <v>8443150</v>
      </c>
      <c r="X71" s="49">
        <f>SUM(T69,X69)</f>
        <v>8443150</v>
      </c>
      <c r="Y71" s="1"/>
      <c r="Z71" s="1"/>
    </row>
    <row r="72" spans="1:26" ht="20.25" thickTop="1" thickBot="1">
      <c r="A72" s="43"/>
      <c r="B72" s="10"/>
      <c r="C72" s="10"/>
      <c r="D72" s="10"/>
      <c r="E72" s="2"/>
      <c r="F72" s="43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0" t="s">
        <v>0</v>
      </c>
      <c r="B73" s="21" t="s">
        <v>50</v>
      </c>
      <c r="C73" s="21" t="s">
        <v>51</v>
      </c>
      <c r="D73" s="9">
        <v>46054</v>
      </c>
      <c r="E73" s="2"/>
      <c r="F73" s="20" t="s">
        <v>0</v>
      </c>
      <c r="G73" s="21" t="s">
        <v>50</v>
      </c>
      <c r="H73" s="21" t="s">
        <v>52</v>
      </c>
      <c r="I73" s="9">
        <v>46054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0" t="s">
        <v>6</v>
      </c>
      <c r="B74" s="21" t="s">
        <v>7</v>
      </c>
      <c r="C74" s="21" t="s">
        <v>8</v>
      </c>
      <c r="D74" s="21" t="s">
        <v>9</v>
      </c>
      <c r="E74" s="2"/>
      <c r="F74" s="20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31">
        <v>1</v>
      </c>
      <c r="B75" s="21">
        <v>1000000</v>
      </c>
      <c r="C75" s="21">
        <f t="shared" ref="C75:C81" si="4">VLOOKUP(A75&amp;"|"&amp;B75,$O$3:$P$16,2,FALSE)</f>
        <v>8600</v>
      </c>
      <c r="D75" s="21">
        <f t="shared" ref="D75:D81" si="5">VLOOKUP(A75&amp;"|"&amp;B75,$Q$3:$R$16,2,FALSE)</f>
        <v>41400</v>
      </c>
      <c r="E75" s="2"/>
      <c r="F75" s="26">
        <v>5</v>
      </c>
      <c r="G75" s="21">
        <v>1000000</v>
      </c>
      <c r="H75" s="21">
        <f t="shared" ref="H75:H82" si="6">VLOOKUP(F75&amp;"|"&amp;G75,$O$3:$P$16,2,FALSE)</f>
        <v>7500</v>
      </c>
      <c r="I75" s="21">
        <f t="shared" ref="I75:I82" si="7">VLOOKUP(F75&amp;"|"&amp;G75,$Q$3:$R$16,2,FALSE)</f>
        <v>42500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31">
        <v>1.1000000000000001</v>
      </c>
      <c r="B76" s="21">
        <v>1000000</v>
      </c>
      <c r="C76" s="21">
        <f t="shared" si="4"/>
        <v>8750</v>
      </c>
      <c r="D76" s="21">
        <f t="shared" si="5"/>
        <v>41250</v>
      </c>
      <c r="E76" s="2"/>
      <c r="F76" s="26">
        <v>5</v>
      </c>
      <c r="G76" s="21">
        <v>1000000</v>
      </c>
      <c r="H76" s="21">
        <f t="shared" si="6"/>
        <v>7500</v>
      </c>
      <c r="I76" s="21">
        <f t="shared" si="7"/>
        <v>42500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31">
        <v>5</v>
      </c>
      <c r="B77" s="21">
        <v>1000000</v>
      </c>
      <c r="C77" s="21">
        <f t="shared" si="4"/>
        <v>7500</v>
      </c>
      <c r="D77" s="21">
        <f t="shared" si="5"/>
        <v>42500</v>
      </c>
      <c r="E77" s="2"/>
      <c r="F77" s="26">
        <v>5.0999999999999996</v>
      </c>
      <c r="G77" s="21">
        <v>1000000</v>
      </c>
      <c r="H77" s="21">
        <f t="shared" si="6"/>
        <v>7400</v>
      </c>
      <c r="I77" s="21">
        <f t="shared" si="7"/>
        <v>42600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31">
        <v>5.0999999999999996</v>
      </c>
      <c r="B78" s="21">
        <v>1000000</v>
      </c>
      <c r="C78" s="21">
        <f t="shared" si="4"/>
        <v>7400</v>
      </c>
      <c r="D78" s="21">
        <f t="shared" si="5"/>
        <v>42600</v>
      </c>
      <c r="E78" s="2"/>
      <c r="F78" s="26">
        <v>5.0999999999999996</v>
      </c>
      <c r="G78" s="21">
        <v>1000000</v>
      </c>
      <c r="H78" s="21">
        <f t="shared" si="6"/>
        <v>7400</v>
      </c>
      <c r="I78" s="21">
        <f t="shared" si="7"/>
        <v>42600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31">
        <v>5.0999999999999996</v>
      </c>
      <c r="B79" s="21">
        <v>1000000</v>
      </c>
      <c r="C79" s="21">
        <f t="shared" si="4"/>
        <v>7400</v>
      </c>
      <c r="D79" s="21">
        <f t="shared" si="5"/>
        <v>42600</v>
      </c>
      <c r="E79" s="2"/>
      <c r="F79" s="26">
        <v>10</v>
      </c>
      <c r="G79" s="21">
        <v>500000</v>
      </c>
      <c r="H79" s="21">
        <f t="shared" si="6"/>
        <v>1800</v>
      </c>
      <c r="I79" s="21">
        <f t="shared" si="7"/>
        <v>23200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31">
        <v>15</v>
      </c>
      <c r="B80" s="21">
        <v>250000</v>
      </c>
      <c r="C80" s="21">
        <f t="shared" si="4"/>
        <v>350</v>
      </c>
      <c r="D80" s="21">
        <f t="shared" si="5"/>
        <v>12150</v>
      </c>
      <c r="E80" s="2"/>
      <c r="F80" s="26">
        <v>10</v>
      </c>
      <c r="G80" s="21">
        <v>1000000</v>
      </c>
      <c r="H80" s="21">
        <f t="shared" si="6"/>
        <v>3600</v>
      </c>
      <c r="I80" s="21">
        <f t="shared" si="7"/>
        <v>46400</v>
      </c>
      <c r="J80" s="1"/>
      <c r="K80" s="1"/>
      <c r="L80" s="1"/>
      <c r="M80" s="1"/>
      <c r="N80" s="1"/>
      <c r="O80" s="56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31">
        <v>5</v>
      </c>
      <c r="B81" s="21">
        <v>500000</v>
      </c>
      <c r="C81" s="21">
        <f t="shared" si="4"/>
        <v>3200</v>
      </c>
      <c r="D81" s="21">
        <f t="shared" si="5"/>
        <v>21800</v>
      </c>
      <c r="E81" s="2"/>
      <c r="F81" s="26">
        <v>1.1000000000000001</v>
      </c>
      <c r="G81" s="21">
        <v>1000000</v>
      </c>
      <c r="H81" s="21">
        <f t="shared" si="6"/>
        <v>8750</v>
      </c>
      <c r="I81" s="21">
        <f t="shared" si="7"/>
        <v>41250</v>
      </c>
      <c r="J81" s="1"/>
      <c r="K81" s="1"/>
      <c r="L81" s="56"/>
      <c r="M81" s="56"/>
      <c r="N81" s="56"/>
      <c r="O81" s="44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31">
        <v>10</v>
      </c>
      <c r="B82" s="21">
        <v>2000000</v>
      </c>
      <c r="C82" s="21">
        <f>VLOOKUP(A82&amp;"|"&amp;B82,$O$3:$P$18,2,FALSE)</f>
        <v>6750</v>
      </c>
      <c r="D82" s="21">
        <f>VLOOKUP(A82&amp;"|"&amp;B82,$Q$3:$R$18,2,FALSE)</f>
        <v>93250</v>
      </c>
      <c r="E82" s="2"/>
      <c r="F82" s="26">
        <v>1</v>
      </c>
      <c r="G82" s="21">
        <v>1000000</v>
      </c>
      <c r="H82" s="21">
        <f t="shared" si="6"/>
        <v>8600</v>
      </c>
      <c r="I82" s="21">
        <f t="shared" si="7"/>
        <v>41400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31"/>
      <c r="B83" s="21"/>
      <c r="C83" s="21"/>
      <c r="D83" s="21"/>
      <c r="E83" s="2"/>
      <c r="F83" s="26"/>
      <c r="G83" s="21"/>
      <c r="H83" s="21"/>
      <c r="I83" s="21"/>
      <c r="J83" s="1"/>
      <c r="K83" s="1"/>
      <c r="L83" s="44"/>
      <c r="M83" s="44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0"/>
      <c r="B84" s="21"/>
      <c r="C84" s="21"/>
      <c r="D84" s="21"/>
      <c r="E84" s="2"/>
      <c r="F84" s="26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36" t="s">
        <v>16</v>
      </c>
      <c r="B85" s="21"/>
      <c r="C85" s="21" t="s">
        <v>182</v>
      </c>
      <c r="D85" s="21">
        <f>SUM(D75:D84)</f>
        <v>337550</v>
      </c>
      <c r="E85" s="2"/>
      <c r="F85" s="36" t="s">
        <v>16</v>
      </c>
      <c r="G85" s="37"/>
      <c r="H85" s="38"/>
      <c r="I85" s="21">
        <f>SUM(I75:I84)</f>
        <v>322450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25" thickTop="1" thickBot="1">
      <c r="A86" s="31"/>
      <c r="B86" s="2"/>
      <c r="C86" s="2"/>
      <c r="D86" s="2"/>
      <c r="E86" s="2"/>
      <c r="F86" s="31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31" t="s">
        <v>0</v>
      </c>
      <c r="B87" s="21" t="s">
        <v>53</v>
      </c>
      <c r="C87" s="21" t="s">
        <v>54</v>
      </c>
      <c r="D87" s="9">
        <v>46054</v>
      </c>
      <c r="E87" s="2"/>
      <c r="F87" s="20" t="s">
        <v>0</v>
      </c>
      <c r="G87" s="21" t="s">
        <v>55</v>
      </c>
      <c r="H87" s="21" t="s">
        <v>56</v>
      </c>
      <c r="I87" s="9">
        <v>46054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31" t="s">
        <v>6</v>
      </c>
      <c r="B88" s="21" t="s">
        <v>7</v>
      </c>
      <c r="C88" s="21" t="s">
        <v>8</v>
      </c>
      <c r="D88" s="21" t="s">
        <v>9</v>
      </c>
      <c r="E88" s="2"/>
      <c r="F88" s="20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31">
        <v>1.1000000000000001</v>
      </c>
      <c r="B89" s="21">
        <v>1000000</v>
      </c>
      <c r="C89" s="21">
        <f>VLOOKUP(A89&amp;"|"&amp;B89,$O$3:$P$18,2,FALSE)</f>
        <v>8750</v>
      </c>
      <c r="D89" s="21">
        <f>VLOOKUP(A89&amp;"|"&amp;B89,$Q$3:$R$18,2,FALSE)</f>
        <v>41250</v>
      </c>
      <c r="E89" s="2"/>
      <c r="F89" s="26">
        <v>1</v>
      </c>
      <c r="G89" s="21">
        <v>500000</v>
      </c>
      <c r="H89" s="21">
        <f>VLOOKUP(F89&amp;"|"&amp;G89,$O$3:$P$16,2,FALSE)</f>
        <v>4300</v>
      </c>
      <c r="I89" s="21">
        <f>VLOOKUP(F89&amp;"|"&amp;G89,$Q$3:$R$16,2,FALSE)</f>
        <v>20700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31">
        <v>5</v>
      </c>
      <c r="B90" s="21">
        <v>1000000</v>
      </c>
      <c r="C90" s="21">
        <f>VLOOKUP(A90&amp;"|"&amp;B90,$O$3:$P$18,2,FALSE)</f>
        <v>7500</v>
      </c>
      <c r="D90" s="21">
        <f>VLOOKUP(A90&amp;"|"&amp;B90,$Q$3:$R$18,2,FALSE)</f>
        <v>42500</v>
      </c>
      <c r="E90" s="2"/>
      <c r="F90" s="20">
        <v>1</v>
      </c>
      <c r="G90" s="21">
        <v>250000</v>
      </c>
      <c r="H90" s="21">
        <f>VLOOKUP(F90&amp;"|"&amp;G90,$O$3:$P$16,2,FALSE)</f>
        <v>2150</v>
      </c>
      <c r="I90" s="21">
        <f>VLOOKUP(F90&amp;"|"&amp;G90,$Q$3:$R$16,2,FALSE)</f>
        <v>10350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31">
        <v>10</v>
      </c>
      <c r="B91" s="21">
        <v>2000000</v>
      </c>
      <c r="C91" s="21">
        <f>VLOOKUP(A91&amp;"|"&amp;B91,$O$3:$P$18,2,FALSE)</f>
        <v>6750</v>
      </c>
      <c r="D91" s="21">
        <f>VLOOKUP(A91&amp;"|"&amp;B91,$Q$3:$R$18,2,FALSE)</f>
        <v>93250</v>
      </c>
      <c r="E91" s="2"/>
      <c r="F91" s="20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31">
        <v>10</v>
      </c>
      <c r="B92" s="21">
        <v>2000000</v>
      </c>
      <c r="C92" s="21">
        <f>VLOOKUP(A92&amp;"|"&amp;B92,$O$3:$P$18,2,FALSE)</f>
        <v>6750</v>
      </c>
      <c r="D92" s="21">
        <f>VLOOKUP(A92&amp;"|"&amp;B92,$Q$3:$R$18,2,FALSE)</f>
        <v>93250</v>
      </c>
      <c r="E92" s="2"/>
      <c r="F92" s="20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0"/>
      <c r="B93" s="21"/>
      <c r="C93" s="21"/>
      <c r="D93" s="21"/>
      <c r="E93" s="2"/>
      <c r="F93" s="20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36" t="s">
        <v>16</v>
      </c>
      <c r="B94" s="21"/>
      <c r="C94" s="21"/>
      <c r="D94" s="21">
        <f>SUM(D89:D93)</f>
        <v>270250</v>
      </c>
      <c r="E94" s="2"/>
      <c r="F94" s="36" t="s">
        <v>16</v>
      </c>
      <c r="G94" s="37"/>
      <c r="H94" s="38"/>
      <c r="I94" s="21">
        <f>SUM(I89:I93)</f>
        <v>31050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25" thickTop="1" thickBot="1">
      <c r="A95" s="31"/>
      <c r="B95" s="2"/>
      <c r="C95" s="2"/>
      <c r="D95" s="2"/>
      <c r="E95" s="2"/>
      <c r="F95" s="31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0" t="s">
        <v>0</v>
      </c>
      <c r="B96" s="21" t="s">
        <v>57</v>
      </c>
      <c r="C96" s="21" t="s">
        <v>58</v>
      </c>
      <c r="D96" s="9">
        <v>46054</v>
      </c>
      <c r="E96" s="2"/>
      <c r="F96" s="20" t="s">
        <v>0</v>
      </c>
      <c r="G96" s="21" t="s">
        <v>59</v>
      </c>
      <c r="H96" s="21" t="s">
        <v>60</v>
      </c>
      <c r="I96" s="9">
        <v>46054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0" t="s">
        <v>6</v>
      </c>
      <c r="B97" s="21" t="s">
        <v>7</v>
      </c>
      <c r="C97" s="21" t="s">
        <v>8</v>
      </c>
      <c r="D97" s="21" t="s">
        <v>9</v>
      </c>
      <c r="E97" s="2"/>
      <c r="F97" s="20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31">
        <v>1</v>
      </c>
      <c r="B98" s="21">
        <v>500000</v>
      </c>
      <c r="C98" s="21">
        <f>VLOOKUP(A98&amp;"|"&amp;B98,$O$3:$P$16,2,FALSE)</f>
        <v>4300</v>
      </c>
      <c r="D98" s="21">
        <f>VLOOKUP(A98&amp;"|"&amp;B98,$Q$3:$R$16,2,FALSE)</f>
        <v>20700</v>
      </c>
      <c r="E98" s="2"/>
      <c r="F98" s="26">
        <v>1</v>
      </c>
      <c r="G98" s="21">
        <v>1000000</v>
      </c>
      <c r="H98" s="21">
        <f>VLOOKUP(F98&amp;"|"&amp;G98,$O$3:$P$16,2,FALSE)</f>
        <v>8600</v>
      </c>
      <c r="I98" s="21">
        <f>VLOOKUP(F98&amp;"|"&amp;G98,$Q$3:$R$16,2,FALSE)</f>
        <v>41400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31">
        <v>10</v>
      </c>
      <c r="B99" s="21">
        <v>500000</v>
      </c>
      <c r="C99" s="21">
        <f>VLOOKUP(A99&amp;"|"&amp;B99,$O$3:$P$16,2,FALSE)</f>
        <v>1800</v>
      </c>
      <c r="D99" s="21">
        <f>VLOOKUP(A99&amp;"|"&amp;B99,$Q$3:$R$16,2,FALSE)</f>
        <v>23200</v>
      </c>
      <c r="E99" s="2"/>
      <c r="F99" s="26">
        <v>1.1000000000000001</v>
      </c>
      <c r="G99" s="21">
        <v>1000000</v>
      </c>
      <c r="H99" s="21">
        <f>VLOOKUP(F99&amp;"|"&amp;G99,$O$3:$P$16,2,FALSE)</f>
        <v>8750</v>
      </c>
      <c r="I99" s="21">
        <f>VLOOKUP(F99&amp;"|"&amp;G99,$Q$3:$R$16,2,FALSE)</f>
        <v>41250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0">
        <v>1</v>
      </c>
      <c r="B100" s="21">
        <v>500000</v>
      </c>
      <c r="C100" s="21">
        <f>VLOOKUP(A100&amp;"|"&amp;B100,$O$3:$P$16,2,FALSE)</f>
        <v>4300</v>
      </c>
      <c r="D100" s="21">
        <f>VLOOKUP(A100&amp;"|"&amp;B100,$Q$3:$R$16,2,FALSE)</f>
        <v>20700</v>
      </c>
      <c r="E100" s="2"/>
      <c r="F100" s="26">
        <v>5</v>
      </c>
      <c r="G100" s="21">
        <v>1000000</v>
      </c>
      <c r="H100" s="21">
        <f>VLOOKUP(F100&amp;"|"&amp;G100,$O$3:$P$16,2,FALSE)</f>
        <v>7500</v>
      </c>
      <c r="I100" s="21">
        <f>VLOOKUP(F100&amp;"|"&amp;G100,$Q$3:$R$16,2,FALSE)</f>
        <v>42500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0"/>
      <c r="B101" s="21"/>
      <c r="C101" s="21"/>
      <c r="D101" s="21"/>
      <c r="E101" s="2"/>
      <c r="F101" s="20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0"/>
      <c r="B102" s="21"/>
      <c r="C102" s="21"/>
      <c r="D102" s="21"/>
      <c r="E102" s="2"/>
      <c r="F102" s="20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36" t="s">
        <v>16</v>
      </c>
      <c r="B103" s="21"/>
      <c r="C103" s="21"/>
      <c r="D103" s="21">
        <f>SUM(D98:D102)</f>
        <v>64600</v>
      </c>
      <c r="E103" s="2"/>
      <c r="F103" s="36" t="s">
        <v>16</v>
      </c>
      <c r="G103" s="37"/>
      <c r="H103" s="38"/>
      <c r="I103" s="21">
        <f>SUM(I98:I102)</f>
        <v>125150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25" thickTop="1" thickBot="1">
      <c r="A104" s="31"/>
      <c r="B104" s="2"/>
      <c r="C104" s="2"/>
      <c r="D104" s="2"/>
      <c r="E104" s="2"/>
      <c r="F104" s="31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0" t="s">
        <v>0</v>
      </c>
      <c r="B105" s="21" t="s">
        <v>61</v>
      </c>
      <c r="C105" s="21" t="s">
        <v>62</v>
      </c>
      <c r="D105" s="9">
        <v>46054</v>
      </c>
      <c r="E105" s="2"/>
      <c r="F105" s="20" t="s">
        <v>0</v>
      </c>
      <c r="G105" s="21" t="s">
        <v>63</v>
      </c>
      <c r="H105" s="21" t="s">
        <v>34</v>
      </c>
      <c r="I105" s="9">
        <v>46054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0" t="s">
        <v>6</v>
      </c>
      <c r="B106" s="21" t="s">
        <v>7</v>
      </c>
      <c r="C106" s="21" t="s">
        <v>8</v>
      </c>
      <c r="D106" s="21" t="s">
        <v>9</v>
      </c>
      <c r="E106" s="2"/>
      <c r="F106" s="20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31">
        <v>1</v>
      </c>
      <c r="B107" s="21">
        <v>500000</v>
      </c>
      <c r="C107" s="21">
        <f>VLOOKUP(A107&amp;"|"&amp;B107,$O$3:$P$16,2,FALSE)</f>
        <v>4300</v>
      </c>
      <c r="D107" s="21">
        <f>VLOOKUP(A107&amp;"|"&amp;B107,$Q$3:$R$16,2,FALSE)</f>
        <v>20700</v>
      </c>
      <c r="E107" s="2"/>
      <c r="F107" s="26">
        <v>1</v>
      </c>
      <c r="G107" s="21">
        <v>1000000</v>
      </c>
      <c r="H107" s="21">
        <f>VLOOKUP(F107&amp;"|"&amp;G107,$O$3:$P$16,2,FALSE)</f>
        <v>8600</v>
      </c>
      <c r="I107" s="21">
        <f>VLOOKUP(F107&amp;"|"&amp;G107,$Q$3:$R$16,2,FALSE)</f>
        <v>41400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0"/>
      <c r="B108" s="21"/>
      <c r="C108" s="21"/>
      <c r="D108" s="21"/>
      <c r="E108" s="2"/>
      <c r="F108" s="26">
        <v>10</v>
      </c>
      <c r="G108" s="21">
        <v>2000000</v>
      </c>
      <c r="H108" s="21">
        <f>VLOOKUP(F108&amp;"|"&amp;G108,$O$3:$P$16,2,FALSE)</f>
        <v>6750</v>
      </c>
      <c r="I108" s="21">
        <f>VLOOKUP(F108&amp;"|"&amp;G108,$Q$3:$R$16,2,FALSE)</f>
        <v>93250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0"/>
      <c r="B109" s="21"/>
      <c r="C109" s="21"/>
      <c r="D109" s="21"/>
      <c r="E109" s="2"/>
      <c r="F109" s="26"/>
      <c r="G109" s="21"/>
      <c r="H109" s="21"/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0"/>
      <c r="B110" s="21"/>
      <c r="C110" s="21"/>
      <c r="D110" s="21"/>
      <c r="E110" s="2"/>
      <c r="F110" s="20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0"/>
      <c r="B111" s="21"/>
      <c r="C111" s="21"/>
      <c r="D111" s="21"/>
      <c r="E111" s="2"/>
      <c r="F111" s="20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36" t="s">
        <v>16</v>
      </c>
      <c r="B112" s="21"/>
      <c r="C112" s="21"/>
      <c r="D112" s="21">
        <f>SUM(D107:D111)</f>
        <v>20700</v>
      </c>
      <c r="E112" s="2"/>
      <c r="F112" s="36" t="s">
        <v>16</v>
      </c>
      <c r="G112" s="37"/>
      <c r="H112" s="38"/>
      <c r="I112" s="21">
        <f>SUM(I107:I111)</f>
        <v>134650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25" thickTop="1" thickBot="1">
      <c r="A113" s="31"/>
      <c r="B113" s="2"/>
      <c r="C113" s="2"/>
      <c r="D113" s="2"/>
      <c r="E113" s="2"/>
      <c r="F113" s="31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0" t="s">
        <v>0</v>
      </c>
      <c r="B114" s="21" t="s">
        <v>47</v>
      </c>
      <c r="C114" s="21" t="s">
        <v>39</v>
      </c>
      <c r="D114" s="9">
        <v>46054</v>
      </c>
      <c r="E114" s="2"/>
      <c r="F114" s="20" t="s">
        <v>0</v>
      </c>
      <c r="G114" s="21" t="s">
        <v>64</v>
      </c>
      <c r="H114" s="21" t="s">
        <v>65</v>
      </c>
      <c r="I114" s="9">
        <v>46054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0" t="s">
        <v>6</v>
      </c>
      <c r="B115" s="21" t="s">
        <v>7</v>
      </c>
      <c r="C115" s="21" t="s">
        <v>8</v>
      </c>
      <c r="D115" s="21" t="s">
        <v>9</v>
      </c>
      <c r="E115" s="2"/>
      <c r="F115" s="20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31">
        <v>1</v>
      </c>
      <c r="B116" s="21">
        <v>500000</v>
      </c>
      <c r="C116" s="21">
        <f>VLOOKUP(A116&amp;"|"&amp;B116,$O$3:$P$16,2,FALSE)</f>
        <v>4300</v>
      </c>
      <c r="D116" s="21">
        <f>VLOOKUP(A116&amp;"|"&amp;B116,$Q$3:$R$16,2,FALSE)</f>
        <v>20700</v>
      </c>
      <c r="E116" s="2"/>
      <c r="F116" s="26">
        <v>1</v>
      </c>
      <c r="G116" s="21">
        <v>1000000</v>
      </c>
      <c r="H116" s="21">
        <f>VLOOKUP(F116&amp;"|"&amp;G116,$O$3:$P$16,2,FALSE)</f>
        <v>8600</v>
      </c>
      <c r="I116" s="21">
        <f>VLOOKUP(F116&amp;"|"&amp;G116,$Q$3:$R$16,2,FALSE)</f>
        <v>41400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31">
        <v>5.0999999999999996</v>
      </c>
      <c r="B117" s="21">
        <v>1000000</v>
      </c>
      <c r="C117" s="21">
        <f>VLOOKUP(A117&amp;"|"&amp;B117,$O$3:$P$16,2,FALSE)</f>
        <v>7400</v>
      </c>
      <c r="D117" s="21">
        <f>VLOOKUP(A117&amp;"|"&amp;B117,$Q$3:$R$16,2,FALSE)</f>
        <v>42600</v>
      </c>
      <c r="E117" s="2"/>
      <c r="F117" s="26">
        <v>10</v>
      </c>
      <c r="G117" s="21">
        <v>2000000</v>
      </c>
      <c r="H117" s="21">
        <f>VLOOKUP(F117&amp;"|"&amp;G117,$O$3:$P$17,2,FALSE)</f>
        <v>6750</v>
      </c>
      <c r="I117" s="21">
        <f>VLOOKUP(F117&amp;"|"&amp;G117,$Q$3:$R$17,2,FALSE)</f>
        <v>93250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31">
        <v>15</v>
      </c>
      <c r="B118" s="21">
        <v>500000</v>
      </c>
      <c r="C118" s="21">
        <f>VLOOKUP(A118&amp;"|"&amp;B118,$O$3:$P$16,2,FALSE)</f>
        <v>750</v>
      </c>
      <c r="D118" s="21">
        <f>VLOOKUP(A118&amp;"|"&amp;B118,$Q$3:$R$16,2,FALSE)</f>
        <v>24250</v>
      </c>
      <c r="E118" s="2"/>
      <c r="F118" s="20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31">
        <v>15</v>
      </c>
      <c r="B119" s="21">
        <v>500000</v>
      </c>
      <c r="C119" s="21">
        <f>VLOOKUP(A119&amp;"|"&amp;B119,$O$3:$P$16,2,FALSE)</f>
        <v>750</v>
      </c>
      <c r="D119" s="21">
        <f>VLOOKUP(A119&amp;"|"&amp;B119,$Q$3:$R$16,2,FALSE)</f>
        <v>24250</v>
      </c>
      <c r="E119" s="2"/>
      <c r="F119" s="20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0"/>
      <c r="B120" s="21"/>
      <c r="C120" s="21"/>
      <c r="D120" s="21"/>
      <c r="E120" s="2"/>
      <c r="F120" s="20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36" t="s">
        <v>16</v>
      </c>
      <c r="B121" s="21"/>
      <c r="C121" s="21"/>
      <c r="D121" s="21">
        <f>SUM(D116:D120)</f>
        <v>111800</v>
      </c>
      <c r="E121" s="2"/>
      <c r="F121" s="36" t="s">
        <v>16</v>
      </c>
      <c r="G121" s="37"/>
      <c r="H121" s="38"/>
      <c r="I121" s="21">
        <f>SUM(I116:I120)</f>
        <v>134650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25" thickTop="1" thickBot="1">
      <c r="A122" s="31"/>
      <c r="B122" s="2"/>
      <c r="C122" s="2"/>
      <c r="D122" s="2"/>
      <c r="E122" s="2"/>
      <c r="F122" s="31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0" t="s">
        <v>0</v>
      </c>
      <c r="B123" s="21" t="s">
        <v>66</v>
      </c>
      <c r="C123" s="21" t="s">
        <v>67</v>
      </c>
      <c r="D123" s="9">
        <v>46054</v>
      </c>
      <c r="E123" s="2"/>
      <c r="F123" s="20" t="s">
        <v>0</v>
      </c>
      <c r="G123" s="21" t="s">
        <v>68</v>
      </c>
      <c r="H123" s="21" t="s">
        <v>69</v>
      </c>
      <c r="I123" s="9">
        <v>46054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0" t="s">
        <v>6</v>
      </c>
      <c r="B124" s="21" t="s">
        <v>7</v>
      </c>
      <c r="C124" s="21" t="s">
        <v>8</v>
      </c>
      <c r="D124" s="21" t="s">
        <v>9</v>
      </c>
      <c r="E124" s="2"/>
      <c r="F124" s="20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31">
        <v>10</v>
      </c>
      <c r="B125" s="21">
        <v>2000000</v>
      </c>
      <c r="C125" s="21">
        <f>VLOOKUP(A125&amp;"|"&amp;B125,$O$3:$P$16,2,FALSE)</f>
        <v>6750</v>
      </c>
      <c r="D125" s="21">
        <f>VLOOKUP(A125&amp;"|"&amp;B125,$Q$3:$R$16,2,FALSE)</f>
        <v>93250</v>
      </c>
      <c r="E125" s="2"/>
      <c r="F125" s="26">
        <v>1</v>
      </c>
      <c r="G125" s="21">
        <v>1000000</v>
      </c>
      <c r="H125" s="21">
        <f>VLOOKUP(F125&amp;"|"&amp;G125,$O$3:$P$16,2,FALSE)</f>
        <v>8600</v>
      </c>
      <c r="I125" s="21">
        <f>VLOOKUP(F125&amp;"|"&amp;G125,$Q$3:$R$16,2,FALSE)</f>
        <v>41400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31">
        <v>1</v>
      </c>
      <c r="B126" s="21">
        <v>1000000</v>
      </c>
      <c r="C126" s="21">
        <f>VLOOKUP(A126&amp;"|"&amp;B126,$O$3:$P$16,2,FALSE)</f>
        <v>8600</v>
      </c>
      <c r="D126" s="21">
        <f>VLOOKUP(A126&amp;"|"&amp;B126,$Q$3:$R$16,2,FALSE)</f>
        <v>41400</v>
      </c>
      <c r="E126" s="2"/>
      <c r="F126" s="26">
        <v>15</v>
      </c>
      <c r="G126" s="21">
        <v>500000</v>
      </c>
      <c r="H126" s="21">
        <f>VLOOKUP(F126&amp;"|"&amp;G126,$O$3:$P$16,2,FALSE)</f>
        <v>750</v>
      </c>
      <c r="I126" s="21">
        <f>VLOOKUP(F126&amp;"|"&amp;G126,$Q$3:$R$16,2,FALSE)</f>
        <v>24250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0">
        <v>1.1000000000000001</v>
      </c>
      <c r="B127" s="21">
        <v>1000000</v>
      </c>
      <c r="C127" s="21">
        <f>VLOOKUP(A127&amp;"|"&amp;B127,$O$3:$P$16,2,FALSE)</f>
        <v>8750</v>
      </c>
      <c r="D127" s="21">
        <f>VLOOKUP(A127&amp;"|"&amp;B127,$Q$3:$R$16,2,FALSE)</f>
        <v>41250</v>
      </c>
      <c r="E127" s="2"/>
      <c r="F127" s="26">
        <v>15</v>
      </c>
      <c r="G127" s="21">
        <v>500000</v>
      </c>
      <c r="H127" s="21">
        <f>VLOOKUP(F127&amp;"|"&amp;G127,$O$3:$P$16,2,FALSE)</f>
        <v>750</v>
      </c>
      <c r="I127" s="21">
        <f>VLOOKUP(F127&amp;"|"&amp;G127,$Q$3:$R$16,2,FALSE)</f>
        <v>24250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0"/>
      <c r="B128" s="21"/>
      <c r="C128" s="21"/>
      <c r="D128" s="21"/>
      <c r="E128" s="2"/>
      <c r="F128" s="26">
        <v>5.0999999999999996</v>
      </c>
      <c r="G128" s="21">
        <v>1000000</v>
      </c>
      <c r="H128" s="21">
        <f>VLOOKUP(F128&amp;"|"&amp;G128,$O$3:$P$16,2,FALSE)</f>
        <v>7400</v>
      </c>
      <c r="I128" s="21">
        <f>VLOOKUP(F128&amp;"|"&amp;G128,$Q$3:$R$16,2,FALSE)</f>
        <v>42600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0"/>
      <c r="B129" s="21"/>
      <c r="C129" s="21"/>
      <c r="D129" s="21"/>
      <c r="E129" s="2"/>
      <c r="F129" s="26">
        <v>5</v>
      </c>
      <c r="G129" s="21">
        <v>500000</v>
      </c>
      <c r="H129" s="21">
        <f>VLOOKUP(F129&amp;"|"&amp;G129,$O$3:$P$16,2,FALSE)</f>
        <v>3200</v>
      </c>
      <c r="I129" s="21">
        <f>VLOOKUP(F129&amp;"|"&amp;G129,$Q$3:$R$16,2,FALSE)</f>
        <v>21800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36" t="s">
        <v>16</v>
      </c>
      <c r="B130" s="21"/>
      <c r="C130" s="21"/>
      <c r="D130" s="21">
        <f>SUM(D125:D129)</f>
        <v>175900</v>
      </c>
      <c r="E130" s="2"/>
      <c r="F130" s="36" t="s">
        <v>16</v>
      </c>
      <c r="G130" s="37"/>
      <c r="H130" s="38"/>
      <c r="I130" s="21">
        <f>SUM(I125:I129)</f>
        <v>154300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25" thickTop="1" thickBot="1">
      <c r="A131" s="31"/>
      <c r="B131" s="2"/>
      <c r="C131" s="2"/>
      <c r="D131" s="2"/>
      <c r="E131" s="2"/>
      <c r="F131" s="31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0" t="s">
        <v>0</v>
      </c>
      <c r="B132" s="21" t="s">
        <v>71</v>
      </c>
      <c r="C132" s="21" t="s">
        <v>72</v>
      </c>
      <c r="D132" s="9">
        <v>46054</v>
      </c>
      <c r="E132" s="2"/>
      <c r="F132" s="20" t="s">
        <v>0</v>
      </c>
      <c r="G132" s="21" t="s">
        <v>73</v>
      </c>
      <c r="H132" s="21" t="s">
        <v>74</v>
      </c>
      <c r="I132" s="9">
        <v>46054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0" t="s">
        <v>6</v>
      </c>
      <c r="B133" s="21" t="s">
        <v>7</v>
      </c>
      <c r="C133" s="21" t="s">
        <v>8</v>
      </c>
      <c r="D133" s="21" t="s">
        <v>9</v>
      </c>
      <c r="E133" s="2"/>
      <c r="F133" s="20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31">
        <v>1</v>
      </c>
      <c r="B134" s="21">
        <v>500000</v>
      </c>
      <c r="C134" s="21">
        <f>VLOOKUP(A134&amp;"|"&amp;B134,$O$3:$P$16,2,FALSE)</f>
        <v>4300</v>
      </c>
      <c r="D134" s="21">
        <f>VLOOKUP(A134&amp;"|"&amp;B134,$Q$3:$R$16,2,FALSE)</f>
        <v>20700</v>
      </c>
      <c r="E134" s="2"/>
      <c r="F134" s="26">
        <v>1</v>
      </c>
      <c r="G134" s="21">
        <v>500000</v>
      </c>
      <c r="H134" s="21">
        <f>VLOOKUP(F134&amp;"|"&amp;G134,$O$3:$P$16,2,FALSE)</f>
        <v>4300</v>
      </c>
      <c r="I134" s="21">
        <f>VLOOKUP(F134&amp;"|"&amp;G134,$Q$3:$R$16,2,FALSE)</f>
        <v>20700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31">
        <v>5</v>
      </c>
      <c r="B135" s="21">
        <v>1000000</v>
      </c>
      <c r="C135" s="21">
        <f>VLOOKUP(A135&amp;"|"&amp;B135,$O$3:$P$16,2,FALSE)</f>
        <v>7500</v>
      </c>
      <c r="D135" s="21">
        <f>VLOOKUP(A135&amp;"|"&amp;B135,$Q$3:$R$16,2,FALSE)</f>
        <v>42500</v>
      </c>
      <c r="E135" s="2"/>
      <c r="F135" s="20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0"/>
      <c r="B136" s="21"/>
      <c r="C136" s="21"/>
      <c r="D136" s="21"/>
      <c r="E136" s="2"/>
      <c r="F136" s="20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0"/>
      <c r="B137" s="21"/>
      <c r="C137" s="21"/>
      <c r="D137" s="21"/>
      <c r="E137" s="2"/>
      <c r="F137" s="20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0"/>
      <c r="B138" s="21"/>
      <c r="C138" s="21"/>
      <c r="D138" s="21"/>
      <c r="E138" s="2"/>
      <c r="F138" s="20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36" t="s">
        <v>16</v>
      </c>
      <c r="B139" s="21"/>
      <c r="C139" s="21"/>
      <c r="D139" s="21">
        <f>SUM(D134:D138)</f>
        <v>63200</v>
      </c>
      <c r="E139" s="2"/>
      <c r="F139" s="36" t="s">
        <v>16</v>
      </c>
      <c r="G139" s="37"/>
      <c r="H139" s="38"/>
      <c r="I139" s="21">
        <f>SUM(I134:I138)</f>
        <v>20700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25" thickTop="1" thickBot="1">
      <c r="A140" s="31"/>
      <c r="B140" s="2"/>
      <c r="C140" s="2"/>
      <c r="D140" s="2"/>
      <c r="E140" s="2"/>
      <c r="F140" s="31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0" t="s">
        <v>0</v>
      </c>
      <c r="B141" s="21" t="s">
        <v>75</v>
      </c>
      <c r="C141" s="21" t="s">
        <v>76</v>
      </c>
      <c r="D141" s="9">
        <v>46054</v>
      </c>
      <c r="E141" s="2"/>
      <c r="F141" s="11" t="s">
        <v>3</v>
      </c>
      <c r="G141" s="12" t="s">
        <v>77</v>
      </c>
      <c r="H141" s="12" t="s">
        <v>78</v>
      </c>
      <c r="I141" s="9">
        <v>46054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0" t="s">
        <v>6</v>
      </c>
      <c r="B142" s="21" t="s">
        <v>7</v>
      </c>
      <c r="C142" s="21" t="s">
        <v>8</v>
      </c>
      <c r="D142" s="21" t="s">
        <v>9</v>
      </c>
      <c r="E142" s="2"/>
      <c r="F142" s="20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31">
        <v>1</v>
      </c>
      <c r="B143" s="21">
        <v>500000</v>
      </c>
      <c r="C143" s="21">
        <f>VLOOKUP(A143&amp;"|"&amp;B143,$O$3:$P$16,2,FALSE)</f>
        <v>4300</v>
      </c>
      <c r="D143" s="21">
        <f>VLOOKUP(A143&amp;"|"&amp;B143,$Q$3:$R$16,2,FALSE)</f>
        <v>20700</v>
      </c>
      <c r="E143" s="2"/>
      <c r="F143" s="26">
        <v>5</v>
      </c>
      <c r="G143" s="21">
        <v>1000000</v>
      </c>
      <c r="H143" s="21">
        <f>VLOOKUP(F143&amp;"|"&amp;G143,$O$3:$P$18,2,FALSE)</f>
        <v>7500</v>
      </c>
      <c r="I143" s="21">
        <f>VLOOKUP(F143&amp;"|"&amp;G143,$Q$3:$R$17,2,FALSE)</f>
        <v>42500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31">
        <v>15</v>
      </c>
      <c r="B144" s="21">
        <v>500000</v>
      </c>
      <c r="C144" s="21">
        <f>VLOOKUP(A144&amp;"|"&amp;B144,$O$3:$P$16,2,FALSE)</f>
        <v>750</v>
      </c>
      <c r="D144" s="21">
        <f>VLOOKUP(A144&amp;"|"&amp;B144,$Q$3:$R$16,2,FALSE)</f>
        <v>24250</v>
      </c>
      <c r="E144" s="2"/>
      <c r="F144" s="26">
        <v>5.0999999999999996</v>
      </c>
      <c r="G144" s="21">
        <v>1000000</v>
      </c>
      <c r="H144" s="21">
        <f>VLOOKUP(F144&amp;"|"&amp;G144,$O$3:$P$17,2,FALSE)</f>
        <v>7400</v>
      </c>
      <c r="I144" s="21">
        <f>VLOOKUP(F144&amp;"|"&amp;G144,$Q$3:$R$17,2,FALSE)</f>
        <v>42600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31">
        <v>18</v>
      </c>
      <c r="B145" s="21">
        <v>500000</v>
      </c>
      <c r="C145" s="21">
        <f>VLOOKUP(A145&amp;"|"&amp;B145,$O$3:$P$16,2,FALSE)</f>
        <v>200</v>
      </c>
      <c r="D145" s="21">
        <f>VLOOKUP(A145&amp;"|"&amp;B145,$Q$3:$R$16,2,FALSE)</f>
        <v>24800</v>
      </c>
      <c r="E145" s="2"/>
      <c r="F145" s="20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31">
        <v>5</v>
      </c>
      <c r="B146" s="21">
        <v>1000000</v>
      </c>
      <c r="C146" s="21">
        <f>VLOOKUP(A146&amp;"|"&amp;B146,$O$3:$P$16,2,FALSE)</f>
        <v>7500</v>
      </c>
      <c r="D146" s="21">
        <f>VLOOKUP(A146&amp;"|"&amp;B146,$Q$3:$R$16,2,FALSE)</f>
        <v>42500</v>
      </c>
      <c r="E146" s="2"/>
      <c r="F146" s="20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0"/>
      <c r="B147" s="21"/>
      <c r="C147" s="21"/>
      <c r="D147" s="21"/>
      <c r="E147" s="2"/>
      <c r="F147" s="20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36" t="s">
        <v>16</v>
      </c>
      <c r="B148" s="21"/>
      <c r="C148" s="21"/>
      <c r="D148" s="21">
        <f>SUM(D143:D147)</f>
        <v>112250</v>
      </c>
      <c r="E148" s="2"/>
      <c r="F148" s="36" t="s">
        <v>16</v>
      </c>
      <c r="G148" s="37"/>
      <c r="H148" s="38"/>
      <c r="I148" s="21">
        <f>SUM(I143:I147)</f>
        <v>85100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31"/>
      <c r="B149" s="2"/>
      <c r="C149" s="2"/>
      <c r="D149" s="2"/>
      <c r="E149" s="2"/>
      <c r="F149" s="43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0" t="s">
        <v>0</v>
      </c>
      <c r="B150" s="21" t="s">
        <v>79</v>
      </c>
      <c r="C150" s="21" t="s">
        <v>48</v>
      </c>
      <c r="D150" s="9">
        <v>46054</v>
      </c>
      <c r="E150" s="2"/>
      <c r="F150" s="20" t="s">
        <v>0</v>
      </c>
      <c r="G150" s="21" t="s">
        <v>80</v>
      </c>
      <c r="H150" s="21" t="s">
        <v>81</v>
      </c>
      <c r="I150" s="9">
        <v>46054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0" t="s">
        <v>6</v>
      </c>
      <c r="B151" s="21" t="s">
        <v>7</v>
      </c>
      <c r="C151" s="21" t="s">
        <v>8</v>
      </c>
      <c r="D151" s="21" t="s">
        <v>9</v>
      </c>
      <c r="E151" s="2"/>
      <c r="F151" s="20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31">
        <v>5</v>
      </c>
      <c r="B152" s="21">
        <v>500000</v>
      </c>
      <c r="C152" s="21">
        <f>VLOOKUP(A152&amp;"|"&amp;B152,$O$3:$P$16,2,FALSE)</f>
        <v>3200</v>
      </c>
      <c r="D152" s="21">
        <f>VLOOKUP(A152&amp;"|"&amp;B152,$Q$3:$R$16,2,FALSE)</f>
        <v>21800</v>
      </c>
      <c r="E152" s="10"/>
      <c r="F152" s="26">
        <v>5</v>
      </c>
      <c r="G152" s="21">
        <v>1000000</v>
      </c>
      <c r="H152" s="21">
        <f>VLOOKUP(F152&amp;"|"&amp;G152,$O$3:$P$16,2,FALSE)</f>
        <v>7500</v>
      </c>
      <c r="I152" s="21">
        <f>VLOOKUP(F152&amp;"|"&amp;G152,$Q$3:$R$16,2,FALSE)</f>
        <v>42500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0"/>
      <c r="B153" s="21"/>
      <c r="C153" s="21"/>
      <c r="D153" s="21"/>
      <c r="E153" s="2"/>
      <c r="F153" s="26">
        <v>18</v>
      </c>
      <c r="G153" s="21">
        <v>500000</v>
      </c>
      <c r="H153" s="21">
        <f>VLOOKUP(F153&amp;"|"&amp;G153,$O$3:$P$16,2,FALSE)</f>
        <v>200</v>
      </c>
      <c r="I153" s="21">
        <f>VLOOKUP(F153&amp;"|"&amp;G153,$Q$3:$R$16,2,FALSE)</f>
        <v>24800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0"/>
      <c r="B154" s="21"/>
      <c r="C154" s="21"/>
      <c r="D154" s="21"/>
      <c r="E154" s="2"/>
      <c r="F154" s="26"/>
      <c r="G154" s="21"/>
      <c r="H154" s="21"/>
      <c r="I154" s="2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0"/>
      <c r="B155" s="21"/>
      <c r="C155" s="21"/>
      <c r="D155" s="21"/>
      <c r="E155" s="2"/>
      <c r="F155" s="20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0"/>
      <c r="B156" s="21"/>
      <c r="C156" s="21"/>
      <c r="D156" s="21"/>
      <c r="E156" s="2"/>
      <c r="F156" s="20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36" t="s">
        <v>16</v>
      </c>
      <c r="B157" s="21"/>
      <c r="C157" s="21"/>
      <c r="D157" s="21">
        <f>SUM(D152:D156)</f>
        <v>21800</v>
      </c>
      <c r="E157" s="2"/>
      <c r="F157" s="36" t="s">
        <v>16</v>
      </c>
      <c r="G157" s="37"/>
      <c r="H157" s="38"/>
      <c r="I157" s="21">
        <f>SUM(I152:I156)</f>
        <v>67300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25" thickTop="1" thickBot="1">
      <c r="A158" s="31"/>
      <c r="B158" s="2"/>
      <c r="C158" s="2"/>
      <c r="D158" s="2"/>
      <c r="E158" s="2"/>
      <c r="F158" s="31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0" t="s">
        <v>0</v>
      </c>
      <c r="B159" s="21" t="s">
        <v>82</v>
      </c>
      <c r="C159" s="21" t="s">
        <v>24</v>
      </c>
      <c r="D159" s="9">
        <v>46054</v>
      </c>
      <c r="E159" s="2"/>
      <c r="F159" s="20" t="s">
        <v>0</v>
      </c>
      <c r="G159" s="21" t="s">
        <v>202</v>
      </c>
      <c r="H159" s="21" t="s">
        <v>24</v>
      </c>
      <c r="I159" s="9">
        <v>46054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0" t="s">
        <v>6</v>
      </c>
      <c r="B160" s="21" t="s">
        <v>7</v>
      </c>
      <c r="C160" s="21" t="s">
        <v>8</v>
      </c>
      <c r="D160" s="21" t="s">
        <v>9</v>
      </c>
      <c r="E160" s="2"/>
      <c r="F160" s="20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31">
        <v>1.1000000000000001</v>
      </c>
      <c r="B161" s="21">
        <v>1000000</v>
      </c>
      <c r="C161" s="21">
        <f>VLOOKUP(A161&amp;"|"&amp;B161,$O$3:$P$16,2,FALSE)</f>
        <v>8750</v>
      </c>
      <c r="D161" s="21">
        <f>VLOOKUP(A161&amp;"|"&amp;B161,$Q$3:$R$16,2,FALSE)</f>
        <v>41250</v>
      </c>
      <c r="E161" s="2"/>
      <c r="F161" s="26">
        <v>1.1000000000000001</v>
      </c>
      <c r="G161" s="21">
        <v>1000000</v>
      </c>
      <c r="H161" s="21">
        <f>VLOOKUP(F161&amp;"|"&amp;G161,$O$3:$P$16,2,FALSE)</f>
        <v>8750</v>
      </c>
      <c r="I161" s="21">
        <f>VLOOKUP(F161&amp;"|"&amp;G161,$Q$3:$R$16,2,FALSE)</f>
        <v>41250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0"/>
      <c r="B162" s="21"/>
      <c r="C162" s="21"/>
      <c r="D162" s="21"/>
      <c r="E162" s="2"/>
      <c r="F162" s="20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0"/>
      <c r="B163" s="21"/>
      <c r="C163" s="21"/>
      <c r="D163" s="21"/>
      <c r="E163" s="2"/>
      <c r="F163" s="20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0"/>
      <c r="B164" s="21"/>
      <c r="C164" s="21"/>
      <c r="D164" s="21"/>
      <c r="E164" s="2"/>
      <c r="F164" s="20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0"/>
      <c r="B165" s="21"/>
      <c r="C165" s="21"/>
      <c r="D165" s="21"/>
      <c r="E165" s="2"/>
      <c r="F165" s="20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36" t="s">
        <v>16</v>
      </c>
      <c r="B166" s="21"/>
      <c r="C166" s="21"/>
      <c r="D166" s="21">
        <f>SUM(D161:D165)</f>
        <v>41250</v>
      </c>
      <c r="E166" s="2"/>
      <c r="F166" s="36" t="s">
        <v>16</v>
      </c>
      <c r="G166" s="37"/>
      <c r="H166" s="38"/>
      <c r="I166" s="21">
        <f>SUM(I161:I165)</f>
        <v>41250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thickTop="1" thickBot="1">
      <c r="A167" s="31"/>
      <c r="B167" s="2"/>
      <c r="C167" s="2"/>
      <c r="D167" s="2"/>
      <c r="E167" s="2"/>
      <c r="F167" s="31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0" t="s">
        <v>0</v>
      </c>
      <c r="B168" s="21" t="s">
        <v>84</v>
      </c>
      <c r="C168" s="21" t="s">
        <v>72</v>
      </c>
      <c r="D168" s="9">
        <v>46054</v>
      </c>
      <c r="E168" s="2"/>
      <c r="F168" s="20" t="s">
        <v>0</v>
      </c>
      <c r="G168" s="21" t="s">
        <v>29</v>
      </c>
      <c r="H168" s="21" t="s">
        <v>43</v>
      </c>
      <c r="I168" s="9">
        <v>46054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0" t="s">
        <v>6</v>
      </c>
      <c r="B169" s="21" t="s">
        <v>7</v>
      </c>
      <c r="C169" s="21" t="s">
        <v>8</v>
      </c>
      <c r="D169" s="21" t="s">
        <v>9</v>
      </c>
      <c r="E169" s="2"/>
      <c r="F169" s="20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31">
        <v>1.1000000000000001</v>
      </c>
      <c r="B170" s="21">
        <v>1000000</v>
      </c>
      <c r="C170" s="21">
        <f>VLOOKUP(A170&amp;"|"&amp;B170,$O$3:$P$16,2,FALSE)</f>
        <v>8750</v>
      </c>
      <c r="D170" s="21">
        <f>VLOOKUP(A170&amp;"|"&amp;B170,$Q$3:$R$16,2,FALSE)</f>
        <v>41250</v>
      </c>
      <c r="E170" s="2" t="s">
        <v>85</v>
      </c>
      <c r="F170" s="26">
        <v>15</v>
      </c>
      <c r="G170" s="21">
        <v>500000</v>
      </c>
      <c r="H170" s="21">
        <f>VLOOKUP(F170&amp;"|"&amp;G170,$O$3:$P$16,2,FALSE)</f>
        <v>750</v>
      </c>
      <c r="I170" s="21">
        <f>VLOOKUP(F170&amp;"|"&amp;G170,$Q$3:$R$16,2,FALSE)</f>
        <v>24250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31">
        <v>10</v>
      </c>
      <c r="B171" s="21">
        <v>1000000</v>
      </c>
      <c r="C171" s="21">
        <f>VLOOKUP(A171&amp;"|"&amp;B171,$O$3:$P$16,2,FALSE)</f>
        <v>3600</v>
      </c>
      <c r="D171" s="21">
        <f>VLOOKUP(A171&amp;"|"&amp;B171,$Q$3:$R$16,2,FALSE)</f>
        <v>46400</v>
      </c>
      <c r="E171" s="2"/>
      <c r="F171" s="26"/>
      <c r="G171" s="21"/>
      <c r="H171" s="21"/>
      <c r="I171" s="2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31">
        <v>10</v>
      </c>
      <c r="B172" s="21">
        <v>1000000</v>
      </c>
      <c r="C172" s="21">
        <f>VLOOKUP(A172&amp;"|"&amp;B172,$O$3:$P$16,2,FALSE)</f>
        <v>3600</v>
      </c>
      <c r="D172" s="21">
        <f>VLOOKUP(A172&amp;"|"&amp;B172,$Q$3:$R$16,2,FALSE)</f>
        <v>46400</v>
      </c>
      <c r="E172" s="2"/>
      <c r="F172" s="20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0"/>
      <c r="B173" s="21"/>
      <c r="C173" s="21"/>
      <c r="D173" s="21"/>
      <c r="E173" s="2"/>
      <c r="F173" s="20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0"/>
      <c r="B174" s="21"/>
      <c r="C174" s="21"/>
      <c r="D174" s="21"/>
      <c r="E174" s="2"/>
      <c r="F174" s="20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36" t="s">
        <v>16</v>
      </c>
      <c r="B175" s="21"/>
      <c r="C175" s="21"/>
      <c r="D175" s="21">
        <f>SUM(D170:D174)</f>
        <v>134050</v>
      </c>
      <c r="E175" s="2"/>
      <c r="F175" s="36" t="s">
        <v>16</v>
      </c>
      <c r="G175" s="37"/>
      <c r="H175" s="38"/>
      <c r="I175" s="21">
        <f>SUM(I170:I174)</f>
        <v>24250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25" thickTop="1" thickBot="1">
      <c r="A176" s="31"/>
      <c r="B176" s="2"/>
      <c r="C176" s="2"/>
      <c r="D176" s="2"/>
      <c r="E176" s="2"/>
      <c r="F176" s="31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0" t="s">
        <v>0</v>
      </c>
      <c r="B177" s="21" t="s">
        <v>86</v>
      </c>
      <c r="C177" s="21" t="s">
        <v>62</v>
      </c>
      <c r="D177" s="9">
        <v>46054</v>
      </c>
      <c r="E177" s="2"/>
      <c r="F177" s="20" t="s">
        <v>0</v>
      </c>
      <c r="G177" s="21" t="s">
        <v>87</v>
      </c>
      <c r="H177" s="21" t="s">
        <v>76</v>
      </c>
      <c r="I177" s="9">
        <v>46054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0" t="s">
        <v>6</v>
      </c>
      <c r="B178" s="21" t="s">
        <v>7</v>
      </c>
      <c r="C178" s="21" t="s">
        <v>8</v>
      </c>
      <c r="D178" s="21" t="s">
        <v>9</v>
      </c>
      <c r="E178" s="2"/>
      <c r="F178" s="20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31">
        <v>10</v>
      </c>
      <c r="B179" s="21">
        <v>2000000</v>
      </c>
      <c r="C179" s="21">
        <f>VLOOKUP(A179&amp;"|"&amp;B179,$O$3:$P$16,2,FALSE)</f>
        <v>6750</v>
      </c>
      <c r="D179" s="21">
        <f>VLOOKUP(A179&amp;"|"&amp;B179,$Q$3:$R$16,2,FALSE)</f>
        <v>93250</v>
      </c>
      <c r="E179" s="2"/>
      <c r="F179" s="26">
        <v>1.1000000000000001</v>
      </c>
      <c r="G179" s="21">
        <v>1000000</v>
      </c>
      <c r="H179" s="21">
        <f>VLOOKUP(F179&amp;"|"&amp;G179,$O$3:$P$16,2,FALSE)</f>
        <v>8750</v>
      </c>
      <c r="I179" s="21">
        <f>VLOOKUP(F179&amp;"|"&amp;G179,$Q$3:$R$16,2,FALSE)</f>
        <v>41250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31">
        <v>18</v>
      </c>
      <c r="B180" s="21">
        <v>500000</v>
      </c>
      <c r="C180" s="21">
        <f>VLOOKUP(A180&amp;"|"&amp;B180,$O$3:$P$16,2,FALSE)</f>
        <v>200</v>
      </c>
      <c r="D180" s="21">
        <f>VLOOKUP(A180&amp;"|"&amp;B180,$Q$3:$R$16,2,FALSE)</f>
        <v>24800</v>
      </c>
      <c r="E180" s="2"/>
      <c r="F180" s="20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0"/>
      <c r="B181" s="21"/>
      <c r="C181" s="21"/>
      <c r="D181" s="21"/>
      <c r="E181" s="2"/>
      <c r="F181" s="20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0"/>
      <c r="B182" s="21"/>
      <c r="C182" s="21"/>
      <c r="D182" s="21"/>
      <c r="E182" s="2"/>
      <c r="F182" s="20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0"/>
      <c r="B183" s="21"/>
      <c r="C183" s="21"/>
      <c r="D183" s="21"/>
      <c r="E183" s="2"/>
      <c r="F183" s="20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36" t="s">
        <v>16</v>
      </c>
      <c r="B184" s="21"/>
      <c r="C184" s="21"/>
      <c r="D184" s="21">
        <f>SUM(D179:D183)</f>
        <v>118050</v>
      </c>
      <c r="E184" s="2"/>
      <c r="F184" s="36" t="s">
        <v>16</v>
      </c>
      <c r="G184" s="37"/>
      <c r="H184" s="38"/>
      <c r="I184" s="21">
        <f>SUM(I179:I183)</f>
        <v>41250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25" thickTop="1" thickBot="1">
      <c r="A185" s="31" t="s">
        <v>182</v>
      </c>
      <c r="B185" s="2"/>
      <c r="C185" s="2"/>
      <c r="D185" s="2"/>
      <c r="E185" s="2"/>
      <c r="F185" s="31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1" t="s">
        <v>3</v>
      </c>
      <c r="B186" s="12" t="s">
        <v>88</v>
      </c>
      <c r="C186" s="12" t="s">
        <v>76</v>
      </c>
      <c r="D186" s="9">
        <v>46054</v>
      </c>
      <c r="E186" s="2"/>
      <c r="F186" s="20" t="s">
        <v>0</v>
      </c>
      <c r="G186" s="21" t="s">
        <v>188</v>
      </c>
      <c r="H186" s="21" t="s">
        <v>189</v>
      </c>
      <c r="I186" s="9">
        <v>46054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0" t="s">
        <v>91</v>
      </c>
      <c r="B187" s="21" t="s">
        <v>92</v>
      </c>
      <c r="C187" s="21" t="s">
        <v>93</v>
      </c>
      <c r="D187" s="21" t="s">
        <v>9</v>
      </c>
      <c r="E187" s="2"/>
      <c r="F187" s="20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31">
        <v>5</v>
      </c>
      <c r="B188" s="21">
        <v>1000000</v>
      </c>
      <c r="C188" s="21">
        <f>VLOOKUP(A188&amp;"|"&amp;B188,$O$3:$P$17,2,FALSE)</f>
        <v>7500</v>
      </c>
      <c r="D188" s="21">
        <f>VLOOKUP(A188&amp;"|"&amp;B188,$Q$3:$R$17,2,FALSE)</f>
        <v>42500</v>
      </c>
      <c r="E188" s="2"/>
      <c r="F188" s="26">
        <v>1</v>
      </c>
      <c r="G188" s="21">
        <v>1000000</v>
      </c>
      <c r="H188" s="21">
        <f>VLOOKUP(F188&amp;"|"&amp;G188,$O$3:$P$16,2,FALSE)</f>
        <v>8600</v>
      </c>
      <c r="I188" s="21">
        <f>VLOOKUP(F188&amp;"|"&amp;G188,$Q$3:$R$16,2,FALSE)</f>
        <v>41400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31">
        <v>1.1000000000000001</v>
      </c>
      <c r="B189" s="21">
        <v>1000000</v>
      </c>
      <c r="C189" s="21">
        <f>VLOOKUP(A189&amp;"|"&amp;B189,$O$3:$P$17,2,FALSE)</f>
        <v>8750</v>
      </c>
      <c r="D189" s="21">
        <f>VLOOKUP(A189&amp;"|"&amp;B189,$Q$3:$R$17,2,FALSE)</f>
        <v>41250</v>
      </c>
      <c r="E189" s="2"/>
      <c r="F189" s="20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31"/>
      <c r="B190" s="21"/>
      <c r="C190" s="21"/>
      <c r="D190" s="21"/>
      <c r="E190" s="2"/>
      <c r="F190" s="20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0"/>
      <c r="B191" s="21"/>
      <c r="C191" s="21"/>
      <c r="D191" s="21"/>
      <c r="E191" s="2"/>
      <c r="F191" s="20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0"/>
      <c r="B192" s="21"/>
      <c r="C192" s="21"/>
      <c r="D192" s="21"/>
      <c r="E192" s="2"/>
      <c r="F192" s="20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36" t="s">
        <v>16</v>
      </c>
      <c r="B193" s="21"/>
      <c r="C193" s="21"/>
      <c r="D193" s="21">
        <f>SUM(D188:D192)</f>
        <v>83750</v>
      </c>
      <c r="E193" s="2"/>
      <c r="F193" s="36" t="s">
        <v>16</v>
      </c>
      <c r="G193" s="37"/>
      <c r="H193" s="38"/>
      <c r="I193" s="21">
        <f>SUM(I188:I192)</f>
        <v>41400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25" thickTop="1" thickBot="1">
      <c r="A194" s="31"/>
      <c r="B194" s="2"/>
      <c r="C194" s="2"/>
      <c r="D194" s="2"/>
      <c r="E194" s="2"/>
      <c r="F194" s="31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0" t="s">
        <v>0</v>
      </c>
      <c r="B195" s="21" t="s">
        <v>94</v>
      </c>
      <c r="C195" s="21" t="s">
        <v>24</v>
      </c>
      <c r="D195" s="9">
        <v>46054</v>
      </c>
      <c r="E195" s="2"/>
      <c r="F195" s="20" t="s">
        <v>0</v>
      </c>
      <c r="G195" s="21" t="s">
        <v>95</v>
      </c>
      <c r="H195" s="21" t="s">
        <v>96</v>
      </c>
      <c r="I195" s="9">
        <v>46054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0" t="s">
        <v>6</v>
      </c>
      <c r="B196" s="21" t="s">
        <v>7</v>
      </c>
      <c r="C196" s="21" t="s">
        <v>8</v>
      </c>
      <c r="D196" s="21" t="s">
        <v>9</v>
      </c>
      <c r="E196" s="2"/>
      <c r="F196" s="20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31">
        <v>1.1000000000000001</v>
      </c>
      <c r="B197" s="21">
        <v>1000000</v>
      </c>
      <c r="C197" s="21">
        <f>VLOOKUP(A197&amp;"|"&amp;B197,$O$3:$P$16,2,FALSE)</f>
        <v>8750</v>
      </c>
      <c r="D197" s="21">
        <f>VLOOKUP(A197&amp;"|"&amp;B197,$Q$3:$R$16,2,FALSE)</f>
        <v>41250</v>
      </c>
      <c r="E197" s="2"/>
      <c r="F197" s="26">
        <v>1</v>
      </c>
      <c r="G197" s="21">
        <v>1000000</v>
      </c>
      <c r="H197" s="21">
        <f>VLOOKUP(F197&amp;"|"&amp;G197,$O$3:$P$16,2,FALSE)</f>
        <v>8600</v>
      </c>
      <c r="I197" s="21">
        <f>VLOOKUP(F197&amp;"|"&amp;G197,$Q$3:$R$16,2,FALSE)</f>
        <v>41400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31">
        <v>10</v>
      </c>
      <c r="B198" s="21">
        <v>1000000</v>
      </c>
      <c r="C198" s="21">
        <f>VLOOKUP(A198&amp;"|"&amp;B198,$O$3:$P$16,2,FALSE)</f>
        <v>3600</v>
      </c>
      <c r="D198" s="21">
        <f>VLOOKUP(A198&amp;"|"&amp;B198,$Q$3:$R$16,2,FALSE)</f>
        <v>46400</v>
      </c>
      <c r="E198" s="2"/>
      <c r="F198" s="20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0"/>
      <c r="B199" s="21"/>
      <c r="C199" s="21"/>
      <c r="D199" s="21"/>
      <c r="E199" s="2"/>
      <c r="F199" s="20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0"/>
      <c r="B200" s="21"/>
      <c r="C200" s="21"/>
      <c r="D200" s="21"/>
      <c r="E200" s="2"/>
      <c r="F200" s="20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0"/>
      <c r="B201" s="21"/>
      <c r="C201" s="21"/>
      <c r="D201" s="21"/>
      <c r="E201" s="2"/>
      <c r="F201" s="20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36" t="s">
        <v>16</v>
      </c>
      <c r="B202" s="21"/>
      <c r="C202" s="21"/>
      <c r="D202" s="21">
        <f>SUM(D197:D201)</f>
        <v>87650</v>
      </c>
      <c r="E202" s="2"/>
      <c r="F202" s="36" t="s">
        <v>16</v>
      </c>
      <c r="G202" s="37"/>
      <c r="H202" s="38"/>
      <c r="I202" s="21">
        <f>SUM(I197:I201)</f>
        <v>41400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25" thickTop="1" thickBot="1">
      <c r="A203" s="31"/>
      <c r="B203" s="2"/>
      <c r="C203" s="2"/>
      <c r="D203" s="2"/>
      <c r="E203" s="2"/>
      <c r="F203" s="31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1" t="s">
        <v>3</v>
      </c>
      <c r="B204" s="12" t="s">
        <v>97</v>
      </c>
      <c r="C204" s="12" t="s">
        <v>98</v>
      </c>
      <c r="D204" s="9">
        <v>46054</v>
      </c>
      <c r="F204" s="11" t="s">
        <v>3</v>
      </c>
      <c r="G204" s="12" t="s">
        <v>99</v>
      </c>
      <c r="H204" s="12" t="s">
        <v>100</v>
      </c>
      <c r="I204" s="9">
        <v>46054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0" t="s">
        <v>6</v>
      </c>
      <c r="B205" s="21" t="s">
        <v>7</v>
      </c>
      <c r="C205" s="21" t="s">
        <v>8</v>
      </c>
      <c r="D205" s="21" t="s">
        <v>9</v>
      </c>
      <c r="F205" s="20" t="s">
        <v>6</v>
      </c>
      <c r="G205" s="21" t="s">
        <v>92</v>
      </c>
      <c r="H205" s="21" t="s">
        <v>8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31">
        <v>1</v>
      </c>
      <c r="B206" s="21">
        <v>1000000</v>
      </c>
      <c r="C206" s="21">
        <f>VLOOKUP(A206&amp;"|"&amp;B206,$O$3:$P$18,2,FALSE)</f>
        <v>8600</v>
      </c>
      <c r="D206" s="21">
        <f>VLOOKUP(A206&amp;"|"&amp;B206,$Q$3:$R$17,2,FALSE)</f>
        <v>41400</v>
      </c>
      <c r="F206" s="26">
        <v>5.0999999999999996</v>
      </c>
      <c r="G206" s="21">
        <v>1000000</v>
      </c>
      <c r="H206" s="21">
        <f>VLOOKUP(F206&amp;"|"&amp;G206,$O$3:$P$17,2,FALSE)</f>
        <v>7400</v>
      </c>
      <c r="I206" s="21">
        <f>VLOOKUP(F206&amp;"|"&amp;G206,$Q$3:$R$17,2,FALSE)</f>
        <v>42600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31">
        <v>1.1000000000000001</v>
      </c>
      <c r="B207" s="21">
        <v>1000000</v>
      </c>
      <c r="C207" s="21">
        <f>VLOOKUP(A207&amp;"|"&amp;B207,$O$3:$P$17,2,FALSE)</f>
        <v>8750</v>
      </c>
      <c r="D207" s="21">
        <f>VLOOKUP(A207&amp;"|"&amp;B207,$Q$3:$R$17,2,FALSE)</f>
        <v>41250</v>
      </c>
      <c r="F207" s="26">
        <v>10</v>
      </c>
      <c r="G207" s="21">
        <v>1000000</v>
      </c>
      <c r="H207" s="21">
        <f>VLOOKUP(F207&amp;"|"&amp;G207,$O$3:$P$17,2,FALSE)</f>
        <v>3600</v>
      </c>
      <c r="I207" s="21">
        <f>VLOOKUP(F207&amp;"|"&amp;G207,$Q$3:$R$17,2,FALSE)</f>
        <v>46400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0"/>
      <c r="B208" s="21"/>
      <c r="C208" s="21"/>
      <c r="D208" s="21"/>
      <c r="E208" s="2"/>
      <c r="F208" s="20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0"/>
      <c r="B209" s="21"/>
      <c r="C209" s="21"/>
      <c r="D209" s="21"/>
      <c r="E209" s="2"/>
      <c r="F209" s="20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0"/>
      <c r="B210" s="21"/>
      <c r="C210" s="21"/>
      <c r="D210" s="21"/>
      <c r="E210" s="2"/>
      <c r="F210" s="20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36" t="s">
        <v>16</v>
      </c>
      <c r="B211" s="21"/>
      <c r="C211" s="21"/>
      <c r="D211" s="21">
        <f>SUM(D206:D210)</f>
        <v>82650</v>
      </c>
      <c r="E211" s="2"/>
      <c r="F211" s="36" t="s">
        <v>16</v>
      </c>
      <c r="G211" s="37"/>
      <c r="H211" s="38"/>
      <c r="I211" s="21">
        <f>SUM(I206:I210)</f>
        <v>89000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25" thickTop="1" thickBot="1">
      <c r="A212" s="31"/>
      <c r="B212" s="2"/>
      <c r="C212" s="2"/>
      <c r="D212" s="2"/>
      <c r="E212" s="2"/>
      <c r="F212" s="31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0" t="s">
        <v>0</v>
      </c>
      <c r="B213" s="21" t="s">
        <v>107</v>
      </c>
      <c r="C213" s="21" t="s">
        <v>190</v>
      </c>
      <c r="D213" s="9">
        <v>46054</v>
      </c>
      <c r="E213" s="2"/>
      <c r="F213" s="20" t="s">
        <v>0</v>
      </c>
      <c r="G213" s="21" t="s">
        <v>35</v>
      </c>
      <c r="H213" s="21" t="s">
        <v>102</v>
      </c>
      <c r="I213" s="9">
        <v>46054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0" t="s">
        <v>6</v>
      </c>
      <c r="B214" s="21" t="s">
        <v>7</v>
      </c>
      <c r="C214" s="21" t="s">
        <v>8</v>
      </c>
      <c r="D214" s="21" t="s">
        <v>9</v>
      </c>
      <c r="E214" s="2"/>
      <c r="F214" s="20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31">
        <v>1</v>
      </c>
      <c r="B215" s="21">
        <v>1000000</v>
      </c>
      <c r="C215" s="21">
        <f>VLOOKUP(A215&amp;"|"&amp;B215,$O$3:$P$16,2,FALSE)</f>
        <v>8600</v>
      </c>
      <c r="D215" s="21">
        <f>VLOOKUP(A215&amp;"|"&amp;B215,$Q$3:$R$16,2,FALSE)</f>
        <v>41400</v>
      </c>
      <c r="E215" s="2"/>
      <c r="F215" s="26">
        <v>5</v>
      </c>
      <c r="G215" s="21">
        <v>500000</v>
      </c>
      <c r="H215" s="21">
        <f>VLOOKUP(F215&amp;"|"&amp;G215,$O$3:$P$16,2,FALSE)</f>
        <v>3200</v>
      </c>
      <c r="I215" s="21">
        <f>VLOOKUP(F215&amp;"|"&amp;G215,$Q$3:$R$16,2,FALSE)</f>
        <v>21800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0"/>
      <c r="B216" s="21"/>
      <c r="C216" s="21"/>
      <c r="D216" s="21"/>
      <c r="E216" s="2"/>
      <c r="F216" s="26">
        <v>18</v>
      </c>
      <c r="G216" s="21">
        <v>500000</v>
      </c>
      <c r="H216" s="21">
        <f>VLOOKUP(F216&amp;"|"&amp;G216,$O$3:$P$16,2,FALSE)</f>
        <v>200</v>
      </c>
      <c r="I216" s="21">
        <f>VLOOKUP(F216&amp;"|"&amp;G216,$Q$3:$R$16,2,FALSE)</f>
        <v>24800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0"/>
      <c r="B217" s="21"/>
      <c r="C217" s="21"/>
      <c r="D217" s="21"/>
      <c r="E217" s="2"/>
      <c r="F217" s="20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0"/>
      <c r="B218" s="21"/>
      <c r="C218" s="21"/>
      <c r="D218" s="21"/>
      <c r="E218" s="2"/>
      <c r="F218" s="20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0"/>
      <c r="B219" s="21"/>
      <c r="C219" s="21"/>
      <c r="D219" s="21"/>
      <c r="E219" s="2"/>
      <c r="F219" s="20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36" t="s">
        <v>16</v>
      </c>
      <c r="B220" s="21"/>
      <c r="C220" s="21"/>
      <c r="D220" s="21">
        <f>SUM(D215:D219)</f>
        <v>41400</v>
      </c>
      <c r="E220" s="2"/>
      <c r="F220" s="36" t="s">
        <v>16</v>
      </c>
      <c r="G220" s="37"/>
      <c r="H220" s="38"/>
      <c r="I220" s="21">
        <f>SUM(I215:I219)</f>
        <v>46600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25" thickTop="1" thickBot="1">
      <c r="A221" s="31"/>
      <c r="B221" s="2"/>
      <c r="C221" s="2"/>
      <c r="D221" s="2"/>
      <c r="E221" s="2"/>
      <c r="F221" s="31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0" t="s">
        <v>0</v>
      </c>
      <c r="B222" s="21" t="s">
        <v>88</v>
      </c>
      <c r="C222" s="21" t="s">
        <v>24</v>
      </c>
      <c r="D222" s="9">
        <v>46054</v>
      </c>
      <c r="E222" s="2"/>
      <c r="F222" s="20" t="s">
        <v>0</v>
      </c>
      <c r="G222" s="21" t="s">
        <v>103</v>
      </c>
      <c r="H222" s="21" t="s">
        <v>104</v>
      </c>
      <c r="I222" s="9">
        <v>46054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0" t="s">
        <v>6</v>
      </c>
      <c r="B223" s="21" t="s">
        <v>7</v>
      </c>
      <c r="C223" s="21" t="s">
        <v>8</v>
      </c>
      <c r="D223" s="21" t="s">
        <v>9</v>
      </c>
      <c r="E223" s="2"/>
      <c r="F223" s="20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31">
        <v>15</v>
      </c>
      <c r="B224" s="21">
        <v>500000</v>
      </c>
      <c r="C224" s="21">
        <f>VLOOKUP(A224&amp;"|"&amp;B224,$O$3:$P$16,2,FALSE)</f>
        <v>750</v>
      </c>
      <c r="D224" s="21">
        <f>VLOOKUP(A224&amp;"|"&amp;B224,$Q$3:$R$16,2,FALSE)</f>
        <v>24250</v>
      </c>
      <c r="E224" s="2"/>
      <c r="F224" s="57">
        <v>15</v>
      </c>
      <c r="G224" s="21">
        <v>500000</v>
      </c>
      <c r="H224" s="21">
        <f>VLOOKUP(F224&amp;"|"&amp;G224,$O$3:$P$16,2,FALSE)</f>
        <v>750</v>
      </c>
      <c r="I224" s="21">
        <f>VLOOKUP(F224&amp;"|"&amp;G224,$Q$3:$R$16,2,FALSE)</f>
        <v>24250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0"/>
      <c r="B225" s="21"/>
      <c r="C225" s="21"/>
      <c r="D225" s="21"/>
      <c r="E225" s="2"/>
      <c r="F225" s="20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0"/>
      <c r="B226" s="21"/>
      <c r="C226" s="21"/>
      <c r="D226" s="21"/>
      <c r="E226" s="2"/>
      <c r="F226" s="20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0"/>
      <c r="B227" s="21"/>
      <c r="C227" s="21"/>
      <c r="D227" s="21"/>
      <c r="E227" s="2"/>
      <c r="F227" s="20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0"/>
      <c r="B228" s="21"/>
      <c r="C228" s="21"/>
      <c r="D228" s="21"/>
      <c r="E228" s="2"/>
      <c r="F228" s="20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36" t="s">
        <v>16</v>
      </c>
      <c r="B229" s="21"/>
      <c r="C229" s="21"/>
      <c r="D229" s="21">
        <f>SUM(D224:D228)</f>
        <v>24250</v>
      </c>
      <c r="E229" s="2"/>
      <c r="F229" s="36" t="s">
        <v>16</v>
      </c>
      <c r="G229" s="37"/>
      <c r="H229" s="38"/>
      <c r="I229" s="21">
        <f>SUM(I224:I228)</f>
        <v>24250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25" thickTop="1" thickBot="1">
      <c r="A230" s="31"/>
      <c r="B230" s="2"/>
      <c r="C230" s="2"/>
      <c r="D230" s="2"/>
      <c r="E230" s="2"/>
      <c r="F230" s="31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0" t="s">
        <v>0</v>
      </c>
      <c r="B231" s="21" t="s">
        <v>71</v>
      </c>
      <c r="C231" s="21" t="s">
        <v>105</v>
      </c>
      <c r="D231" s="9">
        <v>46054</v>
      </c>
      <c r="E231" s="2"/>
      <c r="F231" s="20" t="s">
        <v>0</v>
      </c>
      <c r="G231" s="21" t="s">
        <v>106</v>
      </c>
      <c r="H231" s="21" t="s">
        <v>81</v>
      </c>
      <c r="I231" s="9">
        <v>46054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0" t="s">
        <v>6</v>
      </c>
      <c r="B232" s="21" t="s">
        <v>7</v>
      </c>
      <c r="C232" s="21" t="s">
        <v>8</v>
      </c>
      <c r="D232" s="21" t="s">
        <v>9</v>
      </c>
      <c r="E232" s="2"/>
      <c r="F232" s="20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31">
        <v>10</v>
      </c>
      <c r="B233" s="21">
        <v>500000</v>
      </c>
      <c r="C233" s="21">
        <f>VLOOKUP(A233&amp;"|"&amp;B233,$O$3:$P$16,2,FALSE)</f>
        <v>1800</v>
      </c>
      <c r="D233" s="21">
        <f>VLOOKUP(A233&amp;"|"&amp;B233,$Q$3:$R$16,2,FALSE)</f>
        <v>23200</v>
      </c>
      <c r="E233" s="2"/>
      <c r="F233" s="57">
        <v>10</v>
      </c>
      <c r="G233" s="21">
        <v>2000000</v>
      </c>
      <c r="H233" s="21">
        <f>VLOOKUP(F233&amp;"|"&amp;G233,$O$3:$P$19,2,FALSE)</f>
        <v>6750</v>
      </c>
      <c r="I233" s="21">
        <f>VLOOKUP(F233&amp;"|"&amp;G233,$Q$3:$R$19,2,FALSE)</f>
        <v>93250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0"/>
      <c r="B234" s="21"/>
      <c r="C234" s="21"/>
      <c r="D234" s="21"/>
      <c r="E234" s="2"/>
      <c r="F234" s="20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0"/>
      <c r="B235" s="21"/>
      <c r="C235" s="21"/>
      <c r="D235" s="21"/>
      <c r="E235" s="2"/>
      <c r="F235" s="20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0"/>
      <c r="B236" s="21"/>
      <c r="C236" s="21"/>
      <c r="D236" s="21"/>
      <c r="E236" s="2"/>
      <c r="F236" s="20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0"/>
      <c r="B237" s="21"/>
      <c r="C237" s="21"/>
      <c r="D237" s="21"/>
      <c r="E237" s="2"/>
      <c r="F237" s="20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36" t="s">
        <v>16</v>
      </c>
      <c r="B238" s="21"/>
      <c r="C238" s="21"/>
      <c r="D238" s="21">
        <f>SUM(D233:D237)</f>
        <v>23200</v>
      </c>
      <c r="E238" s="2"/>
      <c r="F238" s="36" t="s">
        <v>16</v>
      </c>
      <c r="G238" s="37"/>
      <c r="H238" s="38"/>
      <c r="I238" s="21">
        <f>SUM(I233:I237)</f>
        <v>93250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25" thickTop="1" thickBot="1">
      <c r="A239" s="31"/>
      <c r="B239" s="2"/>
      <c r="C239" s="2"/>
      <c r="D239" s="2"/>
      <c r="E239" s="2"/>
      <c r="F239" s="31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0" t="s">
        <v>0</v>
      </c>
      <c r="B240" s="21" t="s">
        <v>35</v>
      </c>
      <c r="C240" s="21" t="s">
        <v>58</v>
      </c>
      <c r="D240" s="9">
        <v>46054</v>
      </c>
      <c r="E240" s="2"/>
      <c r="F240" s="20" t="s">
        <v>0</v>
      </c>
      <c r="G240" s="21" t="s">
        <v>107</v>
      </c>
      <c r="H240" s="21" t="s">
        <v>108</v>
      </c>
      <c r="I240" s="9">
        <v>46054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0" t="s">
        <v>6</v>
      </c>
      <c r="B241" s="21" t="s">
        <v>7</v>
      </c>
      <c r="C241" s="21" t="s">
        <v>8</v>
      </c>
      <c r="D241" s="21" t="s">
        <v>9</v>
      </c>
      <c r="E241" s="2"/>
      <c r="F241" s="20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31">
        <v>5</v>
      </c>
      <c r="B242" s="21">
        <v>500000</v>
      </c>
      <c r="C242" s="21">
        <f>VLOOKUP(A242&amp;"|"&amp;B242,$O$3:$P$19,2,FALSE)</f>
        <v>3200</v>
      </c>
      <c r="D242" s="21">
        <f>VLOOKUP(A242&amp;"|"&amp;B242,$Q$3:$R$19,2,FALSE)</f>
        <v>21800</v>
      </c>
      <c r="E242" s="2"/>
      <c r="F242" s="57">
        <v>5</v>
      </c>
      <c r="G242" s="21">
        <v>1000000</v>
      </c>
      <c r="H242" s="21">
        <f>VLOOKUP(F242&amp;"|"&amp;G242,$O$3:$P$16,2,FALSE)</f>
        <v>7500</v>
      </c>
      <c r="I242" s="21">
        <f>VLOOKUP(F242&amp;"|"&amp;G242,$Q$3:$R$16,2,FALSE)</f>
        <v>42500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31">
        <v>5</v>
      </c>
      <c r="B243" s="21">
        <v>500000</v>
      </c>
      <c r="C243" s="21">
        <f>VLOOKUP(A243&amp;"|"&amp;B243,$O$3:$P$19,2,FALSE)</f>
        <v>3200</v>
      </c>
      <c r="D243" s="21">
        <f>VLOOKUP(A243&amp;"|"&amp;B243,$Q$3:$R$19,2,FALSE)</f>
        <v>21800</v>
      </c>
      <c r="E243" s="2"/>
      <c r="F243" s="57">
        <v>10</v>
      </c>
      <c r="G243" s="21">
        <v>2000000</v>
      </c>
      <c r="H243" s="21">
        <f>VLOOKUP(F243&amp;"|"&amp;G243,$O$3:$P$16,2,FALSE)</f>
        <v>6750</v>
      </c>
      <c r="I243" s="21">
        <f>VLOOKUP(F243&amp;"|"&amp;G243,$Q$3:$R$16,2,FALSE)</f>
        <v>93250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0"/>
      <c r="B244" s="21"/>
      <c r="C244" s="21"/>
      <c r="D244" s="21"/>
      <c r="E244" s="2"/>
      <c r="F244" s="57">
        <v>18</v>
      </c>
      <c r="G244" s="21">
        <v>500000</v>
      </c>
      <c r="H244" s="21">
        <f>VLOOKUP(F244&amp;"|"&amp;G244,$O$3:$P$16,2,FALSE)</f>
        <v>200</v>
      </c>
      <c r="I244" s="21">
        <f>VLOOKUP(F244&amp;"|"&amp;G244,$Q$3:$R$16,2,FALSE)</f>
        <v>24800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0"/>
      <c r="B245" s="21"/>
      <c r="C245" s="21"/>
      <c r="D245" s="21"/>
      <c r="E245" s="2"/>
      <c r="F245" s="57">
        <v>18</v>
      </c>
      <c r="G245" s="21">
        <v>500000</v>
      </c>
      <c r="H245" s="21">
        <f>VLOOKUP(F245&amp;"|"&amp;G245,$O$3:$P$16,2,FALSE)</f>
        <v>200</v>
      </c>
      <c r="I245" s="21">
        <f>VLOOKUP(F245&amp;"|"&amp;G245,$Q$3:$R$16,2,FALSE)</f>
        <v>24800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0"/>
      <c r="B246" s="21"/>
      <c r="C246" s="21"/>
      <c r="D246" s="21"/>
      <c r="E246" s="2"/>
      <c r="F246" s="57">
        <v>5.0999999999999996</v>
      </c>
      <c r="G246" s="21">
        <v>1000000</v>
      </c>
      <c r="H246" s="21">
        <f>VLOOKUP(F246&amp;"|"&amp;G246,$O$3:$P$16,2,FALSE)</f>
        <v>7400</v>
      </c>
      <c r="I246" s="21">
        <f>VLOOKUP(F246&amp;"|"&amp;G246,$Q$3:$R$16,2,FALSE)</f>
        <v>42600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36" t="s">
        <v>16</v>
      </c>
      <c r="B247" s="21"/>
      <c r="C247" s="21"/>
      <c r="D247" s="21">
        <f>SUM(D242:D246)</f>
        <v>43600</v>
      </c>
      <c r="E247" s="2"/>
      <c r="F247" s="36" t="s">
        <v>16</v>
      </c>
      <c r="G247" s="37"/>
      <c r="H247" s="38"/>
      <c r="I247" s="21">
        <f>SUM(I242:I246)</f>
        <v>227950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25" thickTop="1" thickBot="1">
      <c r="A248" s="31"/>
      <c r="B248" s="2"/>
      <c r="C248" s="2"/>
      <c r="D248" s="2"/>
      <c r="E248" s="2"/>
      <c r="F248" s="31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0" t="s">
        <v>0</v>
      </c>
      <c r="B249" s="21" t="s">
        <v>109</v>
      </c>
      <c r="C249" s="21" t="s">
        <v>110</v>
      </c>
      <c r="D249" s="9">
        <v>46054</v>
      </c>
      <c r="E249" s="2"/>
      <c r="F249" s="20" t="s">
        <v>0</v>
      </c>
      <c r="G249" s="21" t="s">
        <v>187</v>
      </c>
      <c r="H249" s="21" t="s">
        <v>38</v>
      </c>
      <c r="I249" s="9">
        <v>46054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0" t="s">
        <v>6</v>
      </c>
      <c r="B250" s="21" t="s">
        <v>7</v>
      </c>
      <c r="C250" s="21" t="s">
        <v>8</v>
      </c>
      <c r="D250" s="21" t="s">
        <v>9</v>
      </c>
      <c r="E250" s="2"/>
      <c r="F250" s="20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31">
        <v>5</v>
      </c>
      <c r="B251" s="21">
        <v>1000000</v>
      </c>
      <c r="C251" s="21">
        <f>VLOOKUP(A251&amp;"|"&amp;B251,$O$3:$P$16,2,FALSE)</f>
        <v>7500</v>
      </c>
      <c r="D251" s="21">
        <f>VLOOKUP(A251&amp;"|"&amp;B251,$Q$3:$R$16,2,FALSE)</f>
        <v>42500</v>
      </c>
      <c r="E251" s="2"/>
      <c r="F251" s="57">
        <v>15</v>
      </c>
      <c r="G251" s="21">
        <v>500000</v>
      </c>
      <c r="H251" s="21">
        <f>VLOOKUP(F251&amp;"|"&amp;G251,$O$3:$P$16,2,FALSE)</f>
        <v>750</v>
      </c>
      <c r="I251" s="21">
        <f>VLOOKUP(F251&amp;"|"&amp;G251,$Q$3:$R$16,2,FALSE)</f>
        <v>24250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31">
        <v>5.0999999999999996</v>
      </c>
      <c r="B252" s="21">
        <v>1000000</v>
      </c>
      <c r="C252" s="21">
        <f>VLOOKUP(A252&amp;"|"&amp;B252,$O$3:$P$16,2,FALSE)</f>
        <v>7400</v>
      </c>
      <c r="D252" s="21">
        <f>VLOOKUP(A252&amp;"|"&amp;B252,$Q$3:$R$16,2,FALSE)</f>
        <v>42600</v>
      </c>
      <c r="E252" s="2"/>
      <c r="F252" s="20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0"/>
      <c r="B253" s="21"/>
      <c r="C253" s="21"/>
      <c r="D253" s="21"/>
      <c r="E253" s="2"/>
      <c r="F253" s="20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0"/>
      <c r="B254" s="21"/>
      <c r="C254" s="21"/>
      <c r="D254" s="21"/>
      <c r="E254" s="2"/>
      <c r="F254" s="20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0"/>
      <c r="B255" s="21"/>
      <c r="C255" s="21"/>
      <c r="D255" s="21"/>
      <c r="E255" s="2"/>
      <c r="F255" s="20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36" t="s">
        <v>16</v>
      </c>
      <c r="B256" s="21"/>
      <c r="C256" s="21"/>
      <c r="D256" s="21">
        <f>SUM(D251:D255)</f>
        <v>85100</v>
      </c>
      <c r="E256" s="2"/>
      <c r="F256" s="36" t="s">
        <v>16</v>
      </c>
      <c r="G256" s="37"/>
      <c r="H256" s="38"/>
      <c r="I256" s="21">
        <f>SUM(I251:I255)</f>
        <v>24250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25" thickTop="1" thickBot="1">
      <c r="A257" s="31"/>
      <c r="B257" s="2"/>
      <c r="C257" s="2"/>
      <c r="D257" s="2"/>
      <c r="E257" s="2"/>
      <c r="F257" s="31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0" t="s">
        <v>0</v>
      </c>
      <c r="B258" s="21" t="s">
        <v>111</v>
      </c>
      <c r="C258" s="21" t="s">
        <v>18</v>
      </c>
      <c r="D258" s="9">
        <v>46054</v>
      </c>
      <c r="E258" s="2"/>
      <c r="F258" s="20" t="s">
        <v>0</v>
      </c>
      <c r="G258" s="21" t="s">
        <v>112</v>
      </c>
      <c r="H258" s="21" t="s">
        <v>113</v>
      </c>
      <c r="I258" s="9">
        <v>46054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0" t="s">
        <v>6</v>
      </c>
      <c r="B259" s="21" t="s">
        <v>7</v>
      </c>
      <c r="C259" s="21" t="s">
        <v>8</v>
      </c>
      <c r="D259" s="21" t="s">
        <v>9</v>
      </c>
      <c r="E259" s="2"/>
      <c r="F259" s="20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31">
        <v>1</v>
      </c>
      <c r="B260" s="21">
        <v>1000000</v>
      </c>
      <c r="C260" s="21">
        <f>VLOOKUP(A260&amp;"|"&amp;B260,$O$3:$P$18,2,FALSE)</f>
        <v>8600</v>
      </c>
      <c r="D260" s="21">
        <f>VLOOKUP(A260&amp;"|"&amp;B260,$Q$3:$R$18,2,FALSE)</f>
        <v>41400</v>
      </c>
      <c r="E260" s="2"/>
      <c r="F260" s="57">
        <v>5</v>
      </c>
      <c r="G260" s="21">
        <v>500000</v>
      </c>
      <c r="H260" s="21">
        <f>VLOOKUP(F260&amp;"|"&amp;G260,$O$3:$P$16,2,FALSE)</f>
        <v>3200</v>
      </c>
      <c r="I260" s="21">
        <f>VLOOKUP(F260&amp;"|"&amp;G260,$Q$3:$R$16,2,FALSE)</f>
        <v>21800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31">
        <v>10</v>
      </c>
      <c r="B261" s="21">
        <v>1000000</v>
      </c>
      <c r="C261" s="21">
        <f>VLOOKUP(A261&amp;"|"&amp;B261,$O$3:$P$18,2,FALSE)</f>
        <v>3600</v>
      </c>
      <c r="D261" s="21">
        <f>VLOOKUP(A261&amp;"|"&amp;B261,$Q$3:$R$18,2,FALSE)</f>
        <v>46400</v>
      </c>
      <c r="E261" s="2"/>
      <c r="F261" s="57">
        <v>5</v>
      </c>
      <c r="G261" s="21">
        <v>500000</v>
      </c>
      <c r="H261" s="21">
        <f>VLOOKUP(F261&amp;"|"&amp;G261,$O$3:$P$16,2,FALSE)</f>
        <v>3200</v>
      </c>
      <c r="I261" s="21">
        <f>VLOOKUP(F261&amp;"|"&amp;G261,$Q$3:$R$16,2,FALSE)</f>
        <v>21800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0"/>
      <c r="B262" s="21"/>
      <c r="C262" s="21"/>
      <c r="D262" s="21"/>
      <c r="E262" s="2"/>
      <c r="F262" s="20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0"/>
      <c r="B263" s="21"/>
      <c r="C263" s="21"/>
      <c r="D263" s="21"/>
      <c r="E263" s="2"/>
      <c r="F263" s="20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0"/>
      <c r="B264" s="21"/>
      <c r="C264" s="21"/>
      <c r="D264" s="21"/>
      <c r="E264" s="2"/>
      <c r="F264" s="20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36" t="s">
        <v>16</v>
      </c>
      <c r="B265" s="21"/>
      <c r="C265" s="21"/>
      <c r="D265" s="21">
        <f>SUM(D260:D264)</f>
        <v>87800</v>
      </c>
      <c r="E265" s="2"/>
      <c r="F265" s="36" t="s">
        <v>16</v>
      </c>
      <c r="G265" s="37"/>
      <c r="H265" s="38"/>
      <c r="I265" s="21">
        <f>SUM(I260:I264)</f>
        <v>43600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25" thickTop="1" thickBot="1">
      <c r="A266" s="31"/>
      <c r="B266" s="2"/>
      <c r="C266" s="2"/>
      <c r="D266" s="2"/>
      <c r="E266" s="2"/>
      <c r="F266" s="31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0" t="s">
        <v>0</v>
      </c>
      <c r="B267" s="21" t="s">
        <v>114</v>
      </c>
      <c r="C267" s="21" t="s">
        <v>24</v>
      </c>
      <c r="D267" s="9">
        <v>46054</v>
      </c>
      <c r="E267" s="2"/>
      <c r="F267" s="20" t="s">
        <v>0</v>
      </c>
      <c r="G267" s="21" t="s">
        <v>21</v>
      </c>
      <c r="H267" s="21" t="s">
        <v>43</v>
      </c>
      <c r="I267" s="9">
        <v>46054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0" t="s">
        <v>6</v>
      </c>
      <c r="B268" s="21" t="s">
        <v>7</v>
      </c>
      <c r="C268" s="21" t="s">
        <v>8</v>
      </c>
      <c r="D268" s="21" t="s">
        <v>9</v>
      </c>
      <c r="E268" s="2"/>
      <c r="F268" s="20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31">
        <v>10</v>
      </c>
      <c r="B269" s="21">
        <v>500000</v>
      </c>
      <c r="C269" s="21">
        <f>VLOOKUP(A269&amp;"|"&amp;B269,$O$3:$P$17,2,FALSE)</f>
        <v>1800</v>
      </c>
      <c r="D269" s="21">
        <f>VLOOKUP(A269&amp;"|"&amp;B269,$Q$3:$R$16,2,FALSE)</f>
        <v>23200</v>
      </c>
      <c r="E269" s="2"/>
      <c r="F269" s="57">
        <v>10</v>
      </c>
      <c r="G269" s="21">
        <v>500000</v>
      </c>
      <c r="H269" s="21">
        <f>VLOOKUP(F269&amp;"|"&amp;G269,$O$3:$P$16,2,FALSE)</f>
        <v>1800</v>
      </c>
      <c r="I269" s="21">
        <f>VLOOKUP(F269&amp;"|"&amp;G269,$Q$3:$R$16,2,FALSE)</f>
        <v>23200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0"/>
      <c r="B270" s="21"/>
      <c r="C270" s="21"/>
      <c r="D270" s="21"/>
      <c r="E270" s="2"/>
      <c r="F270" s="20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0"/>
      <c r="B271" s="21"/>
      <c r="C271" s="21"/>
      <c r="D271" s="21"/>
      <c r="E271" s="2"/>
      <c r="F271" s="20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0"/>
      <c r="B272" s="21"/>
      <c r="C272" s="21"/>
      <c r="D272" s="21"/>
      <c r="E272" s="2"/>
      <c r="F272" s="20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0"/>
      <c r="B273" s="21"/>
      <c r="C273" s="21"/>
      <c r="D273" s="21"/>
      <c r="E273" s="2"/>
      <c r="F273" s="20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36" t="s">
        <v>16</v>
      </c>
      <c r="B274" s="21"/>
      <c r="C274" s="21"/>
      <c r="D274" s="21">
        <f>SUM(D269:D273)</f>
        <v>23200</v>
      </c>
      <c r="E274" s="2"/>
      <c r="F274" s="36" t="s">
        <v>16</v>
      </c>
      <c r="G274" s="37"/>
      <c r="H274" s="38"/>
      <c r="I274" s="21">
        <f>SUM(I269:I273)</f>
        <v>23200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25" thickTop="1" thickBot="1">
      <c r="A275" s="31"/>
      <c r="B275" s="2"/>
      <c r="C275" s="2"/>
      <c r="D275" s="2"/>
      <c r="E275" s="2"/>
      <c r="F275" s="31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0" t="s">
        <v>0</v>
      </c>
      <c r="B276" s="21" t="s">
        <v>115</v>
      </c>
      <c r="C276" s="21" t="s">
        <v>28</v>
      </c>
      <c r="D276" s="9">
        <v>46054</v>
      </c>
      <c r="E276" s="2"/>
      <c r="F276" s="20" t="s">
        <v>0</v>
      </c>
      <c r="G276" s="21" t="s">
        <v>61</v>
      </c>
      <c r="H276" s="21" t="s">
        <v>28</v>
      </c>
      <c r="I276" s="9">
        <v>46054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0" t="s">
        <v>6</v>
      </c>
      <c r="B277" s="21" t="s">
        <v>7</v>
      </c>
      <c r="C277" s="21" t="s">
        <v>8</v>
      </c>
      <c r="D277" s="21" t="s">
        <v>9</v>
      </c>
      <c r="E277" s="2"/>
      <c r="F277" s="20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31">
        <v>10</v>
      </c>
      <c r="B278" s="21">
        <v>1000000</v>
      </c>
      <c r="C278" s="21">
        <f>VLOOKUP(A278&amp;"|"&amp;B278,$O$3:$P$16,2,FALSE)</f>
        <v>3600</v>
      </c>
      <c r="D278" s="21">
        <f>VLOOKUP(A278&amp;"|"&amp;B278,$Q$3:$R$16,2,FALSE)</f>
        <v>46400</v>
      </c>
      <c r="E278" s="2"/>
      <c r="F278" s="57">
        <v>10</v>
      </c>
      <c r="G278" s="21">
        <v>1000000</v>
      </c>
      <c r="H278" s="21">
        <f>VLOOKUP(F278&amp;"|"&amp;G278,$O$3:$P$18,2,FALSE)</f>
        <v>3600</v>
      </c>
      <c r="I278" s="21">
        <f>VLOOKUP(F278&amp;"|"&amp;G278,$Q$3:$R$18,2,FALSE)</f>
        <v>46400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31">
        <v>5</v>
      </c>
      <c r="B279" s="21">
        <v>1000000</v>
      </c>
      <c r="C279" s="21">
        <f>VLOOKUP(A279&amp;"|"&amp;B279,$O$3:$P$16,2,FALSE)</f>
        <v>7500</v>
      </c>
      <c r="D279" s="21">
        <f>VLOOKUP(A279&amp;"|"&amp;B279,$Q$3:$R$16,2,FALSE)</f>
        <v>42500</v>
      </c>
      <c r="E279" s="2"/>
      <c r="F279" s="57">
        <v>5</v>
      </c>
      <c r="G279" s="21">
        <v>500000</v>
      </c>
      <c r="H279" s="21">
        <f>VLOOKUP(F279&amp;"|"&amp;G279,$O$3:$P$16,2,FALSE)</f>
        <v>3200</v>
      </c>
      <c r="I279" s="21">
        <f>VLOOKUP(F279&amp;"|"&amp;G279,$Q$3:$R$16,2,FALSE)</f>
        <v>21800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0"/>
      <c r="B280" s="21"/>
      <c r="C280" s="21"/>
      <c r="D280" s="21"/>
      <c r="E280" s="2"/>
      <c r="F280" s="57">
        <v>18</v>
      </c>
      <c r="G280" s="21">
        <v>500000</v>
      </c>
      <c r="H280" s="21">
        <f>VLOOKUP(F280&amp;"|"&amp;G280,$O$3:$P$16,2,FALSE)</f>
        <v>200</v>
      </c>
      <c r="I280" s="21">
        <f>VLOOKUP(F280&amp;"|"&amp;G280,$Q$3:$R$16,2,FALSE)</f>
        <v>24800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0"/>
      <c r="B281" s="21"/>
      <c r="C281" s="21"/>
      <c r="D281" s="21"/>
      <c r="E281" s="2"/>
      <c r="F281" s="57">
        <v>18</v>
      </c>
      <c r="G281" s="21">
        <v>500000</v>
      </c>
      <c r="H281" s="21">
        <f>VLOOKUP(F281&amp;"|"&amp;G281,$O$3:$P$16,2,FALSE)</f>
        <v>200</v>
      </c>
      <c r="I281" s="21">
        <f>VLOOKUP(F281&amp;"|"&amp;G281,$Q$3:$R$16,2,FALSE)</f>
        <v>24800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0"/>
      <c r="B282" s="21"/>
      <c r="C282" s="21"/>
      <c r="D282" s="21"/>
      <c r="E282" s="2"/>
      <c r="F282" s="57">
        <v>10</v>
      </c>
      <c r="G282" s="21">
        <v>1000000</v>
      </c>
      <c r="H282" s="21">
        <f>VLOOKUP(F282&amp;"|"&amp;G282,$O$3:$P$16,2,FALSE)</f>
        <v>3600</v>
      </c>
      <c r="I282" s="21">
        <f>VLOOKUP(F282&amp;"|"&amp;G282,$Q$3:$R$16,2,FALSE)</f>
        <v>46400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0"/>
      <c r="B283" s="21"/>
      <c r="C283" s="21"/>
      <c r="D283" s="21"/>
      <c r="E283" s="2"/>
      <c r="F283" s="57">
        <v>15</v>
      </c>
      <c r="G283" s="21">
        <v>500000</v>
      </c>
      <c r="H283" s="21">
        <f>VLOOKUP(F283&amp;"|"&amp;G283,$O$3:$P$16,2,FALSE)</f>
        <v>750</v>
      </c>
      <c r="I283" s="21">
        <f>VLOOKUP(F283&amp;"|"&amp;G283,$Q$3:$R$16,2,FALSE)</f>
        <v>24250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36" t="s">
        <v>16</v>
      </c>
      <c r="B284" s="21"/>
      <c r="C284" s="21"/>
      <c r="D284" s="21">
        <f>SUM(D278:D283)</f>
        <v>88900</v>
      </c>
      <c r="E284" s="2"/>
      <c r="F284" s="36" t="s">
        <v>16</v>
      </c>
      <c r="G284" s="37"/>
      <c r="H284" s="38"/>
      <c r="I284" s="21">
        <f>SUM(I278:I283)</f>
        <v>188450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43"/>
      <c r="B285" s="10"/>
      <c r="C285" s="10"/>
      <c r="D285" s="10"/>
      <c r="E285" s="2"/>
      <c r="F285" s="31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1" t="s">
        <v>0</v>
      </c>
      <c r="B286" s="12" t="s">
        <v>116</v>
      </c>
      <c r="C286" s="12" t="s">
        <v>34</v>
      </c>
      <c r="D286" s="9">
        <v>46054</v>
      </c>
      <c r="E286" s="2"/>
      <c r="F286" s="20" t="s">
        <v>0</v>
      </c>
      <c r="G286" s="21" t="s">
        <v>73</v>
      </c>
      <c r="H286" s="21" t="s">
        <v>76</v>
      </c>
      <c r="I286" s="9">
        <v>46054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0" t="s">
        <v>6</v>
      </c>
      <c r="B287" s="21" t="s">
        <v>7</v>
      </c>
      <c r="C287" s="21" t="s">
        <v>8</v>
      </c>
      <c r="D287" s="21" t="s">
        <v>9</v>
      </c>
      <c r="E287" s="2"/>
      <c r="F287" s="20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31">
        <v>10</v>
      </c>
      <c r="B288" s="21">
        <v>2000000</v>
      </c>
      <c r="C288" s="21">
        <f>VLOOKUP(A288&amp;"|"&amp;B288,$O$3:$P$17,2,FALSE)</f>
        <v>6750</v>
      </c>
      <c r="D288" s="21">
        <f>VLOOKUP(A288&amp;"|"&amp;B288,$Q$3:$R$17,2,FALSE)</f>
        <v>93250</v>
      </c>
      <c r="E288" s="2"/>
      <c r="F288" s="57">
        <v>10</v>
      </c>
      <c r="G288" s="21">
        <v>1000000</v>
      </c>
      <c r="H288" s="21">
        <f>VLOOKUP(F288&amp;"|"&amp;G288,$O$3:$P$16,2,FALSE)</f>
        <v>3600</v>
      </c>
      <c r="I288" s="21">
        <f>VLOOKUP(F288&amp;"|"&amp;G288,$Q$3:$R$16,2,FALSE)</f>
        <v>46400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31">
        <v>10</v>
      </c>
      <c r="B289" s="21">
        <v>500000</v>
      </c>
      <c r="C289" s="21">
        <f>VLOOKUP(A289&amp;"|"&amp;B289,$O$3:$P$17,2,FALSE)</f>
        <v>1800</v>
      </c>
      <c r="D289" s="21">
        <f>VLOOKUP(A289&amp;"|"&amp;B289,$Q$3:$R$17,2,FALSE)</f>
        <v>23200</v>
      </c>
      <c r="E289" s="2"/>
      <c r="F289" s="57">
        <v>15</v>
      </c>
      <c r="G289" s="21">
        <v>500000</v>
      </c>
      <c r="H289" s="21">
        <f>VLOOKUP(F289&amp;"|"&amp;G289,$O$3:$P$16,2,FALSE)</f>
        <v>750</v>
      </c>
      <c r="I289" s="21">
        <f>VLOOKUP(F289&amp;"|"&amp;G289,$Q$3:$R$16,2,FALSE)</f>
        <v>24250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0"/>
      <c r="B290" s="21"/>
      <c r="C290" s="21"/>
      <c r="D290" s="21"/>
      <c r="E290" s="2"/>
      <c r="F290" s="57">
        <v>18</v>
      </c>
      <c r="G290" s="21">
        <v>500000</v>
      </c>
      <c r="H290" s="21">
        <f>VLOOKUP(F290&amp;"|"&amp;G290,$O$3:$P$16,2,FALSE)</f>
        <v>200</v>
      </c>
      <c r="I290" s="21">
        <f>VLOOKUP(F290&amp;"|"&amp;G290,$Q$3:$R$16,2,FALSE)</f>
        <v>24800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0"/>
      <c r="B291" s="21"/>
      <c r="C291" s="21"/>
      <c r="D291" s="21"/>
      <c r="E291" s="2"/>
      <c r="F291" s="57">
        <v>18</v>
      </c>
      <c r="G291" s="21">
        <v>500000</v>
      </c>
      <c r="H291" s="21">
        <f>VLOOKUP(F291&amp;"|"&amp;G291,$O$3:$P$16,2,FALSE)</f>
        <v>200</v>
      </c>
      <c r="I291" s="21">
        <f>VLOOKUP(F291&amp;"|"&amp;G291,$Q$3:$R$16,2,FALSE)</f>
        <v>24800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0"/>
      <c r="B292" s="21"/>
      <c r="C292" s="21"/>
      <c r="D292" s="21"/>
      <c r="E292" s="2"/>
      <c r="F292" s="20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36" t="s">
        <v>16</v>
      </c>
      <c r="B293" s="53"/>
      <c r="C293" s="54"/>
      <c r="D293" s="21">
        <f>SUM(D288:D292)</f>
        <v>116450</v>
      </c>
      <c r="E293" s="2"/>
      <c r="F293" s="36" t="s">
        <v>16</v>
      </c>
      <c r="G293" s="37"/>
      <c r="H293" s="38"/>
      <c r="I293" s="21">
        <f>SUM(I288:I292)</f>
        <v>120250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25" thickTop="1" thickBot="1">
      <c r="A294" s="31"/>
      <c r="B294" s="2"/>
      <c r="C294" s="2"/>
      <c r="D294" s="2"/>
      <c r="E294" s="2"/>
      <c r="F294" s="31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0" t="s">
        <v>0</v>
      </c>
      <c r="B295" s="21" t="s">
        <v>117</v>
      </c>
      <c r="C295" s="21" t="s">
        <v>24</v>
      </c>
      <c r="D295" s="9">
        <v>46054</v>
      </c>
      <c r="E295" s="2"/>
      <c r="F295" s="20" t="s">
        <v>0</v>
      </c>
      <c r="G295" s="21" t="s">
        <v>118</v>
      </c>
      <c r="H295" s="21" t="s">
        <v>119</v>
      </c>
      <c r="I295" s="9">
        <v>46054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0" t="s">
        <v>6</v>
      </c>
      <c r="B296" s="21" t="s">
        <v>7</v>
      </c>
      <c r="C296" s="21" t="s">
        <v>8</v>
      </c>
      <c r="D296" s="21" t="s">
        <v>9</v>
      </c>
      <c r="E296" s="2"/>
      <c r="F296" s="20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31">
        <v>10</v>
      </c>
      <c r="B297" s="21">
        <v>2000000</v>
      </c>
      <c r="C297" s="21">
        <f>VLOOKUP(A297&amp;"|"&amp;B297,$O$3:$P$16,2,FALSE)</f>
        <v>6750</v>
      </c>
      <c r="D297" s="21">
        <f>VLOOKUP(A297&amp;"|"&amp;B297,$Q$3:$R$16,2,FALSE)</f>
        <v>93250</v>
      </c>
      <c r="E297" s="2"/>
      <c r="F297" s="57">
        <v>10</v>
      </c>
      <c r="G297" s="21">
        <v>2000000</v>
      </c>
      <c r="H297" s="21">
        <f>VLOOKUP(F297&amp;"|"&amp;G297,$O$3:$P$16,2,FALSE)</f>
        <v>6750</v>
      </c>
      <c r="I297" s="21">
        <f>VLOOKUP(F297&amp;"|"&amp;G297,$Q$3:$R$16,2,FALSE)</f>
        <v>93250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31">
        <v>18</v>
      </c>
      <c r="B298" s="21">
        <v>500000</v>
      </c>
      <c r="C298" s="21">
        <f>VLOOKUP(A298&amp;"|"&amp;B298,$O$3:$P$16,2,FALSE)</f>
        <v>200</v>
      </c>
      <c r="D298" s="21">
        <f>VLOOKUP(A298&amp;"|"&amp;B298,$Q$3:$R$16,2,FALSE)</f>
        <v>24800</v>
      </c>
      <c r="E298" s="2"/>
      <c r="F298" s="57">
        <v>10</v>
      </c>
      <c r="G298" s="21">
        <v>1000000</v>
      </c>
      <c r="H298" s="21">
        <f>VLOOKUP(F298&amp;"|"&amp;G298,$O$3:$P$16,2,FALSE)</f>
        <v>3600</v>
      </c>
      <c r="I298" s="21">
        <f>VLOOKUP(F298&amp;"|"&amp;G298,$Q$3:$R$16,2,FALSE)</f>
        <v>46400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31">
        <v>1</v>
      </c>
      <c r="B299" s="21">
        <v>1000000</v>
      </c>
      <c r="C299" s="21">
        <f>VLOOKUP(A299&amp;"|"&amp;B299,$O$3:$P$17,2,FALSE)</f>
        <v>8600</v>
      </c>
      <c r="D299" s="21">
        <f>VLOOKUP(A299&amp;"|"&amp;B299,$Q$3:$R$17,2,FALSE)</f>
        <v>41400</v>
      </c>
      <c r="E299" s="2"/>
      <c r="F299" s="20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0"/>
      <c r="B300" s="21"/>
      <c r="C300" s="21"/>
      <c r="D300" s="21"/>
      <c r="E300" s="2"/>
      <c r="F300" s="20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0"/>
      <c r="B301" s="21"/>
      <c r="C301" s="21"/>
      <c r="D301" s="21"/>
      <c r="E301" s="2"/>
      <c r="F301" s="20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36" t="s">
        <v>16</v>
      </c>
      <c r="B302" s="21"/>
      <c r="C302" s="21"/>
      <c r="D302" s="21">
        <f>SUM(D297:D301)</f>
        <v>159450</v>
      </c>
      <c r="E302" s="2"/>
      <c r="F302" s="36" t="s">
        <v>16</v>
      </c>
      <c r="G302" s="37"/>
      <c r="H302" s="38"/>
      <c r="I302" s="21">
        <f>SUM(I297:I301)</f>
        <v>139650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25" thickTop="1" thickBot="1">
      <c r="A303" s="31"/>
      <c r="B303" s="2"/>
      <c r="C303" s="2" t="s">
        <v>191</v>
      </c>
      <c r="D303" s="2"/>
      <c r="E303" s="2"/>
      <c r="F303" s="31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0" t="s">
        <v>0</v>
      </c>
      <c r="B304" s="21" t="s">
        <v>35</v>
      </c>
      <c r="C304" s="21" t="s">
        <v>120</v>
      </c>
      <c r="D304" s="9">
        <v>46054</v>
      </c>
      <c r="E304" s="2"/>
      <c r="F304" s="20" t="s">
        <v>0</v>
      </c>
      <c r="G304" s="21" t="s">
        <v>121</v>
      </c>
      <c r="H304" s="21" t="s">
        <v>28</v>
      </c>
      <c r="I304" s="9">
        <v>46054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0" t="s">
        <v>6</v>
      </c>
      <c r="B305" s="21" t="s">
        <v>7</v>
      </c>
      <c r="C305" s="21" t="s">
        <v>8</v>
      </c>
      <c r="D305" s="21" t="s">
        <v>9</v>
      </c>
      <c r="E305" s="2"/>
      <c r="F305" s="20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31">
        <v>10</v>
      </c>
      <c r="B306" s="21">
        <v>1000000</v>
      </c>
      <c r="C306" s="21">
        <f>VLOOKUP(A306&amp;"|"&amp;B306,$O$3:$P$17,2,FALSE)</f>
        <v>3600</v>
      </c>
      <c r="D306" s="21">
        <f>VLOOKUP(A306&amp;"|"&amp;B306,$Q$3:$R$17,2,FALSE)</f>
        <v>46400</v>
      </c>
      <c r="E306" s="2"/>
      <c r="F306" s="57">
        <v>10</v>
      </c>
      <c r="G306" s="21">
        <v>1000000</v>
      </c>
      <c r="H306" s="21">
        <f>VLOOKUP(F306&amp;"|"&amp;G306,$O$3:$P$18,2,FALSE)</f>
        <v>3600</v>
      </c>
      <c r="I306" s="21">
        <f>VLOOKUP(F306&amp;"|"&amp;G306,$Q$3:$R$17,2,FALSE)</f>
        <v>46400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31">
        <v>5</v>
      </c>
      <c r="B307" s="21">
        <v>1000000</v>
      </c>
      <c r="C307" s="21">
        <f>VLOOKUP(A307&amp;"|"&amp;B307,$O$3:$P$16,2,FALSE)</f>
        <v>7500</v>
      </c>
      <c r="D307" s="21">
        <f>VLOOKUP(A307&amp;"|"&amp;B307,$Q$3:$R$16,2,FALSE)</f>
        <v>42500</v>
      </c>
      <c r="E307" s="2"/>
      <c r="F307" s="20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0"/>
      <c r="B308" s="21"/>
      <c r="C308" s="21"/>
      <c r="D308" s="21"/>
      <c r="E308" s="2"/>
      <c r="F308" s="20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0"/>
      <c r="B309" s="21"/>
      <c r="C309" s="21"/>
      <c r="D309" s="21"/>
      <c r="E309" s="2"/>
      <c r="F309" s="20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0"/>
      <c r="B310" s="21"/>
      <c r="C310" s="21"/>
      <c r="D310" s="21"/>
      <c r="E310" s="2"/>
      <c r="F310" s="20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36" t="s">
        <v>16</v>
      </c>
      <c r="B311" s="21"/>
      <c r="C311" s="21"/>
      <c r="D311" s="21">
        <f>SUM(D306:D310)</f>
        <v>88900</v>
      </c>
      <c r="E311" s="2"/>
      <c r="F311" s="36" t="s">
        <v>16</v>
      </c>
      <c r="G311" s="37"/>
      <c r="H311" s="38"/>
      <c r="I311" s="21">
        <f>SUM(I306:I310)</f>
        <v>46400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25" thickTop="1" thickBot="1">
      <c r="A312" s="31"/>
      <c r="B312" s="2"/>
      <c r="C312" s="2"/>
      <c r="D312" s="2"/>
      <c r="E312" s="2"/>
      <c r="F312" s="31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0" t="s">
        <v>0</v>
      </c>
      <c r="B313" s="21" t="s">
        <v>122</v>
      </c>
      <c r="C313" s="21" t="s">
        <v>76</v>
      </c>
      <c r="D313" s="9">
        <v>46054</v>
      </c>
      <c r="E313" s="2"/>
      <c r="F313" s="20" t="s">
        <v>0</v>
      </c>
      <c r="G313" s="21" t="s">
        <v>61</v>
      </c>
      <c r="H313" s="21" t="s">
        <v>123</v>
      </c>
      <c r="I313" s="9">
        <v>46054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0" t="s">
        <v>6</v>
      </c>
      <c r="B314" s="21" t="s">
        <v>7</v>
      </c>
      <c r="C314" s="21" t="s">
        <v>8</v>
      </c>
      <c r="D314" s="21" t="s">
        <v>9</v>
      </c>
      <c r="E314" s="2"/>
      <c r="F314" s="20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31">
        <v>10</v>
      </c>
      <c r="B315" s="21">
        <v>500000</v>
      </c>
      <c r="C315" s="21">
        <f>VLOOKUP(A315&amp;"|"&amp;B315,$O$3:$P$16,2,FALSE)</f>
        <v>1800</v>
      </c>
      <c r="D315" s="21">
        <f>VLOOKUP(A315&amp;"|"&amp;B315,$Q$3:$R$16,2,FALSE)</f>
        <v>23200</v>
      </c>
      <c r="E315" s="2"/>
      <c r="F315" s="57">
        <v>1</v>
      </c>
      <c r="G315" s="21">
        <v>500000</v>
      </c>
      <c r="H315" s="21">
        <f>VLOOKUP(F315&amp;"|"&amp;G315,$O$3:$P$16,2,FALSE)</f>
        <v>4300</v>
      </c>
      <c r="I315" s="21">
        <f>VLOOKUP(F315&amp;"|"&amp;G315,$Q$3:$R$16,2,FALSE)</f>
        <v>20700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31">
        <v>15</v>
      </c>
      <c r="B316" s="21">
        <v>500000</v>
      </c>
      <c r="C316" s="21">
        <f>VLOOKUP(A316&amp;"|"&amp;B316,$O$3:$P$16,2,FALSE)</f>
        <v>750</v>
      </c>
      <c r="D316" s="21">
        <f>VLOOKUP(A316&amp;"|"&amp;B316,$Q$3:$R$16,2,FALSE)</f>
        <v>24250</v>
      </c>
      <c r="E316" s="2"/>
      <c r="F316" s="20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0"/>
      <c r="B317" s="21"/>
      <c r="C317" s="21"/>
      <c r="D317" s="21"/>
      <c r="E317" s="2"/>
      <c r="F317" s="20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0"/>
      <c r="B318" s="21"/>
      <c r="C318" s="21"/>
      <c r="D318" s="21"/>
      <c r="E318" s="2"/>
      <c r="F318" s="20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0"/>
      <c r="B319" s="21"/>
      <c r="C319" s="21"/>
      <c r="D319" s="21"/>
      <c r="E319" s="2"/>
      <c r="F319" s="20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36" t="s">
        <v>16</v>
      </c>
      <c r="B320" s="58"/>
      <c r="C320" s="21"/>
      <c r="D320" s="21">
        <f>SUM(D315:D319)</f>
        <v>47450</v>
      </c>
      <c r="E320" s="2"/>
      <c r="F320" s="36" t="s">
        <v>16</v>
      </c>
      <c r="G320" s="37"/>
      <c r="H320" s="38"/>
      <c r="I320" s="21">
        <f>SUM(I315:I319)</f>
        <v>20700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25" thickTop="1" thickBot="1">
      <c r="A321" s="31"/>
      <c r="B321" s="2"/>
      <c r="C321" s="2"/>
      <c r="D321" s="2"/>
      <c r="E321" s="2"/>
      <c r="F321" s="31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0" t="s">
        <v>0</v>
      </c>
      <c r="B322" s="21" t="s">
        <v>124</v>
      </c>
      <c r="C322" s="21" t="s">
        <v>125</v>
      </c>
      <c r="D322" s="9">
        <v>46054</v>
      </c>
      <c r="E322" s="2"/>
      <c r="F322" s="20" t="s">
        <v>0</v>
      </c>
      <c r="G322" s="21" t="s">
        <v>126</v>
      </c>
      <c r="H322" s="21" t="s">
        <v>22</v>
      </c>
      <c r="I322" s="9">
        <v>46054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0" t="s">
        <v>6</v>
      </c>
      <c r="B323" s="21" t="s">
        <v>7</v>
      </c>
      <c r="C323" s="21" t="s">
        <v>8</v>
      </c>
      <c r="D323" s="21" t="s">
        <v>9</v>
      </c>
      <c r="E323" s="2"/>
      <c r="F323" s="20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31">
        <v>5</v>
      </c>
      <c r="B324" s="21">
        <v>500000</v>
      </c>
      <c r="C324" s="21">
        <f>VLOOKUP(A324&amp;"|"&amp;B324,$O$3:$P$16,2,FALSE)</f>
        <v>3200</v>
      </c>
      <c r="D324" s="21">
        <f>VLOOKUP(A324&amp;"|"&amp;B324,$Q$3:$R$16,2,FALSE)</f>
        <v>21800</v>
      </c>
      <c r="E324" s="2"/>
      <c r="F324" s="57">
        <v>15</v>
      </c>
      <c r="G324" s="21">
        <v>500000</v>
      </c>
      <c r="H324" s="21">
        <f>VLOOKUP(F324&amp;"|"&amp;G324,$O$3:$P$16,2,FALSE)</f>
        <v>750</v>
      </c>
      <c r="I324" s="21">
        <f>VLOOKUP(F324&amp;"|"&amp;G324,$Q$3:$R$16,2,FALSE)</f>
        <v>24250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0"/>
      <c r="B325" s="21"/>
      <c r="C325" s="21"/>
      <c r="D325" s="21"/>
      <c r="E325" s="2"/>
      <c r="F325" s="20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0"/>
      <c r="B326" s="21"/>
      <c r="C326" s="21"/>
      <c r="D326" s="21"/>
      <c r="E326" s="2"/>
      <c r="F326" s="20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0"/>
      <c r="B327" s="21"/>
      <c r="C327" s="21"/>
      <c r="D327" s="21"/>
      <c r="E327" s="10"/>
      <c r="F327" s="20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0"/>
      <c r="B328" s="21"/>
      <c r="C328" s="21"/>
      <c r="D328" s="21"/>
      <c r="E328" s="2"/>
      <c r="F328" s="20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36" t="s">
        <v>16</v>
      </c>
      <c r="B329" s="21"/>
      <c r="C329" s="21"/>
      <c r="D329" s="21">
        <f>SUM(D324:D328)</f>
        <v>21800</v>
      </c>
      <c r="E329" s="2"/>
      <c r="F329" s="36" t="s">
        <v>16</v>
      </c>
      <c r="G329" s="37"/>
      <c r="H329" s="38"/>
      <c r="I329" s="21">
        <f>SUM(I324:I328)</f>
        <v>24250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25" thickTop="1" thickBot="1">
      <c r="A330" s="31"/>
      <c r="B330" s="2"/>
      <c r="C330" s="2"/>
      <c r="D330" s="2"/>
      <c r="E330" s="2"/>
      <c r="F330" s="31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0" t="s">
        <v>0</v>
      </c>
      <c r="B331" s="21" t="s">
        <v>127</v>
      </c>
      <c r="C331" s="21" t="s">
        <v>24</v>
      </c>
      <c r="D331" s="9">
        <v>46054</v>
      </c>
      <c r="E331" s="2"/>
      <c r="F331" s="20" t="s">
        <v>0</v>
      </c>
      <c r="G331" s="21" t="s">
        <v>73</v>
      </c>
      <c r="H331" s="21" t="s">
        <v>18</v>
      </c>
      <c r="I331" s="9">
        <v>46054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0" t="s">
        <v>6</v>
      </c>
      <c r="B332" s="21" t="s">
        <v>7</v>
      </c>
      <c r="C332" s="21" t="s">
        <v>8</v>
      </c>
      <c r="D332" s="21" t="s">
        <v>9</v>
      </c>
      <c r="E332" s="2"/>
      <c r="F332" s="20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31">
        <v>15</v>
      </c>
      <c r="B333" s="21">
        <v>500000</v>
      </c>
      <c r="C333" s="21">
        <f>VLOOKUP(A333&amp;"|"&amp;B333,$O$3:$P$16,2,FALSE)</f>
        <v>750</v>
      </c>
      <c r="D333" s="21">
        <f>VLOOKUP(A333&amp;"|"&amp;B333,$Q$3:$R$16,2,FALSE)</f>
        <v>24250</v>
      </c>
      <c r="E333" s="2"/>
      <c r="F333" s="57">
        <v>15</v>
      </c>
      <c r="G333" s="21">
        <v>500000</v>
      </c>
      <c r="H333" s="21">
        <f>VLOOKUP(F333&amp;"|"&amp;G333,$O$3:$P$16,2,FALSE)</f>
        <v>750</v>
      </c>
      <c r="I333" s="21">
        <f>VLOOKUP(F333&amp;"|"&amp;G333,$Q$3:$R$16,2,FALSE)</f>
        <v>24250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31">
        <v>18</v>
      </c>
      <c r="B334" s="21">
        <v>500000</v>
      </c>
      <c r="C334" s="21">
        <f>VLOOKUP(A334&amp;"|"&amp;B334,$O$3:$P$16,2,FALSE)</f>
        <v>200</v>
      </c>
      <c r="D334" s="21">
        <f>VLOOKUP(A334&amp;"|"&amp;B334,$Q$3:$R$16,2,FALSE)</f>
        <v>24800</v>
      </c>
      <c r="E334" s="2"/>
      <c r="F334" s="20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0"/>
      <c r="B335" s="21"/>
      <c r="C335" s="21"/>
      <c r="D335" s="21"/>
      <c r="E335" s="2"/>
      <c r="F335" s="20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0"/>
      <c r="B336" s="21"/>
      <c r="C336" s="21"/>
      <c r="D336" s="21"/>
      <c r="E336" s="2"/>
      <c r="F336" s="20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0"/>
      <c r="B337" s="21"/>
      <c r="C337" s="21"/>
      <c r="D337" s="21"/>
      <c r="E337" s="2"/>
      <c r="F337" s="20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36" t="s">
        <v>16</v>
      </c>
      <c r="B338" s="21"/>
      <c r="C338" s="21"/>
      <c r="D338" s="21">
        <f>SUM(D333:D337)</f>
        <v>49050</v>
      </c>
      <c r="E338" s="10"/>
      <c r="F338" s="36" t="s">
        <v>16</v>
      </c>
      <c r="G338" s="37"/>
      <c r="H338" s="38"/>
      <c r="I338" s="21">
        <f>SUM(I333:I337)</f>
        <v>24250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25" thickTop="1" thickBot="1">
      <c r="A339" s="31"/>
      <c r="B339" s="2"/>
      <c r="C339" s="2"/>
      <c r="D339" s="2"/>
      <c r="E339" s="2"/>
      <c r="F339" s="31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0" t="s">
        <v>0</v>
      </c>
      <c r="B340" s="21" t="s">
        <v>128</v>
      </c>
      <c r="C340" s="21" t="s">
        <v>34</v>
      </c>
      <c r="D340" s="9">
        <v>46054</v>
      </c>
      <c r="E340" s="2"/>
      <c r="F340" s="20" t="s">
        <v>0</v>
      </c>
      <c r="G340" s="21" t="s">
        <v>129</v>
      </c>
      <c r="H340" s="21" t="s">
        <v>39</v>
      </c>
      <c r="I340" s="9">
        <v>46054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0" t="s">
        <v>6</v>
      </c>
      <c r="B341" s="21" t="s">
        <v>7</v>
      </c>
      <c r="C341" s="21" t="s">
        <v>8</v>
      </c>
      <c r="D341" s="21" t="s">
        <v>9</v>
      </c>
      <c r="E341" s="2"/>
      <c r="F341" s="20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31">
        <v>18</v>
      </c>
      <c r="B342" s="21">
        <v>500000</v>
      </c>
      <c r="C342" s="21">
        <f>VLOOKUP(A342&amp;"|"&amp;B342,$O$3:$P$16,2,FALSE)</f>
        <v>200</v>
      </c>
      <c r="D342" s="21">
        <f>VLOOKUP(A342&amp;"|"&amp;B342,$Q$3:$R$16,2,FALSE)</f>
        <v>24800</v>
      </c>
      <c r="E342" s="2"/>
      <c r="F342" s="57">
        <v>5</v>
      </c>
      <c r="G342" s="21">
        <v>500000</v>
      </c>
      <c r="H342" s="21">
        <f>VLOOKUP(F342&amp;"|"&amp;G342,$O$3:$P$16,2,FALSE)</f>
        <v>3200</v>
      </c>
      <c r="I342" s="21">
        <f>VLOOKUP(F342&amp;"|"&amp;G342,$Q$3:$R$16,2,FALSE)</f>
        <v>21800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0"/>
      <c r="B343" s="21"/>
      <c r="C343" s="21"/>
      <c r="D343" s="21"/>
      <c r="E343" s="2"/>
      <c r="F343" s="20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0"/>
      <c r="B344" s="21"/>
      <c r="C344" s="21"/>
      <c r="D344" s="21"/>
      <c r="E344" s="2"/>
      <c r="F344" s="20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0"/>
      <c r="B345" s="21"/>
      <c r="C345" s="21"/>
      <c r="D345" s="21"/>
      <c r="E345" s="2"/>
      <c r="F345" s="20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0"/>
      <c r="B346" s="21"/>
      <c r="C346" s="21"/>
      <c r="D346" s="21"/>
      <c r="E346" s="2"/>
      <c r="F346" s="20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36" t="s">
        <v>16</v>
      </c>
      <c r="B347" s="21"/>
      <c r="C347" s="21"/>
      <c r="D347" s="21">
        <f>SUM(D342:D346)</f>
        <v>24800</v>
      </c>
      <c r="E347" s="2"/>
      <c r="F347" s="36" t="s">
        <v>16</v>
      </c>
      <c r="G347" s="37"/>
      <c r="H347" s="38"/>
      <c r="I347" s="21">
        <f>SUM(I342:I346)</f>
        <v>21800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43"/>
      <c r="B348" s="10"/>
      <c r="C348" s="10"/>
      <c r="D348" s="10"/>
      <c r="E348" s="2"/>
      <c r="F348" s="31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0" t="s">
        <v>0</v>
      </c>
      <c r="B349" s="21" t="s">
        <v>130</v>
      </c>
      <c r="C349" s="21" t="s">
        <v>104</v>
      </c>
      <c r="D349" s="9">
        <v>46054</v>
      </c>
      <c r="E349" s="2"/>
      <c r="F349" s="20" t="s">
        <v>0</v>
      </c>
      <c r="G349" s="21" t="s">
        <v>131</v>
      </c>
      <c r="H349" s="21" t="s">
        <v>41</v>
      </c>
      <c r="I349" s="9">
        <v>46054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0" t="s">
        <v>6</v>
      </c>
      <c r="B350" s="21" t="s">
        <v>7</v>
      </c>
      <c r="C350" s="21" t="s">
        <v>8</v>
      </c>
      <c r="D350" s="21" t="s">
        <v>9</v>
      </c>
      <c r="E350" s="2"/>
      <c r="F350" s="20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31">
        <v>1</v>
      </c>
      <c r="B351" s="21">
        <v>500000</v>
      </c>
      <c r="C351" s="21">
        <f>VLOOKUP(A351&amp;"|"&amp;B351,$O$3:$P$16,2,FALSE)</f>
        <v>4300</v>
      </c>
      <c r="D351" s="21">
        <f>VLOOKUP(A351&amp;"|"&amp;B351,$Q$3:$R$16,2,FALSE)</f>
        <v>20700</v>
      </c>
      <c r="E351" s="2"/>
      <c r="F351" s="57">
        <v>5</v>
      </c>
      <c r="G351" s="21">
        <v>500000</v>
      </c>
      <c r="H351" s="21">
        <f>VLOOKUP(F351&amp;"|"&amp;G351,$O$3:$P$16,2,FALSE)</f>
        <v>3200</v>
      </c>
      <c r="I351" s="21">
        <f>VLOOKUP(F351&amp;"|"&amp;G351,$Q$3:$R$16,2,FALSE)</f>
        <v>21800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0"/>
      <c r="B352" s="21"/>
      <c r="C352" s="21"/>
      <c r="D352" s="21"/>
      <c r="E352" s="2"/>
      <c r="F352" s="20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0"/>
      <c r="B353" s="21"/>
      <c r="C353" s="21"/>
      <c r="D353" s="21"/>
      <c r="E353" s="2"/>
      <c r="F353" s="20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0"/>
      <c r="B354" s="21"/>
      <c r="C354" s="21"/>
      <c r="D354" s="21"/>
      <c r="E354" s="2"/>
      <c r="F354" s="20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0"/>
      <c r="B355" s="21"/>
      <c r="C355" s="21"/>
      <c r="D355" s="21"/>
      <c r="E355" s="2"/>
      <c r="F355" s="20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36" t="s">
        <v>16</v>
      </c>
      <c r="B356" s="21"/>
      <c r="C356" s="21"/>
      <c r="D356" s="21">
        <f>SUM(D351:D355)</f>
        <v>20700</v>
      </c>
      <c r="E356" s="2"/>
      <c r="F356" s="36" t="s">
        <v>16</v>
      </c>
      <c r="G356" s="37"/>
      <c r="H356" s="38"/>
      <c r="I356" s="21">
        <f>SUM(I351:I355)</f>
        <v>21800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43"/>
      <c r="B357" s="10"/>
      <c r="C357" s="10"/>
      <c r="D357" s="10"/>
      <c r="E357" s="2"/>
      <c r="F357" s="31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0" t="s">
        <v>0</v>
      </c>
      <c r="B358" s="21" t="s">
        <v>132</v>
      </c>
      <c r="C358" s="21" t="s">
        <v>133</v>
      </c>
      <c r="D358" s="9">
        <v>46054</v>
      </c>
      <c r="E358" s="2"/>
      <c r="F358" s="20" t="s">
        <v>0</v>
      </c>
      <c r="G358" s="21" t="s">
        <v>63</v>
      </c>
      <c r="H358" s="21" t="s">
        <v>43</v>
      </c>
      <c r="I358" s="9">
        <v>46054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0" t="s">
        <v>6</v>
      </c>
      <c r="B359" s="21" t="s">
        <v>7</v>
      </c>
      <c r="C359" s="21" t="s">
        <v>8</v>
      </c>
      <c r="D359" s="21" t="s">
        <v>9</v>
      </c>
      <c r="E359" s="2"/>
      <c r="F359" s="20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31">
        <v>10</v>
      </c>
      <c r="B360" s="21">
        <v>500000</v>
      </c>
      <c r="C360" s="21">
        <f>VLOOKUP(A360&amp;"|"&amp;B360,$O$3:$P$16,2,FALSE)</f>
        <v>1800</v>
      </c>
      <c r="D360" s="21">
        <f>VLOOKUP(A360&amp;"|"&amp;B360,$Q$3:$R$16,2,FALSE)</f>
        <v>23200</v>
      </c>
      <c r="E360" s="2"/>
      <c r="F360" s="57">
        <v>18</v>
      </c>
      <c r="G360" s="21">
        <v>500000</v>
      </c>
      <c r="H360" s="21">
        <f>VLOOKUP(F360&amp;"|"&amp;G360,$O$3:$P$16,2,FALSE)</f>
        <v>200</v>
      </c>
      <c r="I360" s="21">
        <f>VLOOKUP(F360&amp;"|"&amp;G360,$Q$3:$R$16,2,FALSE)</f>
        <v>24800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31">
        <v>5.0999999999999996</v>
      </c>
      <c r="B361" s="21">
        <v>1000000</v>
      </c>
      <c r="C361" s="21">
        <f>VLOOKUP(A361&amp;"|"&amp;B361,$O$3:$P$16,2,FALSE)</f>
        <v>7400</v>
      </c>
      <c r="D361" s="21">
        <f>VLOOKUP(A361&amp;"|"&amp;B361,$Q$3:$R$16,2,FALSE)</f>
        <v>42600</v>
      </c>
      <c r="E361" s="2"/>
      <c r="F361" s="20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0"/>
      <c r="B362" s="21"/>
      <c r="C362" s="21"/>
      <c r="D362" s="21"/>
      <c r="E362" s="2"/>
      <c r="F362" s="20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0"/>
      <c r="B363" s="21"/>
      <c r="C363" s="21"/>
      <c r="D363" s="21"/>
      <c r="E363" s="2"/>
      <c r="F363" s="20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0"/>
      <c r="B364" s="21"/>
      <c r="C364" s="21"/>
      <c r="D364" s="21"/>
      <c r="E364" s="2"/>
      <c r="F364" s="20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36" t="s">
        <v>16</v>
      </c>
      <c r="B365" s="21"/>
      <c r="C365" s="21"/>
      <c r="D365" s="21">
        <f>SUM(D360:D364)</f>
        <v>65800</v>
      </c>
      <c r="E365" s="2"/>
      <c r="F365" s="36" t="s">
        <v>16</v>
      </c>
      <c r="G365" s="37"/>
      <c r="H365" s="38"/>
      <c r="I365" s="21">
        <f>SUM(I360:I364)</f>
        <v>24800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25" thickTop="1" thickBot="1">
      <c r="A366" s="31"/>
      <c r="B366" s="2"/>
      <c r="C366" s="2"/>
      <c r="D366" s="2"/>
      <c r="E366" s="2"/>
      <c r="F366" s="31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0" t="s">
        <v>0</v>
      </c>
      <c r="B367" s="21" t="s">
        <v>187</v>
      </c>
      <c r="C367" s="21" t="s">
        <v>28</v>
      </c>
      <c r="D367" s="9">
        <v>46054</v>
      </c>
      <c r="E367" s="2"/>
      <c r="F367" s="20" t="s">
        <v>0</v>
      </c>
      <c r="G367" s="21" t="s">
        <v>126</v>
      </c>
      <c r="H367" s="21" t="s">
        <v>43</v>
      </c>
      <c r="I367" s="9">
        <v>46054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0" t="s">
        <v>6</v>
      </c>
      <c r="B368" s="21" t="s">
        <v>7</v>
      </c>
      <c r="C368" s="21" t="s">
        <v>8</v>
      </c>
      <c r="D368" s="21" t="s">
        <v>9</v>
      </c>
      <c r="E368" s="2"/>
      <c r="F368" s="20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31">
        <v>10</v>
      </c>
      <c r="B369" s="21">
        <v>1000000</v>
      </c>
      <c r="C369" s="21">
        <f>VLOOKUP(A369&amp;"|"&amp;B369,$O$3:$P$16,2,FALSE)</f>
        <v>3600</v>
      </c>
      <c r="D369" s="21">
        <f>VLOOKUP(A369&amp;"|"&amp;B369,$Q$3:$R$16,2,FALSE)</f>
        <v>46400</v>
      </c>
      <c r="E369" s="2"/>
      <c r="F369" s="57">
        <v>18</v>
      </c>
      <c r="G369" s="21">
        <v>500000</v>
      </c>
      <c r="H369" s="21">
        <f>VLOOKUP(F369&amp;"|"&amp;G369,$O$3:$P$16,2,FALSE)</f>
        <v>200</v>
      </c>
      <c r="I369" s="21">
        <f>VLOOKUP(F369&amp;"|"&amp;G369,$Q$3:$R$16,2,FALSE)</f>
        <v>24800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31">
        <v>5</v>
      </c>
      <c r="B370" s="21">
        <v>500000</v>
      </c>
      <c r="C370" s="21">
        <f>VLOOKUP(A370&amp;"|"&amp;B370,$O$3:$P$16,2,FALSE)</f>
        <v>3200</v>
      </c>
      <c r="D370" s="21">
        <f>VLOOKUP(A370&amp;"|"&amp;B370,$Q$3:$R$16,2,FALSE)</f>
        <v>21800</v>
      </c>
      <c r="E370" s="4"/>
      <c r="F370" s="20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0"/>
      <c r="B371" s="21"/>
      <c r="C371" s="21"/>
      <c r="D371" s="21"/>
      <c r="E371" s="4"/>
      <c r="F371" s="20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0"/>
      <c r="B372" s="21"/>
      <c r="C372" s="21"/>
      <c r="D372" s="21"/>
      <c r="E372" s="4"/>
      <c r="F372" s="20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0"/>
      <c r="B373" s="21"/>
      <c r="C373" s="21"/>
      <c r="D373" s="21"/>
      <c r="E373" s="4"/>
      <c r="F373" s="20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36" t="s">
        <v>16</v>
      </c>
      <c r="B374" s="21"/>
      <c r="C374" s="21"/>
      <c r="D374" s="21">
        <f>SUM(D369:D373)</f>
        <v>68200</v>
      </c>
      <c r="E374" s="4"/>
      <c r="F374" s="36" t="s">
        <v>16</v>
      </c>
      <c r="G374" s="37"/>
      <c r="H374" s="38"/>
      <c r="I374" s="21">
        <f>SUM(I369:I373)</f>
        <v>24800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25" thickTop="1" thickBot="1">
      <c r="A375" s="31"/>
      <c r="B375" s="2"/>
      <c r="C375" s="2"/>
      <c r="D375" s="2"/>
      <c r="E375" s="4"/>
      <c r="F375" s="31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0" t="s">
        <v>0</v>
      </c>
      <c r="B376" s="21" t="s">
        <v>35</v>
      </c>
      <c r="C376" s="21" t="s">
        <v>62</v>
      </c>
      <c r="D376" s="9">
        <v>46054</v>
      </c>
      <c r="E376" s="4"/>
      <c r="F376" s="20" t="s">
        <v>0</v>
      </c>
      <c r="G376" s="21" t="s">
        <v>109</v>
      </c>
      <c r="H376" s="21" t="s">
        <v>134</v>
      </c>
      <c r="I376" s="9">
        <v>46054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0" t="s">
        <v>6</v>
      </c>
      <c r="B377" s="21" t="s">
        <v>7</v>
      </c>
      <c r="C377" s="21" t="s">
        <v>8</v>
      </c>
      <c r="D377" s="21" t="s">
        <v>9</v>
      </c>
      <c r="E377" s="4"/>
      <c r="F377" s="20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31">
        <v>10</v>
      </c>
      <c r="B378" s="21">
        <v>500000</v>
      </c>
      <c r="C378" s="21">
        <f>VLOOKUP(A378&amp;"|"&amp;B378,$O$3:$P$17,2,FALSE)</f>
        <v>1800</v>
      </c>
      <c r="D378" s="21">
        <f>VLOOKUP(A378&amp;"|"&amp;B378,$Q$3:$R$17,2,FALSE)</f>
        <v>23200</v>
      </c>
      <c r="E378" s="4"/>
      <c r="F378" s="57">
        <v>10</v>
      </c>
      <c r="G378" s="21">
        <v>500000</v>
      </c>
      <c r="H378" s="21">
        <f>VLOOKUP(F378&amp;"|"&amp;G378,$O$3:$P$17,2,FALSE)</f>
        <v>1800</v>
      </c>
      <c r="I378" s="21">
        <f>VLOOKUP(F378&amp;"|"&amp;G378,$Q$3:$R$17,2,FALSE)</f>
        <v>23200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0"/>
      <c r="B379" s="21"/>
      <c r="C379" s="21"/>
      <c r="D379" s="21"/>
      <c r="E379" s="4"/>
      <c r="F379" s="20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0"/>
      <c r="B380" s="21"/>
      <c r="C380" s="21"/>
      <c r="D380" s="21"/>
      <c r="E380" s="4"/>
      <c r="F380" s="20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0"/>
      <c r="B381" s="21"/>
      <c r="C381" s="21"/>
      <c r="D381" s="21"/>
      <c r="E381" s="4"/>
      <c r="F381" s="20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0"/>
      <c r="B382" s="21"/>
      <c r="C382" s="21"/>
      <c r="D382" s="21"/>
      <c r="E382" s="4"/>
      <c r="F382" s="20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36" t="s">
        <v>16</v>
      </c>
      <c r="B383" s="21"/>
      <c r="C383" s="21"/>
      <c r="D383" s="21">
        <f>SUM(D378:D382)</f>
        <v>23200</v>
      </c>
      <c r="E383" s="4"/>
      <c r="F383" s="36" t="s">
        <v>16</v>
      </c>
      <c r="G383" s="37"/>
      <c r="H383" s="38"/>
      <c r="I383" s="21">
        <f>SUM(I378:I382)</f>
        <v>23200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25" thickTop="1" thickBot="1">
      <c r="A384" s="31"/>
      <c r="B384" s="2"/>
      <c r="C384" s="2"/>
      <c r="D384" s="2"/>
      <c r="E384" s="4"/>
      <c r="F384" s="31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0" t="s">
        <v>0</v>
      </c>
      <c r="B385" s="21" t="s">
        <v>128</v>
      </c>
      <c r="C385" s="21" t="s">
        <v>134</v>
      </c>
      <c r="D385" s="9">
        <v>46054</v>
      </c>
      <c r="E385" s="4"/>
      <c r="F385" s="20" t="s">
        <v>0</v>
      </c>
      <c r="G385" s="21" t="s">
        <v>135</v>
      </c>
      <c r="H385" s="21" t="s">
        <v>136</v>
      </c>
      <c r="I385" s="9">
        <v>46054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0" t="s">
        <v>6</v>
      </c>
      <c r="B386" s="21" t="s">
        <v>7</v>
      </c>
      <c r="C386" s="21" t="s">
        <v>8</v>
      </c>
      <c r="D386" s="21" t="s">
        <v>9</v>
      </c>
      <c r="E386" s="4"/>
      <c r="F386" s="20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31">
        <v>1</v>
      </c>
      <c r="B387" s="21">
        <v>1000000</v>
      </c>
      <c r="C387" s="21">
        <f>VLOOKUP(A387&amp;"|"&amp;B387,$O$3:$P$16,2,FALSE)</f>
        <v>8600</v>
      </c>
      <c r="D387" s="21">
        <f>VLOOKUP(A387&amp;"|"&amp;B387,$Q$3:$R$16,2,FALSE)</f>
        <v>41400</v>
      </c>
      <c r="E387" s="4"/>
      <c r="F387" s="57">
        <v>15</v>
      </c>
      <c r="G387" s="21">
        <v>500000</v>
      </c>
      <c r="H387" s="21">
        <f>VLOOKUP(F387&amp;"|"&amp;G387,$O$3:$P$16,2,FALSE)</f>
        <v>750</v>
      </c>
      <c r="I387" s="21">
        <f>VLOOKUP(F387&amp;"|"&amp;G387,$Q$3:$R$16,2,FALSE)</f>
        <v>24250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31">
        <v>1.1000000000000001</v>
      </c>
      <c r="B388" s="21">
        <v>1000000</v>
      </c>
      <c r="C388" s="21">
        <f>VLOOKUP(A388&amp;"|"&amp;B388,$O$3:$P$16,2,FALSE)</f>
        <v>8750</v>
      </c>
      <c r="D388" s="21">
        <f>VLOOKUP(A388&amp;"|"&amp;B388,$Q$3:$R$16,2,FALSE)</f>
        <v>41250</v>
      </c>
      <c r="E388" s="4"/>
      <c r="F388" s="20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0"/>
      <c r="B389" s="21"/>
      <c r="C389" s="21"/>
      <c r="D389" s="21"/>
      <c r="E389" s="4"/>
      <c r="F389" s="20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0"/>
      <c r="B390" s="21"/>
      <c r="C390" s="21"/>
      <c r="D390" s="21"/>
      <c r="E390" s="4"/>
      <c r="F390" s="20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0"/>
      <c r="B391" s="21"/>
      <c r="C391" s="21"/>
      <c r="D391" s="21"/>
      <c r="E391" s="4"/>
      <c r="F391" s="20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36" t="s">
        <v>16</v>
      </c>
      <c r="B392" s="53"/>
      <c r="C392" s="54"/>
      <c r="D392" s="21">
        <f>SUM(D387:D391)</f>
        <v>82650</v>
      </c>
      <c r="E392" s="4"/>
      <c r="F392" s="36" t="s">
        <v>16</v>
      </c>
      <c r="G392" s="37"/>
      <c r="H392" s="38"/>
      <c r="I392" s="21">
        <f>SUM(I387:I391)</f>
        <v>24250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31"/>
      <c r="B393" s="2"/>
      <c r="C393" s="2"/>
      <c r="D393" s="10"/>
      <c r="E393" s="4"/>
      <c r="F393" s="31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0" t="s">
        <v>0</v>
      </c>
      <c r="B394" s="21" t="s">
        <v>137</v>
      </c>
      <c r="C394" s="21" t="s">
        <v>138</v>
      </c>
      <c r="D394" s="9">
        <v>46054</v>
      </c>
      <c r="E394" s="4"/>
      <c r="F394" s="20" t="s">
        <v>0</v>
      </c>
      <c r="G394" s="21" t="s">
        <v>139</v>
      </c>
      <c r="H394" s="21" t="s">
        <v>140</v>
      </c>
      <c r="I394" s="9">
        <v>46054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0" t="s">
        <v>6</v>
      </c>
      <c r="B395" s="21" t="s">
        <v>7</v>
      </c>
      <c r="C395" s="21" t="s">
        <v>8</v>
      </c>
      <c r="D395" s="21" t="s">
        <v>9</v>
      </c>
      <c r="E395" s="4"/>
      <c r="F395" s="20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31">
        <v>1</v>
      </c>
      <c r="B396" s="21">
        <v>1000000</v>
      </c>
      <c r="C396" s="21">
        <f>VLOOKUP(A396&amp;"|"&amp;B396,$O$3:$P$16,2,FALSE)</f>
        <v>8600</v>
      </c>
      <c r="D396" s="21">
        <f>VLOOKUP(A396&amp;"|"&amp;B396,$Q$3:$R$16,2,FALSE)</f>
        <v>41400</v>
      </c>
      <c r="E396" s="4"/>
      <c r="F396" s="57">
        <v>10</v>
      </c>
      <c r="G396" s="21">
        <v>1000000</v>
      </c>
      <c r="H396" s="21">
        <f>VLOOKUP(F396&amp;"|"&amp;G396,$O$3:$P$16,2,FALSE)</f>
        <v>3600</v>
      </c>
      <c r="I396" s="21">
        <f>VLOOKUP(F396&amp;"|"&amp;G396,$Q$3:$R$16,2,FALSE)</f>
        <v>46400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0"/>
      <c r="B397" s="21"/>
      <c r="C397" s="21"/>
      <c r="D397" s="21"/>
      <c r="E397" s="4"/>
      <c r="F397" s="20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0"/>
      <c r="B398" s="21"/>
      <c r="C398" s="21"/>
      <c r="D398" s="21"/>
      <c r="E398" s="4"/>
      <c r="F398" s="20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0"/>
      <c r="B399" s="21"/>
      <c r="C399" s="21"/>
      <c r="D399" s="21"/>
      <c r="E399" s="4"/>
      <c r="F399" s="20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0"/>
      <c r="B400" s="21"/>
      <c r="C400" s="21"/>
      <c r="D400" s="21"/>
      <c r="E400" s="4"/>
      <c r="F400" s="20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36" t="s">
        <v>16</v>
      </c>
      <c r="B401" s="53"/>
      <c r="C401" s="54"/>
      <c r="D401" s="21">
        <f>SUM(D396:D400)</f>
        <v>41400</v>
      </c>
      <c r="E401" s="4"/>
      <c r="F401" s="36" t="s">
        <v>16</v>
      </c>
      <c r="G401" s="37"/>
      <c r="H401" s="38"/>
      <c r="I401" s="21">
        <f>SUM(I396:I400)</f>
        <v>46400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31"/>
      <c r="B402" s="2"/>
      <c r="C402" s="2"/>
      <c r="D402" s="2"/>
      <c r="E402" s="4"/>
      <c r="F402" s="43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1" t="s">
        <v>0</v>
      </c>
      <c r="B403" s="12" t="s">
        <v>61</v>
      </c>
      <c r="C403" s="12" t="s">
        <v>39</v>
      </c>
      <c r="D403" s="9">
        <v>46054</v>
      </c>
      <c r="E403" s="4"/>
      <c r="F403" s="20" t="s">
        <v>0</v>
      </c>
      <c r="G403" s="21" t="s">
        <v>143</v>
      </c>
      <c r="H403" s="21" t="s">
        <v>144</v>
      </c>
      <c r="I403" s="9">
        <v>46054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0" t="s">
        <v>6</v>
      </c>
      <c r="B404" s="21" t="s">
        <v>7</v>
      </c>
      <c r="C404" s="21" t="s">
        <v>8</v>
      </c>
      <c r="D404" s="21" t="s">
        <v>9</v>
      </c>
      <c r="E404" s="4"/>
      <c r="F404" s="20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31">
        <v>5</v>
      </c>
      <c r="B405" s="21">
        <v>500000</v>
      </c>
      <c r="C405" s="21">
        <f>VLOOKUP(A405&amp;"|"&amp;B405,$O$3:$P$16,2,FALSE)</f>
        <v>3200</v>
      </c>
      <c r="D405" s="21">
        <f>VLOOKUP(A405&amp;"|"&amp;B405,$Q$3:$R$16,2,FALSE)</f>
        <v>21800</v>
      </c>
      <c r="E405" s="4"/>
      <c r="F405" s="57">
        <v>1</v>
      </c>
      <c r="G405" s="21">
        <v>500000</v>
      </c>
      <c r="H405" s="21">
        <f>VLOOKUP(F405&amp;"|"&amp;G405,$O$3:$P$16,2,FALSE)</f>
        <v>4300</v>
      </c>
      <c r="I405" s="21">
        <f>VLOOKUP(F405&amp;"|"&amp;G405,$Q$3:$R$16,2,FALSE)</f>
        <v>20700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0"/>
      <c r="B406" s="21"/>
      <c r="C406" s="21"/>
      <c r="D406" s="21"/>
      <c r="E406" s="4"/>
      <c r="F406" s="57">
        <v>5</v>
      </c>
      <c r="G406" s="21">
        <v>500000</v>
      </c>
      <c r="H406" s="21">
        <f>VLOOKUP(F406&amp;"|"&amp;G406,$O$3:$P$16,2,FALSE)</f>
        <v>3200</v>
      </c>
      <c r="I406" s="21">
        <f>VLOOKUP(F406&amp;"|"&amp;G406,$Q$3:$R$16,2,FALSE)</f>
        <v>21800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0"/>
      <c r="B407" s="21"/>
      <c r="C407" s="21"/>
      <c r="D407" s="21"/>
      <c r="E407" s="4"/>
      <c r="F407" s="20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0"/>
      <c r="B408" s="21"/>
      <c r="C408" s="21"/>
      <c r="D408" s="21"/>
      <c r="E408" s="4"/>
      <c r="F408" s="20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0"/>
      <c r="B409" s="21"/>
      <c r="C409" s="21"/>
      <c r="D409" s="21"/>
      <c r="E409" s="4"/>
      <c r="F409" s="20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36" t="s">
        <v>16</v>
      </c>
      <c r="B410" s="53"/>
      <c r="C410" s="54"/>
      <c r="D410" s="21">
        <f>SUM(D405:D409)</f>
        <v>21800</v>
      </c>
      <c r="E410" s="4"/>
      <c r="F410" s="36" t="s">
        <v>16</v>
      </c>
      <c r="G410" s="37"/>
      <c r="H410" s="38"/>
      <c r="I410" s="21">
        <f>SUM(I405:I409)</f>
        <v>42500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25" thickTop="1" thickBot="1">
      <c r="A411" s="31"/>
      <c r="B411" s="2"/>
      <c r="C411" s="2"/>
      <c r="D411" s="2"/>
      <c r="E411" s="4"/>
      <c r="F411" s="31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1" t="s">
        <v>0</v>
      </c>
      <c r="B412" s="12" t="s">
        <v>145</v>
      </c>
      <c r="C412" s="12" t="s">
        <v>43</v>
      </c>
      <c r="D412" s="9">
        <v>46054</v>
      </c>
      <c r="E412" s="4"/>
      <c r="F412" s="20" t="s">
        <v>0</v>
      </c>
      <c r="G412" s="21" t="s">
        <v>146</v>
      </c>
      <c r="H412" s="21" t="s">
        <v>147</v>
      </c>
      <c r="I412" s="9">
        <v>46054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0" t="s">
        <v>6</v>
      </c>
      <c r="B413" s="21" t="s">
        <v>7</v>
      </c>
      <c r="C413" s="21" t="s">
        <v>8</v>
      </c>
      <c r="D413" s="21" t="s">
        <v>9</v>
      </c>
      <c r="E413" s="4"/>
      <c r="F413" s="20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0">
        <v>10</v>
      </c>
      <c r="B414" s="21">
        <v>500000</v>
      </c>
      <c r="C414" s="21">
        <f>VLOOKUP(A414&amp;"|"&amp;B414,$O$3:$P$17,2,FALSE)</f>
        <v>1800</v>
      </c>
      <c r="D414" s="21">
        <f>VLOOKUP(A414&amp;"|"&amp;B414,$Q$3:$R$17,2,FALSE)</f>
        <v>23200</v>
      </c>
      <c r="E414" s="4"/>
      <c r="F414" s="57">
        <v>5</v>
      </c>
      <c r="G414" s="21">
        <v>1000000</v>
      </c>
      <c r="H414" s="21">
        <f>VLOOKUP(F414&amp;"|"&amp;G414,$O$3:$P$16,2,FALSE)</f>
        <v>7500</v>
      </c>
      <c r="I414" s="21">
        <f>VLOOKUP(F414&amp;"|"&amp;G414,$Q$3:$R$16,2,FALSE)</f>
        <v>42500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0"/>
      <c r="B415" s="21"/>
      <c r="C415" s="21"/>
      <c r="D415" s="21"/>
      <c r="E415" s="4"/>
      <c r="F415" s="20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0"/>
      <c r="B416" s="21"/>
      <c r="C416" s="21"/>
      <c r="D416" s="21"/>
      <c r="E416" s="4"/>
      <c r="F416" s="20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0"/>
      <c r="B417" s="21"/>
      <c r="C417" s="21"/>
      <c r="D417" s="21"/>
      <c r="E417" s="4"/>
      <c r="F417" s="20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0"/>
      <c r="B418" s="21"/>
      <c r="C418" s="21"/>
      <c r="D418" s="21"/>
      <c r="E418" s="4"/>
      <c r="F418" s="20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36" t="s">
        <v>16</v>
      </c>
      <c r="B419" s="53"/>
      <c r="C419" s="54"/>
      <c r="D419" s="21">
        <f>SUM(D414:D418)</f>
        <v>23200</v>
      </c>
      <c r="E419" s="4"/>
      <c r="F419" s="36" t="s">
        <v>16</v>
      </c>
      <c r="G419" s="37"/>
      <c r="H419" s="38"/>
      <c r="I419" s="21">
        <f>SUM(I414:I418)</f>
        <v>42500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25" thickTop="1" thickBot="1">
      <c r="A420" s="31"/>
      <c r="B420" s="2"/>
      <c r="C420" s="2"/>
      <c r="D420" s="2"/>
      <c r="E420" s="4"/>
      <c r="F420" s="31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1" t="s">
        <v>0</v>
      </c>
      <c r="B421" s="12" t="s">
        <v>148</v>
      </c>
      <c r="C421" s="12" t="s">
        <v>62</v>
      </c>
      <c r="D421" s="9">
        <v>46054</v>
      </c>
      <c r="E421" s="4"/>
      <c r="F421" s="11" t="s">
        <v>0</v>
      </c>
      <c r="G421" s="12" t="s">
        <v>33</v>
      </c>
      <c r="H421" s="12" t="s">
        <v>76</v>
      </c>
      <c r="I421" s="9">
        <v>46054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0" t="s">
        <v>6</v>
      </c>
      <c r="B422" s="21" t="s">
        <v>7</v>
      </c>
      <c r="C422" s="21" t="s">
        <v>8</v>
      </c>
      <c r="D422" s="21" t="s">
        <v>9</v>
      </c>
      <c r="E422" s="4"/>
      <c r="F422" s="20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31">
        <v>10.1</v>
      </c>
      <c r="B423" s="21">
        <v>1000000</v>
      </c>
      <c r="C423" s="21">
        <f>VLOOKUP(A423&amp;"|"&amp;B423,$O$3:$P$17,2,FALSE)</f>
        <v>3350</v>
      </c>
      <c r="D423" s="21">
        <f>VLOOKUP(A423&amp;"|"&amp;B423,$Q$3:$R$17,2,FALSE)</f>
        <v>46650</v>
      </c>
      <c r="E423" s="4"/>
      <c r="F423" s="57">
        <v>10</v>
      </c>
      <c r="G423" s="21">
        <v>2000000</v>
      </c>
      <c r="H423" s="21">
        <f>VLOOKUP(F423&amp;"|"&amp;G423,$O$3:$P$16,2,FALSE)</f>
        <v>6750</v>
      </c>
      <c r="I423" s="21">
        <f>VLOOKUP(F423&amp;"|"&amp;G423,$Q$3:$R$16,2,FALSE)</f>
        <v>93250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0"/>
      <c r="B424" s="21"/>
      <c r="C424" s="21"/>
      <c r="D424" s="21"/>
      <c r="E424" s="4"/>
      <c r="F424" s="20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0"/>
      <c r="B425" s="21"/>
      <c r="C425" s="21"/>
      <c r="D425" s="21"/>
      <c r="E425" s="4"/>
      <c r="F425" s="20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0"/>
      <c r="B426" s="21"/>
      <c r="C426" s="21"/>
      <c r="D426" s="21"/>
      <c r="E426" s="4"/>
      <c r="F426" s="20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0"/>
      <c r="B427" s="21"/>
      <c r="C427" s="21"/>
      <c r="D427" s="21"/>
      <c r="E427" s="4"/>
      <c r="F427" s="20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36" t="s">
        <v>16</v>
      </c>
      <c r="B428" s="53"/>
      <c r="C428" s="54"/>
      <c r="D428" s="21">
        <f>SUM(D423:D427)</f>
        <v>46650</v>
      </c>
      <c r="E428" s="4"/>
      <c r="F428" s="59" t="s">
        <v>49</v>
      </c>
      <c r="G428" s="53"/>
      <c r="H428" s="54"/>
      <c r="I428" s="21">
        <f>SUM(I423:I427)</f>
        <v>93250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25" thickTop="1" thickBot="1">
      <c r="A429" s="31"/>
      <c r="B429" s="2"/>
      <c r="C429" s="2"/>
      <c r="D429" s="2"/>
      <c r="E429" s="4"/>
      <c r="F429" s="31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1" t="s">
        <v>0</v>
      </c>
      <c r="B430" s="12" t="s">
        <v>149</v>
      </c>
      <c r="C430" s="12" t="s">
        <v>24</v>
      </c>
      <c r="D430" s="9">
        <v>46054</v>
      </c>
      <c r="E430" s="4"/>
      <c r="F430" s="11" t="s">
        <v>0</v>
      </c>
      <c r="G430" s="12" t="s">
        <v>57</v>
      </c>
      <c r="H430" s="12" t="s">
        <v>150</v>
      </c>
      <c r="I430" s="9">
        <v>46054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0" t="s">
        <v>6</v>
      </c>
      <c r="B431" s="21" t="s">
        <v>7</v>
      </c>
      <c r="C431" s="21" t="s">
        <v>8</v>
      </c>
      <c r="D431" s="21" t="s">
        <v>9</v>
      </c>
      <c r="E431" s="4"/>
      <c r="F431" s="20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31">
        <v>10</v>
      </c>
      <c r="B432" s="21">
        <v>1000000</v>
      </c>
      <c r="C432" s="21">
        <f>VLOOKUP(A432&amp;"|"&amp;B432,$O$3:$P$16,2,FALSE)</f>
        <v>3600</v>
      </c>
      <c r="D432" s="21">
        <f>VLOOKUP(A432&amp;"|"&amp;B432,$Q$3:$R$16,2,FALSE)</f>
        <v>46400</v>
      </c>
      <c r="E432" s="4"/>
      <c r="F432" s="57">
        <v>10.1</v>
      </c>
      <c r="G432" s="21">
        <v>1000000</v>
      </c>
      <c r="H432" s="21">
        <f>VLOOKUP(F432&amp;"|"&amp;G432,$O$3:$P$16,2,FALSE)</f>
        <v>3350</v>
      </c>
      <c r="I432" s="21">
        <f>VLOOKUP(F432&amp;"|"&amp;G432,$Q$3:$R$16,2,FALSE)</f>
        <v>46650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0"/>
      <c r="B433" s="21"/>
      <c r="C433" s="21"/>
      <c r="D433" s="21"/>
      <c r="E433" s="4"/>
      <c r="F433" s="20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0"/>
      <c r="B434" s="21"/>
      <c r="C434" s="21"/>
      <c r="D434" s="21"/>
      <c r="E434" s="4"/>
      <c r="F434" s="20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0"/>
      <c r="B435" s="21"/>
      <c r="C435" s="21"/>
      <c r="D435" s="21"/>
      <c r="E435" s="4"/>
      <c r="F435" s="20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0"/>
      <c r="B436" s="21"/>
      <c r="C436" s="21"/>
      <c r="D436" s="21"/>
      <c r="E436" s="4"/>
      <c r="F436" s="20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36" t="s">
        <v>16</v>
      </c>
      <c r="B437" s="53"/>
      <c r="C437" s="54"/>
      <c r="D437" s="21">
        <f>SUM(D432:D436)</f>
        <v>46400</v>
      </c>
      <c r="E437" s="4"/>
      <c r="F437" s="59" t="s">
        <v>49</v>
      </c>
      <c r="G437" s="53"/>
      <c r="H437" s="54"/>
      <c r="I437" s="21">
        <f>SUM(I432:I436)</f>
        <v>46650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31"/>
      <c r="B438" s="6"/>
      <c r="C438" s="2"/>
      <c r="D438" s="10"/>
      <c r="E438" s="4"/>
      <c r="F438" s="31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1" t="s">
        <v>0</v>
      </c>
      <c r="B439" s="12" t="s">
        <v>151</v>
      </c>
      <c r="C439" s="12" t="s">
        <v>43</v>
      </c>
      <c r="D439" s="9">
        <v>46054</v>
      </c>
      <c r="E439" s="4"/>
      <c r="F439" s="11" t="s">
        <v>0</v>
      </c>
      <c r="G439" s="12" t="s">
        <v>152</v>
      </c>
      <c r="H439" s="12" t="s">
        <v>43</v>
      </c>
      <c r="I439" s="9">
        <v>46054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0" t="s">
        <v>6</v>
      </c>
      <c r="B440" s="21" t="s">
        <v>7</v>
      </c>
      <c r="C440" s="21" t="s">
        <v>8</v>
      </c>
      <c r="D440" s="21" t="s">
        <v>9</v>
      </c>
      <c r="E440" s="4"/>
      <c r="F440" s="20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31">
        <v>5</v>
      </c>
      <c r="B441" s="21">
        <v>500000</v>
      </c>
      <c r="C441" s="21">
        <f>VLOOKUP(A441&amp;"|"&amp;B441,$O$3:$P$16,2,FALSE)</f>
        <v>3200</v>
      </c>
      <c r="D441" s="21">
        <f>VLOOKUP(A441&amp;"|"&amp;B441,$Q$3:$R$16,2,FALSE)</f>
        <v>21800</v>
      </c>
      <c r="E441" s="4"/>
      <c r="F441" s="57">
        <v>10</v>
      </c>
      <c r="G441" s="21">
        <v>2000000</v>
      </c>
      <c r="H441" s="21">
        <f>VLOOKUP(F441&amp;"|"&amp;G441,$O$3:$P$16,2,FALSE)</f>
        <v>6750</v>
      </c>
      <c r="I441" s="21">
        <f>VLOOKUP(F441&amp;"|"&amp;G441,$Q$3:$R$16,2,FALSE)</f>
        <v>93250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0"/>
      <c r="B442" s="21"/>
      <c r="C442" s="21"/>
      <c r="D442" s="21"/>
      <c r="E442" s="4"/>
      <c r="F442" s="20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0"/>
      <c r="B443" s="21"/>
      <c r="C443" s="21"/>
      <c r="D443" s="21"/>
      <c r="E443" s="4"/>
      <c r="F443" s="20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0"/>
      <c r="B444" s="21"/>
      <c r="C444" s="21"/>
      <c r="D444" s="21"/>
      <c r="E444" s="4"/>
      <c r="F444" s="20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0"/>
      <c r="B445" s="21"/>
      <c r="C445" s="21"/>
      <c r="D445" s="21"/>
      <c r="E445" s="4"/>
      <c r="F445" s="20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36" t="s">
        <v>16</v>
      </c>
      <c r="B446" s="36" t="s">
        <v>16</v>
      </c>
      <c r="C446" s="54"/>
      <c r="D446" s="21">
        <f>SUM(D441:D445)</f>
        <v>21800</v>
      </c>
      <c r="E446" s="4"/>
      <c r="F446" s="59" t="s">
        <v>49</v>
      </c>
      <c r="G446" s="53"/>
      <c r="H446" s="54"/>
      <c r="I446" s="21">
        <f>SUM(I441:I445)</f>
        <v>93250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31"/>
      <c r="B447" s="2"/>
      <c r="C447" s="2"/>
      <c r="D447" s="2"/>
      <c r="E447" s="4"/>
      <c r="F447" s="31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1" t="s">
        <v>0</v>
      </c>
      <c r="B448" s="12" t="s">
        <v>128</v>
      </c>
      <c r="C448" s="12" t="s">
        <v>101</v>
      </c>
      <c r="D448" s="9">
        <v>46054</v>
      </c>
      <c r="E448" s="4"/>
      <c r="F448" s="11" t="s">
        <v>0</v>
      </c>
      <c r="G448" s="12" t="s">
        <v>153</v>
      </c>
      <c r="H448" s="12" t="s">
        <v>101</v>
      </c>
      <c r="I448" s="9">
        <v>46054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0" t="s">
        <v>6</v>
      </c>
      <c r="B449" s="21" t="s">
        <v>7</v>
      </c>
      <c r="C449" s="21" t="s">
        <v>8</v>
      </c>
      <c r="D449" s="21" t="s">
        <v>9</v>
      </c>
      <c r="E449" s="4"/>
      <c r="F449" s="20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31">
        <v>5</v>
      </c>
      <c r="B450" s="21">
        <v>1000000</v>
      </c>
      <c r="C450" s="21">
        <f>VLOOKUP(A450&amp;"|"&amp;B450,$O$3:$P$16,2,FALSE)</f>
        <v>7500</v>
      </c>
      <c r="D450" s="21">
        <f>VLOOKUP(A450&amp;"|"&amp;B450,$Q$3:$R$16,2,FALSE)</f>
        <v>42500</v>
      </c>
      <c r="E450" s="4"/>
      <c r="F450" s="57">
        <v>5.0999999999999996</v>
      </c>
      <c r="G450" s="21">
        <v>1000000</v>
      </c>
      <c r="H450" s="21">
        <f>VLOOKUP(F450&amp;"|"&amp;G450,$O$3:$P$19,2,FALSE)</f>
        <v>7400</v>
      </c>
      <c r="I450" s="21">
        <f>VLOOKUP(F450&amp;"|"&amp;G450,$Q$3:$R$19,2,FALSE)</f>
        <v>42600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0"/>
      <c r="B451" s="21"/>
      <c r="C451" s="21"/>
      <c r="D451" s="21"/>
      <c r="E451" s="4"/>
      <c r="F451" s="20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0"/>
      <c r="B452" s="21"/>
      <c r="C452" s="21"/>
      <c r="D452" s="21"/>
      <c r="E452" s="4"/>
      <c r="F452" s="20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0"/>
      <c r="B453" s="21"/>
      <c r="C453" s="21"/>
      <c r="D453" s="21"/>
      <c r="E453" s="4"/>
      <c r="F453" s="20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0"/>
      <c r="B454" s="21"/>
      <c r="C454" s="21"/>
      <c r="D454" s="21"/>
      <c r="E454" s="4"/>
      <c r="F454" s="20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36" t="s">
        <v>16</v>
      </c>
      <c r="B455" s="53"/>
      <c r="C455" s="54"/>
      <c r="D455" s="21">
        <f>SUM(D450:D454)</f>
        <v>42500</v>
      </c>
      <c r="E455" s="4"/>
      <c r="F455" s="59" t="s">
        <v>49</v>
      </c>
      <c r="G455" s="53"/>
      <c r="H455" s="54"/>
      <c r="I455" s="21">
        <f>SUM(I450:I454)</f>
        <v>42600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25" thickTop="1" thickBot="1">
      <c r="A456" s="31"/>
      <c r="B456" s="2"/>
      <c r="C456" s="2"/>
      <c r="D456" s="2"/>
      <c r="E456" s="4"/>
      <c r="F456" s="31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1" t="s">
        <v>0</v>
      </c>
      <c r="B457" s="12" t="s">
        <v>35</v>
      </c>
      <c r="C457" s="12" t="s">
        <v>154</v>
      </c>
      <c r="D457" s="9">
        <v>46054</v>
      </c>
      <c r="E457" s="4"/>
      <c r="F457" s="11" t="s">
        <v>0</v>
      </c>
      <c r="G457" s="12" t="s">
        <v>155</v>
      </c>
      <c r="H457" s="12" t="s">
        <v>156</v>
      </c>
      <c r="I457" s="9">
        <v>46054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0" t="s">
        <v>6</v>
      </c>
      <c r="B458" s="21" t="s">
        <v>7</v>
      </c>
      <c r="C458" s="21" t="s">
        <v>8</v>
      </c>
      <c r="D458" s="21" t="s">
        <v>9</v>
      </c>
      <c r="E458" s="4"/>
      <c r="F458" s="20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31">
        <v>1</v>
      </c>
      <c r="B459" s="21">
        <v>1000000</v>
      </c>
      <c r="C459" s="21">
        <f>VLOOKUP(A459&amp;"|"&amp;B459,$O$3:$P$16,2,FALSE)</f>
        <v>8600</v>
      </c>
      <c r="D459" s="21">
        <f>VLOOKUP(A459&amp;"|"&amp;B459,$Q$3:$R$16,2,FALSE)</f>
        <v>41400</v>
      </c>
      <c r="E459" s="4"/>
      <c r="F459" s="57">
        <v>10</v>
      </c>
      <c r="G459" s="21">
        <v>1000000</v>
      </c>
      <c r="H459" s="21">
        <f>VLOOKUP(F459&amp;"|"&amp;G459,$O$3:$P$17,2,FALSE)</f>
        <v>3600</v>
      </c>
      <c r="I459" s="21">
        <f>VLOOKUP(F459&amp;"|"&amp;G459,$Q$3:$R$17,2,FALSE)</f>
        <v>46400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31">
        <v>10</v>
      </c>
      <c r="B460" s="21">
        <v>1000000</v>
      </c>
      <c r="C460" s="21">
        <f>VLOOKUP(A460&amp;"|"&amp;B460,$O$3:$P$16,2,FALSE)</f>
        <v>3600</v>
      </c>
      <c r="D460" s="21">
        <f>VLOOKUP(A460&amp;"|"&amp;B460,$Q$3:$R$16,2,FALSE)</f>
        <v>46400</v>
      </c>
      <c r="E460" s="4"/>
      <c r="F460" s="20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0"/>
      <c r="B461" s="21"/>
      <c r="C461" s="21"/>
      <c r="D461" s="21"/>
      <c r="E461" s="4"/>
      <c r="F461" s="20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0"/>
      <c r="B462" s="21"/>
      <c r="C462" s="21"/>
      <c r="D462" s="21"/>
      <c r="E462" s="4"/>
      <c r="F462" s="20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0"/>
      <c r="B463" s="21"/>
      <c r="C463" s="21"/>
      <c r="D463" s="21"/>
      <c r="E463" s="4"/>
      <c r="F463" s="20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36" t="s">
        <v>16</v>
      </c>
      <c r="B464" s="53"/>
      <c r="C464" s="54"/>
      <c r="D464" s="21">
        <f>SUM(D459:D463)</f>
        <v>87800</v>
      </c>
      <c r="E464" s="4"/>
      <c r="F464" s="59" t="s">
        <v>49</v>
      </c>
      <c r="G464" s="53"/>
      <c r="H464" s="54"/>
      <c r="I464" s="21">
        <f>SUM(I459:I463)</f>
        <v>46400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25" thickTop="1" thickBot="1">
      <c r="A465" s="31"/>
      <c r="B465" s="2"/>
      <c r="C465" s="2"/>
      <c r="D465" s="2"/>
      <c r="E465" s="4"/>
      <c r="F465" s="31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1" t="s">
        <v>0</v>
      </c>
      <c r="B466" s="12" t="s">
        <v>157</v>
      </c>
      <c r="C466" s="12" t="s">
        <v>48</v>
      </c>
      <c r="D466" s="9">
        <v>46054</v>
      </c>
      <c r="E466" s="4"/>
      <c r="F466" s="11" t="s">
        <v>0</v>
      </c>
      <c r="G466" s="12" t="s">
        <v>59</v>
      </c>
      <c r="H466" s="12" t="s">
        <v>158</v>
      </c>
      <c r="I466" s="9">
        <v>46054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0" t="s">
        <v>6</v>
      </c>
      <c r="B467" s="21" t="s">
        <v>7</v>
      </c>
      <c r="C467" s="21" t="s">
        <v>8</v>
      </c>
      <c r="D467" s="21" t="s">
        <v>9</v>
      </c>
      <c r="E467" s="4"/>
      <c r="F467" s="20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31">
        <v>5</v>
      </c>
      <c r="B468" s="21">
        <v>1000000</v>
      </c>
      <c r="C468" s="21">
        <f>VLOOKUP(A468&amp;"|"&amp;B468,$O$3:$P$16,2,FALSE)</f>
        <v>7500</v>
      </c>
      <c r="D468" s="21">
        <f>VLOOKUP(A468&amp;"|"&amp;B468,$Q$3:$R$16,2,FALSE)</f>
        <v>42500</v>
      </c>
      <c r="E468" s="4"/>
      <c r="F468" s="57">
        <v>1</v>
      </c>
      <c r="G468" s="21">
        <v>1000000</v>
      </c>
      <c r="H468" s="21">
        <f>VLOOKUP(F468&amp;"|"&amp;G468,$O$3:$P$16,2,FALSE)</f>
        <v>8600</v>
      </c>
      <c r="I468" s="21">
        <f>VLOOKUP(F468&amp;"|"&amp;G468,$Q$3:$R$16,2,FALSE)</f>
        <v>41400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31"/>
      <c r="B469" s="21"/>
      <c r="C469" s="21"/>
      <c r="D469" s="21"/>
      <c r="E469" s="4"/>
      <c r="F469" s="20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0"/>
      <c r="B470" s="21"/>
      <c r="C470" s="21"/>
      <c r="D470" s="21"/>
      <c r="E470" s="4"/>
      <c r="F470" s="20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0"/>
      <c r="B471" s="21"/>
      <c r="C471" s="21"/>
      <c r="D471" s="21"/>
      <c r="E471" s="4"/>
      <c r="F471" s="20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0"/>
      <c r="B472" s="21"/>
      <c r="C472" s="21"/>
      <c r="D472" s="21"/>
      <c r="E472" s="4"/>
      <c r="F472" s="20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36" t="s">
        <v>16</v>
      </c>
      <c r="B473" s="53"/>
      <c r="C473" s="54"/>
      <c r="D473" s="21">
        <f>SUM(D468:D472)</f>
        <v>42500</v>
      </c>
      <c r="E473" s="4"/>
      <c r="F473" s="59" t="s">
        <v>49</v>
      </c>
      <c r="G473" s="53"/>
      <c r="H473" s="54"/>
      <c r="I473" s="21">
        <f>SUM(I468:I472)</f>
        <v>41400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25" thickTop="1" thickBot="1">
      <c r="A474" s="31"/>
      <c r="B474" s="2"/>
      <c r="C474" s="2"/>
      <c r="D474" s="2"/>
      <c r="E474" s="4"/>
      <c r="F474" s="31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1" t="s">
        <v>0</v>
      </c>
      <c r="B475" s="12" t="s">
        <v>66</v>
      </c>
      <c r="C475" s="12" t="s">
        <v>43</v>
      </c>
      <c r="D475" s="9">
        <v>46054</v>
      </c>
      <c r="E475" s="4"/>
      <c r="F475" s="11" t="s">
        <v>0</v>
      </c>
      <c r="G475" s="12" t="s">
        <v>159</v>
      </c>
      <c r="H475" s="12" t="s">
        <v>41</v>
      </c>
      <c r="I475" s="9">
        <v>46054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0" t="s">
        <v>6</v>
      </c>
      <c r="B476" s="21" t="s">
        <v>7</v>
      </c>
      <c r="C476" s="21" t="s">
        <v>8</v>
      </c>
      <c r="D476" s="21" t="s">
        <v>9</v>
      </c>
      <c r="E476" s="4"/>
      <c r="F476" s="20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31">
        <v>1</v>
      </c>
      <c r="B477" s="21">
        <v>500000</v>
      </c>
      <c r="C477" s="21">
        <f>VLOOKUP(A477&amp;"|"&amp;B477,$O$3:$P$16,2,FALSE)</f>
        <v>4300</v>
      </c>
      <c r="D477" s="21">
        <f>VLOOKUP(A477&amp;"|"&amp;B477,$Q$3:$R$16,2,FALSE)</f>
        <v>20700</v>
      </c>
      <c r="E477" s="4"/>
      <c r="F477" s="57">
        <v>5</v>
      </c>
      <c r="G477" s="21">
        <v>500000</v>
      </c>
      <c r="H477" s="21">
        <f>VLOOKUP(F477&amp;"|"&amp;G477,$O$3:$P$16,2,FALSE)</f>
        <v>3200</v>
      </c>
      <c r="I477" s="21">
        <f>VLOOKUP(F477&amp;"|"&amp;G477,$Q$3:$R$16,2,FALSE)</f>
        <v>21800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0"/>
      <c r="B478" s="21"/>
      <c r="C478" s="21"/>
      <c r="D478" s="21"/>
      <c r="E478" s="4"/>
      <c r="F478" s="20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0"/>
      <c r="B479" s="21"/>
      <c r="C479" s="21"/>
      <c r="D479" s="21"/>
      <c r="E479" s="4"/>
      <c r="F479" s="20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0"/>
      <c r="B480" s="21"/>
      <c r="C480" s="21"/>
      <c r="D480" s="21"/>
      <c r="E480" s="4"/>
      <c r="F480" s="20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0"/>
      <c r="B481" s="21"/>
      <c r="C481" s="21"/>
      <c r="D481" s="21"/>
      <c r="E481" s="4"/>
      <c r="F481" s="20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36" t="s">
        <v>16</v>
      </c>
      <c r="B482" s="53"/>
      <c r="C482" s="54"/>
      <c r="D482" s="21">
        <f>SUM(D477:D481)</f>
        <v>20700</v>
      </c>
      <c r="E482" s="4"/>
      <c r="F482" s="59" t="s">
        <v>49</v>
      </c>
      <c r="G482" s="53"/>
      <c r="H482" s="54"/>
      <c r="I482" s="21">
        <f>SUM(I477:I481)</f>
        <v>21800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31"/>
      <c r="B483" s="6"/>
      <c r="C483" s="2"/>
      <c r="D483" s="10"/>
      <c r="E483" s="4"/>
      <c r="F483" s="31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1" t="s">
        <v>0</v>
      </c>
      <c r="B484" s="12" t="s">
        <v>160</v>
      </c>
      <c r="C484" s="12" t="s">
        <v>43</v>
      </c>
      <c r="D484" s="9">
        <v>46054</v>
      </c>
      <c r="E484" s="4"/>
      <c r="F484" s="11" t="s">
        <v>0</v>
      </c>
      <c r="G484" s="12" t="s">
        <v>44</v>
      </c>
      <c r="H484" s="12" t="s">
        <v>43</v>
      </c>
      <c r="I484" s="9">
        <v>46054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0" t="s">
        <v>6</v>
      </c>
      <c r="B485" s="21" t="s">
        <v>7</v>
      </c>
      <c r="C485" s="21" t="s">
        <v>8</v>
      </c>
      <c r="D485" s="21" t="s">
        <v>9</v>
      </c>
      <c r="E485" s="4"/>
      <c r="F485" s="20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31">
        <v>18</v>
      </c>
      <c r="B486" s="21">
        <v>500000</v>
      </c>
      <c r="C486" s="21">
        <f>VLOOKUP(A486&amp;"|"&amp;B486,$O$3:$P$16,2,FALSE)</f>
        <v>200</v>
      </c>
      <c r="D486" s="21">
        <f>VLOOKUP(A486&amp;"|"&amp;B486,$Q$3:$R$16,2,FALSE)</f>
        <v>24800</v>
      </c>
      <c r="E486" s="4"/>
      <c r="F486" s="57">
        <v>10</v>
      </c>
      <c r="G486" s="21">
        <v>500000</v>
      </c>
      <c r="H486" s="21">
        <f>VLOOKUP(F486&amp;"|"&amp;G486,$O$3:$P$16,2,FALSE)</f>
        <v>1800</v>
      </c>
      <c r="I486" s="21">
        <f>VLOOKUP(F486&amp;"|"&amp;G486,$Q$3:$R$16,2,FALSE)</f>
        <v>23200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31">
        <v>18</v>
      </c>
      <c r="B487" s="21">
        <v>500000</v>
      </c>
      <c r="C487" s="21">
        <f>VLOOKUP(A487&amp;"|"&amp;B487,$O$3:$P$16,2,FALSE)</f>
        <v>200</v>
      </c>
      <c r="D487" s="21">
        <f>VLOOKUP(A487&amp;"|"&amp;B487,$Q$3:$R$16,2,FALSE)</f>
        <v>24800</v>
      </c>
      <c r="E487" s="4"/>
      <c r="F487" s="20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0"/>
      <c r="B488" s="21"/>
      <c r="C488" s="21"/>
      <c r="D488" s="21"/>
      <c r="E488" s="4"/>
      <c r="F488" s="20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0"/>
      <c r="B489" s="21"/>
      <c r="C489" s="21"/>
      <c r="D489" s="21"/>
      <c r="E489" s="4"/>
      <c r="F489" s="20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0"/>
      <c r="B490" s="21"/>
      <c r="C490" s="21"/>
      <c r="D490" s="21"/>
      <c r="E490" s="4"/>
      <c r="F490" s="20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36" t="s">
        <v>16</v>
      </c>
      <c r="B491" s="53"/>
      <c r="C491" s="54"/>
      <c r="D491" s="21">
        <f>SUM(D486:D490)</f>
        <v>49600</v>
      </c>
      <c r="E491" s="4"/>
      <c r="F491" s="59" t="s">
        <v>49</v>
      </c>
      <c r="G491" s="53"/>
      <c r="H491" s="54"/>
      <c r="I491" s="21">
        <f>SUM(I486:I490)</f>
        <v>23200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25" thickTop="1" thickBot="1">
      <c r="A492" s="31"/>
      <c r="B492" s="2"/>
      <c r="C492" s="2"/>
      <c r="D492" s="2"/>
      <c r="E492" s="4"/>
      <c r="F492" s="31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1" t="s">
        <v>0</v>
      </c>
      <c r="B493" s="12" t="s">
        <v>161</v>
      </c>
      <c r="C493" s="12" t="s">
        <v>43</v>
      </c>
      <c r="D493" s="9">
        <v>46054</v>
      </c>
      <c r="E493" s="4"/>
      <c r="F493" s="11" t="s">
        <v>0</v>
      </c>
      <c r="G493" s="12" t="s">
        <v>162</v>
      </c>
      <c r="H493" s="12" t="s">
        <v>163</v>
      </c>
      <c r="I493" s="9">
        <v>46054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0" t="s">
        <v>6</v>
      </c>
      <c r="B494" s="21" t="s">
        <v>7</v>
      </c>
      <c r="C494" s="21" t="s">
        <v>8</v>
      </c>
      <c r="D494" s="21" t="s">
        <v>9</v>
      </c>
      <c r="E494" s="4"/>
      <c r="F494" s="20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31">
        <v>15</v>
      </c>
      <c r="B495" s="21">
        <v>500000</v>
      </c>
      <c r="C495" s="21">
        <f>VLOOKUP(A495&amp;"|"&amp;B495,$O$3:$P$16,2,FALSE)</f>
        <v>750</v>
      </c>
      <c r="D495" s="21">
        <f>VLOOKUP(A495&amp;"|"&amp;B495,$Q$3:$R$16,2,FALSE)</f>
        <v>24250</v>
      </c>
      <c r="E495" s="4"/>
      <c r="F495" s="57">
        <v>15</v>
      </c>
      <c r="G495" s="21">
        <v>500000</v>
      </c>
      <c r="H495" s="21">
        <f>VLOOKUP(F495&amp;"|"&amp;G495,$O$3:$P$16,2,FALSE)</f>
        <v>750</v>
      </c>
      <c r="I495" s="21">
        <f>VLOOKUP(F495&amp;"|"&amp;G495,$Q$3:$R$16,2,FALSE)</f>
        <v>24250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0"/>
      <c r="B496" s="21"/>
      <c r="C496" s="21"/>
      <c r="D496" s="21"/>
      <c r="E496" s="4"/>
      <c r="F496" s="57">
        <v>15</v>
      </c>
      <c r="G496" s="21">
        <v>500000</v>
      </c>
      <c r="H496" s="21">
        <f>VLOOKUP(F496&amp;"|"&amp;G496,$O$3:$P$16,2,FALSE)</f>
        <v>750</v>
      </c>
      <c r="I496" s="21">
        <f>VLOOKUP(F496&amp;"|"&amp;G496,$Q$3:$R$16,2,FALSE)</f>
        <v>24250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0"/>
      <c r="B497" s="21"/>
      <c r="C497" s="21"/>
      <c r="D497" s="21"/>
      <c r="E497" s="4"/>
      <c r="F497" s="57">
        <v>10</v>
      </c>
      <c r="G497" s="21">
        <v>500000</v>
      </c>
      <c r="H497" s="21">
        <f>VLOOKUP(F497&amp;"|"&amp;G497,$O$3:$P$17,2,FALSE)</f>
        <v>1800</v>
      </c>
      <c r="I497" s="21">
        <f>VLOOKUP(F497&amp;"|"&amp;G497,$Q$3:$R$17,2,FALSE)</f>
        <v>23200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0"/>
      <c r="B498" s="21"/>
      <c r="C498" s="21"/>
      <c r="D498" s="21"/>
      <c r="E498" s="4"/>
      <c r="F498" s="57">
        <v>5</v>
      </c>
      <c r="G498" s="21">
        <v>1000000</v>
      </c>
      <c r="H498" s="21">
        <f>VLOOKUP(F498&amp;"|"&amp;G498,$O$3:$P$17,2,FALSE)</f>
        <v>7500</v>
      </c>
      <c r="I498" s="21">
        <f>VLOOKUP(F498&amp;"|"&amp;G498,$Q$3:$R$17,2,FALSE)</f>
        <v>42500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0"/>
      <c r="B499" s="21"/>
      <c r="C499" s="21"/>
      <c r="D499" s="21"/>
      <c r="E499" s="4"/>
      <c r="F499" s="20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36" t="s">
        <v>16</v>
      </c>
      <c r="B500" s="53"/>
      <c r="C500" s="54"/>
      <c r="D500" s="21">
        <f>SUM(D495:D499)</f>
        <v>24250</v>
      </c>
      <c r="E500" s="4"/>
      <c r="F500" s="59" t="s">
        <v>49</v>
      </c>
      <c r="G500" s="53"/>
      <c r="H500" s="54"/>
      <c r="I500" s="21">
        <f>SUM(I495:I499)</f>
        <v>114200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25" thickTop="1" thickBot="1">
      <c r="A501" s="60"/>
      <c r="F501" s="26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1" t="s">
        <v>0</v>
      </c>
      <c r="B502" s="12" t="s">
        <v>164</v>
      </c>
      <c r="C502" s="12" t="s">
        <v>165</v>
      </c>
      <c r="D502" s="9">
        <v>46054</v>
      </c>
      <c r="E502" s="4"/>
      <c r="F502" s="11" t="s">
        <v>3</v>
      </c>
      <c r="G502" s="12" t="s">
        <v>166</v>
      </c>
      <c r="H502" s="12" t="s">
        <v>167</v>
      </c>
      <c r="I502" s="9">
        <v>46054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0" t="s">
        <v>6</v>
      </c>
      <c r="B503" s="21" t="s">
        <v>7</v>
      </c>
      <c r="C503" s="21" t="s">
        <v>8</v>
      </c>
      <c r="D503" s="21" t="s">
        <v>9</v>
      </c>
      <c r="E503" s="4"/>
      <c r="F503" s="20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31">
        <v>10</v>
      </c>
      <c r="B504" s="21">
        <v>2000000</v>
      </c>
      <c r="C504" s="21">
        <f>VLOOKUP(A504&amp;"|"&amp;B504,$O$3:$P$16,2,FALSE)</f>
        <v>6750</v>
      </c>
      <c r="D504" s="21">
        <f>VLOOKUP(A504&amp;"|"&amp;B504,$Q$3:$R$16,2,FALSE)</f>
        <v>93250</v>
      </c>
      <c r="E504" s="4"/>
      <c r="F504" s="57">
        <v>10</v>
      </c>
      <c r="G504" s="21">
        <v>500000</v>
      </c>
      <c r="H504" s="21">
        <f>VLOOKUP(F504&amp;"|"&amp;G504,$O$3:$P$17,2,FALSE)</f>
        <v>1800</v>
      </c>
      <c r="I504" s="21">
        <f>VLOOKUP(F504&amp;"|"&amp;G504,$Q$3:$R$17,2,FALSE)</f>
        <v>23200</v>
      </c>
    </row>
    <row r="505" spans="1:26" ht="20.25" thickTop="1" thickBot="1">
      <c r="A505" s="20"/>
      <c r="B505" s="21"/>
      <c r="C505" s="21"/>
      <c r="D505" s="21"/>
      <c r="E505" s="4"/>
      <c r="F505" s="20"/>
      <c r="G505" s="21"/>
      <c r="H505" s="21"/>
      <c r="I505" s="21"/>
    </row>
    <row r="506" spans="1:26" ht="20.25" thickTop="1" thickBot="1">
      <c r="A506" s="20"/>
      <c r="B506" s="21"/>
      <c r="C506" s="21"/>
      <c r="D506" s="21"/>
      <c r="E506" s="4"/>
      <c r="F506" s="20"/>
      <c r="G506" s="21"/>
      <c r="H506" s="21"/>
      <c r="I506" s="21"/>
    </row>
    <row r="507" spans="1:26" ht="20.25" thickTop="1" thickBot="1">
      <c r="A507" s="20"/>
      <c r="B507" s="21"/>
      <c r="C507" s="21"/>
      <c r="D507" s="21"/>
      <c r="E507" s="4"/>
      <c r="F507" s="20"/>
      <c r="G507" s="21"/>
      <c r="H507" s="21"/>
      <c r="I507" s="21"/>
    </row>
    <row r="508" spans="1:26" ht="20.25" thickTop="1" thickBot="1">
      <c r="A508" s="20"/>
      <c r="B508" s="21"/>
      <c r="C508" s="21"/>
      <c r="D508" s="21"/>
      <c r="E508" s="4"/>
      <c r="F508" s="20"/>
      <c r="G508" s="21"/>
      <c r="H508" s="21"/>
      <c r="I508" s="21"/>
    </row>
    <row r="509" spans="1:26" ht="20.25" thickTop="1" thickBot="1">
      <c r="A509" s="36" t="s">
        <v>16</v>
      </c>
      <c r="B509" s="61"/>
      <c r="C509" s="54"/>
      <c r="D509" s="21">
        <f>SUM(D504:D508)</f>
        <v>93250</v>
      </c>
      <c r="E509" s="4"/>
      <c r="F509" s="62" t="s">
        <v>49</v>
      </c>
      <c r="G509" s="53"/>
      <c r="H509" s="54"/>
      <c r="I509" s="21">
        <f>SUM(I504:I508)</f>
        <v>23200</v>
      </c>
    </row>
    <row r="510" spans="1:26" ht="17.25" thickTop="1" thickBot="1">
      <c r="A510" s="60"/>
      <c r="F510" s="26"/>
    </row>
    <row r="511" spans="1:26" ht="20.25" thickTop="1" thickBot="1">
      <c r="A511" s="11" t="s">
        <v>0</v>
      </c>
      <c r="B511" s="12" t="s">
        <v>146</v>
      </c>
      <c r="C511" s="12" t="s">
        <v>38</v>
      </c>
      <c r="D511" s="9">
        <v>46054</v>
      </c>
      <c r="E511" s="4"/>
      <c r="F511" s="11" t="s">
        <v>3</v>
      </c>
      <c r="G511" s="12" t="s">
        <v>57</v>
      </c>
      <c r="H511" s="12" t="s">
        <v>168</v>
      </c>
      <c r="I511" s="9">
        <v>46054</v>
      </c>
    </row>
    <row r="512" spans="1:26" ht="20.25" thickTop="1" thickBot="1">
      <c r="A512" s="20" t="s">
        <v>6</v>
      </c>
      <c r="B512" s="21" t="s">
        <v>7</v>
      </c>
      <c r="C512" s="21" t="s">
        <v>8</v>
      </c>
      <c r="D512" s="21" t="s">
        <v>9</v>
      </c>
      <c r="E512" s="4"/>
      <c r="F512" s="20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31">
        <v>10</v>
      </c>
      <c r="B513" s="21">
        <v>500000</v>
      </c>
      <c r="C513" s="21">
        <f>VLOOKUP(A513&amp;"|"&amp;B513,$O$3:$P$17,2,FALSE)</f>
        <v>1800</v>
      </c>
      <c r="D513" s="21">
        <f>VLOOKUP(A513&amp;"|"&amp;B513,$Q$3:$R$17,2,FALSE)</f>
        <v>23200</v>
      </c>
      <c r="E513" s="4"/>
      <c r="F513" s="57">
        <v>10</v>
      </c>
      <c r="G513" s="21">
        <v>500000</v>
      </c>
      <c r="H513" s="21">
        <f>VLOOKUP(F513&amp;"|"&amp;G513,$O$3:$P$17,2,FALSE)</f>
        <v>1800</v>
      </c>
      <c r="I513" s="21">
        <f>VLOOKUP(F513&amp;"|"&amp;G513,$Q$3:$R$17,2,FALSE)</f>
        <v>23200</v>
      </c>
    </row>
    <row r="514" spans="1:9" ht="20.25" thickTop="1" thickBot="1">
      <c r="A514" s="20"/>
      <c r="B514" s="21"/>
      <c r="C514" s="21"/>
      <c r="D514" s="21"/>
      <c r="E514" s="4"/>
      <c r="F514" s="20"/>
      <c r="G514" s="21"/>
      <c r="H514" s="21"/>
      <c r="I514" s="21"/>
    </row>
    <row r="515" spans="1:9" ht="20.25" thickTop="1" thickBot="1">
      <c r="A515" s="20"/>
      <c r="B515" s="21"/>
      <c r="C515" s="21"/>
      <c r="D515" s="21"/>
      <c r="E515" s="4"/>
      <c r="F515" s="20"/>
      <c r="G515" s="21"/>
      <c r="H515" s="21"/>
      <c r="I515" s="21"/>
    </row>
    <row r="516" spans="1:9" ht="20.25" thickTop="1" thickBot="1">
      <c r="A516" s="20"/>
      <c r="B516" s="21"/>
      <c r="C516" s="21"/>
      <c r="D516" s="21"/>
      <c r="E516" s="4"/>
      <c r="F516" s="20"/>
      <c r="G516" s="21"/>
      <c r="H516" s="21"/>
      <c r="I516" s="21"/>
    </row>
    <row r="517" spans="1:9" ht="20.25" thickTop="1" thickBot="1">
      <c r="A517" s="20"/>
      <c r="B517" s="21"/>
      <c r="C517" s="21"/>
      <c r="D517" s="21"/>
      <c r="E517" s="4"/>
      <c r="F517" s="20"/>
      <c r="G517" s="21"/>
      <c r="H517" s="21"/>
      <c r="I517" s="21"/>
    </row>
    <row r="518" spans="1:9" ht="20.25" thickTop="1" thickBot="1">
      <c r="A518" s="36" t="s">
        <v>16</v>
      </c>
      <c r="B518" s="53"/>
      <c r="C518" s="54"/>
      <c r="D518" s="21">
        <f>SUM(D513:D517)</f>
        <v>23200</v>
      </c>
      <c r="E518" s="4"/>
      <c r="F518" s="59" t="s">
        <v>25</v>
      </c>
      <c r="G518" s="53"/>
      <c r="H518" s="54"/>
      <c r="I518" s="21">
        <f>SUM(I513:I517)</f>
        <v>23200</v>
      </c>
    </row>
    <row r="519" spans="1:9" ht="17.25" thickTop="1" thickBot="1">
      <c r="A519" s="60"/>
      <c r="F519" s="26"/>
    </row>
    <row r="520" spans="1:9" ht="20.25" thickTop="1" thickBot="1">
      <c r="A520" s="11" t="s">
        <v>3</v>
      </c>
      <c r="B520" s="12" t="s">
        <v>169</v>
      </c>
      <c r="C520" s="12" t="s">
        <v>170</v>
      </c>
      <c r="D520" s="9">
        <v>46054</v>
      </c>
      <c r="F520" s="11" t="s">
        <v>3</v>
      </c>
      <c r="G520" s="12" t="s">
        <v>171</v>
      </c>
      <c r="H520" s="12" t="s">
        <v>172</v>
      </c>
      <c r="I520" s="9">
        <v>46054</v>
      </c>
    </row>
    <row r="521" spans="1:9" ht="20.25" thickTop="1" thickBot="1">
      <c r="A521" s="20" t="s">
        <v>6</v>
      </c>
      <c r="B521" s="21" t="s">
        <v>7</v>
      </c>
      <c r="C521" s="21" t="s">
        <v>8</v>
      </c>
      <c r="D521" s="21" t="s">
        <v>9</v>
      </c>
      <c r="F521" s="20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31">
        <v>1</v>
      </c>
      <c r="B522" s="21">
        <v>500000</v>
      </c>
      <c r="C522" s="21">
        <f>VLOOKUP(A522&amp;"|"&amp;B522,$O$3:$P$17,2,FALSE)</f>
        <v>4300</v>
      </c>
      <c r="D522" s="21">
        <f>VLOOKUP(A522&amp;"|"&amp;B522,$Q$3:$R$17,2,FALSE)</f>
        <v>20700</v>
      </c>
      <c r="F522" s="57">
        <v>10</v>
      </c>
      <c r="G522" s="21">
        <v>1000000</v>
      </c>
      <c r="H522" s="21">
        <f>VLOOKUP(F522&amp;"|"&amp;G522,$O$3:$P$17,2,FALSE)</f>
        <v>3600</v>
      </c>
      <c r="I522" s="21">
        <f>VLOOKUP(F522&amp;"|"&amp;G522,$Q$3:$R$17,2,FALSE)</f>
        <v>46400</v>
      </c>
    </row>
    <row r="523" spans="1:9" ht="20.25" thickTop="1" thickBot="1">
      <c r="A523" s="20"/>
      <c r="B523" s="21"/>
      <c r="C523" s="21"/>
      <c r="D523" s="21"/>
      <c r="F523" s="57">
        <v>10</v>
      </c>
      <c r="G523" s="21">
        <v>1000000</v>
      </c>
      <c r="H523" s="21">
        <f>VLOOKUP(F523&amp;"|"&amp;G523,$O$3:$P$17,2,FALSE)</f>
        <v>3600</v>
      </c>
      <c r="I523" s="21">
        <f>VLOOKUP(F523&amp;"|"&amp;G523,$Q$3:$R$17,2,FALSE)</f>
        <v>46400</v>
      </c>
    </row>
    <row r="524" spans="1:9" ht="20.25" thickTop="1" thickBot="1">
      <c r="A524" s="20"/>
      <c r="B524" s="21"/>
      <c r="C524" s="21"/>
      <c r="D524" s="21"/>
      <c r="F524" s="20"/>
      <c r="G524" s="21"/>
      <c r="H524" s="21"/>
      <c r="I524" s="21"/>
    </row>
    <row r="525" spans="1:9" ht="20.25" thickTop="1" thickBot="1">
      <c r="A525" s="20"/>
      <c r="B525" s="21"/>
      <c r="C525" s="21"/>
      <c r="D525" s="21"/>
      <c r="F525" s="20"/>
      <c r="G525" s="21"/>
      <c r="H525" s="21"/>
      <c r="I525" s="21"/>
    </row>
    <row r="526" spans="1:9" ht="20.25" thickTop="1" thickBot="1">
      <c r="A526" s="20"/>
      <c r="B526" s="21"/>
      <c r="C526" s="21"/>
      <c r="D526" s="21"/>
      <c r="F526" s="20"/>
      <c r="G526" s="21"/>
      <c r="H526" s="21"/>
      <c r="I526" s="21"/>
    </row>
    <row r="527" spans="1:9" ht="20.25" thickTop="1" thickBot="1">
      <c r="A527" s="36" t="s">
        <v>16</v>
      </c>
      <c r="B527" s="53"/>
      <c r="C527" s="54"/>
      <c r="D527" s="21">
        <f>SUM(D522:D526)</f>
        <v>20700</v>
      </c>
      <c r="F527" s="59" t="s">
        <v>25</v>
      </c>
      <c r="G527" s="53"/>
      <c r="H527" s="54"/>
      <c r="I527" s="21">
        <f>SUM(I522:I526)</f>
        <v>92800</v>
      </c>
    </row>
    <row r="528" spans="1:9" ht="17.25" thickTop="1" thickBot="1">
      <c r="A528" s="60"/>
      <c r="F528" s="26"/>
    </row>
    <row r="529" spans="1:9" ht="20.25" thickTop="1" thickBot="1">
      <c r="A529" s="11" t="s">
        <v>3</v>
      </c>
      <c r="B529" s="12" t="s">
        <v>61</v>
      </c>
      <c r="C529" s="12" t="s">
        <v>173</v>
      </c>
      <c r="D529" s="9">
        <v>46054</v>
      </c>
      <c r="F529" s="11" t="s">
        <v>3</v>
      </c>
      <c r="G529" s="12" t="s">
        <v>174</v>
      </c>
      <c r="H529" s="12" t="s">
        <v>175</v>
      </c>
      <c r="I529" s="9">
        <v>46054</v>
      </c>
    </row>
    <row r="530" spans="1:9" ht="20.25" thickTop="1" thickBot="1">
      <c r="A530" s="20" t="s">
        <v>6</v>
      </c>
      <c r="B530" s="21" t="s">
        <v>7</v>
      </c>
      <c r="C530" s="21" t="s">
        <v>8</v>
      </c>
      <c r="D530" s="21" t="s">
        <v>9</v>
      </c>
      <c r="F530" s="20" t="s">
        <v>6</v>
      </c>
      <c r="G530" s="21" t="s">
        <v>7</v>
      </c>
      <c r="H530" s="21" t="s">
        <v>8</v>
      </c>
      <c r="I530" s="21" t="s">
        <v>9</v>
      </c>
    </row>
    <row r="531" spans="1:9" ht="20.25" thickTop="1" thickBot="1">
      <c r="A531" s="31">
        <v>5</v>
      </c>
      <c r="B531" s="21">
        <v>1000000</v>
      </c>
      <c r="C531" s="21">
        <f>VLOOKUP(A531&amp;"|"&amp;B531,$O$3:$P$17,2,FALSE)</f>
        <v>7500</v>
      </c>
      <c r="D531" s="21">
        <f>VLOOKUP(A531&amp;"|"&amp;B531,$Q$3:$R$17,2,FALSE)</f>
        <v>42500</v>
      </c>
      <c r="F531" s="57">
        <v>10</v>
      </c>
      <c r="G531" s="21">
        <v>2000000</v>
      </c>
      <c r="H531" s="21">
        <f>VLOOKUP(F531&amp;"|"&amp;G531,$O$3:$P$17,2,FALSE)</f>
        <v>6750</v>
      </c>
      <c r="I531" s="21">
        <f>VLOOKUP(F531&amp;"|"&amp;G531,$Q$3:$R$17,2,FALSE)</f>
        <v>93250</v>
      </c>
    </row>
    <row r="532" spans="1:9" ht="20.25" thickTop="1" thickBot="1">
      <c r="A532" s="31">
        <v>5.0999999999999996</v>
      </c>
      <c r="B532" s="21">
        <v>1000000</v>
      </c>
      <c r="C532" s="21">
        <f>VLOOKUP(A532&amp;"|"&amp;B532,$O$3:$P$17,2,FALSE)</f>
        <v>7400</v>
      </c>
      <c r="D532" s="21">
        <f>VLOOKUP(A532&amp;"|"&amp;B532,$Q$3:$R$17,2,FALSE)</f>
        <v>42600</v>
      </c>
      <c r="F532" s="20"/>
      <c r="G532" s="21"/>
      <c r="H532" s="21"/>
      <c r="I532" s="21"/>
    </row>
    <row r="533" spans="1:9" ht="20.25" thickTop="1" thickBot="1">
      <c r="A533" s="20"/>
      <c r="B533" s="21"/>
      <c r="C533" s="21"/>
      <c r="D533" s="21"/>
      <c r="F533" s="20"/>
      <c r="G533" s="21"/>
      <c r="H533" s="21"/>
      <c r="I533" s="21"/>
    </row>
    <row r="534" spans="1:9" ht="20.25" thickTop="1" thickBot="1">
      <c r="A534" s="20"/>
      <c r="B534" s="21"/>
      <c r="C534" s="21"/>
      <c r="D534" s="21"/>
      <c r="F534" s="20"/>
      <c r="G534" s="21"/>
      <c r="H534" s="21"/>
      <c r="I534" s="21"/>
    </row>
    <row r="535" spans="1:9" ht="20.25" thickTop="1" thickBot="1">
      <c r="A535" s="20"/>
      <c r="B535" s="21"/>
      <c r="C535" s="21"/>
      <c r="D535" s="21"/>
      <c r="F535" s="20"/>
      <c r="G535" s="21"/>
      <c r="H535" s="21"/>
      <c r="I535" s="21"/>
    </row>
    <row r="536" spans="1:9" ht="20.25" thickTop="1" thickBot="1">
      <c r="A536" s="36" t="s">
        <v>16</v>
      </c>
      <c r="B536" s="53"/>
      <c r="C536" s="54"/>
      <c r="D536" s="21">
        <f>SUM(D531:D535)</f>
        <v>85100</v>
      </c>
      <c r="F536" s="62" t="s">
        <v>49</v>
      </c>
      <c r="G536" s="53"/>
      <c r="H536" s="54"/>
      <c r="I536" s="21">
        <f>SUM(I531:I535)</f>
        <v>93250</v>
      </c>
    </row>
    <row r="537" spans="1:9" ht="17.25" thickTop="1" thickBot="1">
      <c r="A537" s="60"/>
      <c r="F537" s="26"/>
    </row>
    <row r="538" spans="1:9" ht="20.25" thickTop="1" thickBot="1">
      <c r="A538" s="63" t="s">
        <v>3</v>
      </c>
      <c r="B538" s="64" t="s">
        <v>176</v>
      </c>
      <c r="C538" s="64" t="s">
        <v>173</v>
      </c>
      <c r="D538" s="65">
        <v>46054</v>
      </c>
      <c r="E538" s="18"/>
      <c r="F538" s="63" t="s">
        <v>3</v>
      </c>
      <c r="G538" s="64" t="s">
        <v>1</v>
      </c>
      <c r="H538" s="64" t="s">
        <v>173</v>
      </c>
      <c r="I538" s="65">
        <v>46054</v>
      </c>
    </row>
    <row r="539" spans="1:9" ht="20.25" thickTop="1" thickBot="1">
      <c r="A539" s="66" t="s">
        <v>6</v>
      </c>
      <c r="B539" s="67" t="s">
        <v>7</v>
      </c>
      <c r="C539" s="67" t="s">
        <v>8</v>
      </c>
      <c r="D539" s="67" t="s">
        <v>9</v>
      </c>
      <c r="E539" s="18"/>
      <c r="F539" s="66" t="s">
        <v>6</v>
      </c>
      <c r="G539" s="67" t="s">
        <v>7</v>
      </c>
      <c r="H539" s="67" t="s">
        <v>8</v>
      </c>
      <c r="I539" s="67" t="s">
        <v>9</v>
      </c>
    </row>
    <row r="540" spans="1:9" ht="20.25" thickTop="1" thickBot="1">
      <c r="A540" s="68">
        <v>5.0999999999999996</v>
      </c>
      <c r="B540" s="67">
        <v>1000000</v>
      </c>
      <c r="C540" s="67">
        <f>VLOOKUP(A540&amp;"|"&amp;B540,$O$3:$P$17,2,FALSE)</f>
        <v>7400</v>
      </c>
      <c r="D540" s="67">
        <f>VLOOKUP(A540&amp;"|"&amp;B540,$Q$3:$R$17,2,FALSE)</f>
        <v>42600</v>
      </c>
      <c r="E540" s="18"/>
      <c r="F540" s="69">
        <v>5</v>
      </c>
      <c r="G540" s="67">
        <v>1000000</v>
      </c>
      <c r="H540" s="67">
        <f>VLOOKUP(F540&amp;"|"&amp;G540,$O$3:$P$17,2,FALSE)</f>
        <v>7500</v>
      </c>
      <c r="I540" s="67">
        <f>VLOOKUP(F540&amp;"|"&amp;G540,$Q$3:$R$17,2,FALSE)</f>
        <v>42500</v>
      </c>
    </row>
    <row r="541" spans="1:9" ht="20.25" thickTop="1" thickBot="1">
      <c r="A541" s="66"/>
      <c r="B541" s="67"/>
      <c r="C541" s="67"/>
      <c r="D541" s="67"/>
      <c r="E541" s="18"/>
      <c r="F541" s="69">
        <v>5.0999999999999996</v>
      </c>
      <c r="G541" s="67">
        <v>1000000</v>
      </c>
      <c r="H541" s="67">
        <f>VLOOKUP(F541&amp;"|"&amp;G541,$O$3:$P$17,2,FALSE)</f>
        <v>7400</v>
      </c>
      <c r="I541" s="67">
        <f>VLOOKUP(F541&amp;"|"&amp;G541,$Q$3:$R$17,2,FALSE)</f>
        <v>42600</v>
      </c>
    </row>
    <row r="542" spans="1:9" ht="20.25" thickTop="1" thickBot="1">
      <c r="A542" s="66"/>
      <c r="B542" s="67"/>
      <c r="C542" s="67"/>
      <c r="D542" s="67"/>
      <c r="E542" s="18"/>
      <c r="F542" s="66"/>
      <c r="G542" s="67"/>
      <c r="H542" s="67"/>
      <c r="I542" s="67"/>
    </row>
    <row r="543" spans="1:9" ht="20.25" thickTop="1" thickBot="1">
      <c r="A543" s="66"/>
      <c r="B543" s="67"/>
      <c r="C543" s="67"/>
      <c r="D543" s="67"/>
      <c r="E543" s="18"/>
      <c r="F543" s="66"/>
      <c r="G543" s="67"/>
      <c r="H543" s="67"/>
      <c r="I543" s="67"/>
    </row>
    <row r="544" spans="1:9" ht="20.25" thickTop="1" thickBot="1">
      <c r="A544" s="66"/>
      <c r="B544" s="67"/>
      <c r="C544" s="67"/>
      <c r="D544" s="67"/>
      <c r="E544" s="18"/>
      <c r="F544" s="66"/>
      <c r="G544" s="67"/>
      <c r="H544" s="67"/>
      <c r="I544" s="67"/>
    </row>
    <row r="545" spans="1:9" ht="20.25" thickTop="1" thickBot="1">
      <c r="A545" s="36" t="s">
        <v>16</v>
      </c>
      <c r="B545" s="70"/>
      <c r="C545" s="71"/>
      <c r="D545" s="67">
        <f>SUM(D540:D544)</f>
        <v>42600</v>
      </c>
      <c r="E545" s="18"/>
      <c r="F545" s="72" t="s">
        <v>49</v>
      </c>
      <c r="G545" s="70"/>
      <c r="H545" s="71"/>
      <c r="I545" s="67">
        <f>SUM(I540:I544)</f>
        <v>85100</v>
      </c>
    </row>
    <row r="546" spans="1:9" ht="17.25" thickTop="1" thickBot="1">
      <c r="A546" s="68"/>
      <c r="B546" s="18"/>
      <c r="C546" s="18"/>
      <c r="D546" s="18"/>
      <c r="E546" s="18"/>
      <c r="F546" s="69"/>
      <c r="G546" s="18"/>
      <c r="H546" s="18"/>
      <c r="I546" s="18"/>
    </row>
    <row r="547" spans="1:9" ht="20.25" thickTop="1" thickBot="1">
      <c r="A547" s="63" t="s">
        <v>3</v>
      </c>
      <c r="B547" s="64" t="s">
        <v>177</v>
      </c>
      <c r="C547" s="64" t="s">
        <v>178</v>
      </c>
      <c r="D547" s="65">
        <v>46054</v>
      </c>
      <c r="E547" s="18"/>
      <c r="F547" s="63" t="s">
        <v>3</v>
      </c>
      <c r="G547" s="64" t="s">
        <v>73</v>
      </c>
      <c r="H547" s="64" t="s">
        <v>48</v>
      </c>
      <c r="I547" s="65">
        <v>46054</v>
      </c>
    </row>
    <row r="548" spans="1:9" ht="20.25" thickTop="1" thickBot="1">
      <c r="A548" s="66" t="s">
        <v>6</v>
      </c>
      <c r="B548" s="67" t="s">
        <v>7</v>
      </c>
      <c r="C548" s="67" t="s">
        <v>8</v>
      </c>
      <c r="D548" s="67" t="s">
        <v>9</v>
      </c>
      <c r="E548" s="18"/>
      <c r="F548" s="66" t="s">
        <v>6</v>
      </c>
      <c r="G548" s="67" t="s">
        <v>7</v>
      </c>
      <c r="H548" s="67" t="s">
        <v>8</v>
      </c>
      <c r="I548" s="67" t="s">
        <v>9</v>
      </c>
    </row>
    <row r="549" spans="1:9" ht="20.25" thickTop="1" thickBot="1">
      <c r="A549" s="68">
        <v>5.0999999999999996</v>
      </c>
      <c r="B549" s="67">
        <v>1000000</v>
      </c>
      <c r="C549" s="67">
        <f>VLOOKUP(A549&amp;"|"&amp;B549,$O$3:$P$17,2,FALSE)</f>
        <v>7400</v>
      </c>
      <c r="D549" s="67">
        <f>VLOOKUP(A549&amp;"|"&amp;B549,$Q$3:$R$17,2,FALSE)</f>
        <v>42600</v>
      </c>
      <c r="E549" s="18"/>
      <c r="F549" s="69">
        <v>5.0999999999999996</v>
      </c>
      <c r="G549" s="67">
        <v>1000000</v>
      </c>
      <c r="H549" s="67">
        <f>VLOOKUP(F549&amp;"|"&amp;G549,$O$3:$P$17,2,FALSE)</f>
        <v>7400</v>
      </c>
      <c r="I549" s="67">
        <f>VLOOKUP(F549&amp;"|"&amp;G549,$Q$3:$R$17,2,FALSE)</f>
        <v>42600</v>
      </c>
    </row>
    <row r="550" spans="1:9" ht="20.25" thickTop="1" thickBot="1">
      <c r="A550" s="66"/>
      <c r="B550" s="67"/>
      <c r="C550" s="67"/>
      <c r="D550" s="67"/>
      <c r="E550" s="18"/>
      <c r="F550" s="66"/>
      <c r="G550" s="67"/>
      <c r="H550" s="67"/>
      <c r="I550" s="67"/>
    </row>
    <row r="551" spans="1:9" ht="20.25" thickTop="1" thickBot="1">
      <c r="A551" s="66"/>
      <c r="B551" s="67"/>
      <c r="C551" s="67"/>
      <c r="D551" s="67"/>
      <c r="E551" s="18"/>
      <c r="F551" s="66"/>
      <c r="G551" s="67"/>
      <c r="H551" s="67"/>
      <c r="I551" s="67"/>
    </row>
    <row r="552" spans="1:9" ht="20.25" thickTop="1" thickBot="1">
      <c r="A552" s="66"/>
      <c r="B552" s="67"/>
      <c r="C552" s="67"/>
      <c r="D552" s="67"/>
      <c r="E552" s="18"/>
      <c r="F552" s="66"/>
      <c r="G552" s="67"/>
      <c r="H552" s="67"/>
      <c r="I552" s="67"/>
    </row>
    <row r="553" spans="1:9" ht="20.25" thickTop="1" thickBot="1">
      <c r="A553" s="66"/>
      <c r="B553" s="67"/>
      <c r="C553" s="67"/>
      <c r="D553" s="67"/>
      <c r="E553" s="18"/>
      <c r="F553" s="66"/>
      <c r="G553" s="67"/>
      <c r="H553" s="67"/>
      <c r="I553" s="67"/>
    </row>
    <row r="554" spans="1:9" ht="20.25" thickTop="1" thickBot="1">
      <c r="A554" s="36" t="s">
        <v>16</v>
      </c>
      <c r="B554" s="70"/>
      <c r="C554" s="71"/>
      <c r="D554" s="67">
        <f>SUM(D549:D553)</f>
        <v>42600</v>
      </c>
      <c r="E554" s="18"/>
      <c r="F554" s="72" t="s">
        <v>49</v>
      </c>
      <c r="G554" s="70"/>
      <c r="H554" s="71"/>
      <c r="I554" s="67">
        <f>SUM(I549:I553)</f>
        <v>42600</v>
      </c>
    </row>
    <row r="555" spans="1:9" ht="17.25" thickTop="1" thickBot="1">
      <c r="A555" s="68"/>
      <c r="B555" s="18"/>
      <c r="C555" s="18"/>
      <c r="D555" s="18"/>
      <c r="E555" s="18"/>
      <c r="F555" s="69"/>
      <c r="G555" s="18"/>
      <c r="H555" s="18"/>
      <c r="I555" s="18"/>
    </row>
    <row r="556" spans="1:9" ht="20.25" thickTop="1" thickBot="1">
      <c r="A556" s="63" t="s">
        <v>3</v>
      </c>
      <c r="B556" s="64" t="s">
        <v>124</v>
      </c>
      <c r="C556" s="64" t="s">
        <v>24</v>
      </c>
      <c r="D556" s="65">
        <v>46054</v>
      </c>
      <c r="E556" s="18"/>
      <c r="F556" s="63" t="s">
        <v>3</v>
      </c>
      <c r="G556" s="64" t="s">
        <v>73</v>
      </c>
      <c r="H556" s="64" t="s">
        <v>179</v>
      </c>
      <c r="I556" s="65">
        <v>46054</v>
      </c>
    </row>
    <row r="557" spans="1:9" ht="20.25" thickTop="1" thickBot="1">
      <c r="A557" s="66" t="s">
        <v>6</v>
      </c>
      <c r="B557" s="67" t="s">
        <v>7</v>
      </c>
      <c r="C557" s="67" t="s">
        <v>8</v>
      </c>
      <c r="D557" s="67" t="s">
        <v>9</v>
      </c>
      <c r="E557" s="18"/>
      <c r="F557" s="66" t="s">
        <v>6</v>
      </c>
      <c r="G557" s="67" t="s">
        <v>7</v>
      </c>
      <c r="H557" s="67" t="s">
        <v>8</v>
      </c>
      <c r="I557" s="67" t="s">
        <v>9</v>
      </c>
    </row>
    <row r="558" spans="1:9" ht="20.25" thickTop="1" thickBot="1">
      <c r="A558" s="68">
        <v>5.0999999999999996</v>
      </c>
      <c r="B558" s="67">
        <v>1000000</v>
      </c>
      <c r="C558" s="67">
        <f>VLOOKUP(A558&amp;"|"&amp;B558,$O$3:$P$17,2,FALSE)</f>
        <v>7400</v>
      </c>
      <c r="D558" s="67">
        <f>VLOOKUP(A558&amp;"|"&amp;B558,$Q$3:$R$17,2,FALSE)</f>
        <v>42600</v>
      </c>
      <c r="E558" s="18"/>
      <c r="F558" s="69">
        <v>5</v>
      </c>
      <c r="G558" s="67">
        <v>500000</v>
      </c>
      <c r="H558" s="67">
        <f>VLOOKUP(F558&amp;"|"&amp;G558,$O$3:$P$17,2,FALSE)</f>
        <v>3200</v>
      </c>
      <c r="I558" s="67">
        <f>VLOOKUP(F558&amp;"|"&amp;G558,$Q$3:$R$17,2,FALSE)</f>
        <v>21800</v>
      </c>
    </row>
    <row r="559" spans="1:9" ht="20.25" thickTop="1" thickBot="1">
      <c r="A559" s="66"/>
      <c r="B559" s="67"/>
      <c r="C559" s="67"/>
      <c r="D559" s="67"/>
      <c r="E559" s="18"/>
      <c r="F559" s="66"/>
      <c r="G559" s="67"/>
      <c r="H559" s="67"/>
      <c r="I559" s="67"/>
    </row>
    <row r="560" spans="1:9" ht="20.25" thickTop="1" thickBot="1">
      <c r="A560" s="66"/>
      <c r="B560" s="67"/>
      <c r="C560" s="67"/>
      <c r="D560" s="67"/>
      <c r="E560" s="18"/>
      <c r="F560" s="66"/>
      <c r="G560" s="67"/>
      <c r="H560" s="67"/>
      <c r="I560" s="67"/>
    </row>
    <row r="561" spans="1:9" ht="20.25" thickTop="1" thickBot="1">
      <c r="A561" s="66"/>
      <c r="B561" s="67"/>
      <c r="C561" s="67"/>
      <c r="D561" s="67"/>
      <c r="E561" s="18"/>
      <c r="F561" s="66"/>
      <c r="G561" s="67"/>
      <c r="H561" s="67"/>
      <c r="I561" s="67"/>
    </row>
    <row r="562" spans="1:9" ht="20.25" thickTop="1" thickBot="1">
      <c r="A562" s="66"/>
      <c r="B562" s="67"/>
      <c r="C562" s="67"/>
      <c r="D562" s="67"/>
      <c r="E562" s="18"/>
      <c r="F562" s="66"/>
      <c r="G562" s="67"/>
      <c r="H562" s="67"/>
      <c r="I562" s="67"/>
    </row>
    <row r="563" spans="1:9" ht="20.25" thickTop="1" thickBot="1">
      <c r="A563" s="36" t="s">
        <v>16</v>
      </c>
      <c r="B563" s="70"/>
      <c r="C563" s="71"/>
      <c r="D563" s="67">
        <f>SUM(D558:D562)</f>
        <v>42600</v>
      </c>
      <c r="E563" s="18"/>
      <c r="F563" s="72" t="s">
        <v>49</v>
      </c>
      <c r="G563" s="70"/>
      <c r="H563" s="71"/>
      <c r="I563" s="67">
        <f>SUM(I558:I562)</f>
        <v>21800</v>
      </c>
    </row>
    <row r="564" spans="1:9" ht="17.25" thickTop="1" thickBot="1">
      <c r="A564" s="68"/>
      <c r="B564" s="18"/>
      <c r="C564" s="18"/>
      <c r="D564" s="18"/>
      <c r="E564" s="18"/>
      <c r="F564" s="69"/>
      <c r="G564" s="18"/>
      <c r="H564" s="18"/>
      <c r="I564" s="18"/>
    </row>
    <row r="565" spans="1:9" ht="20.25" thickTop="1" thickBot="1">
      <c r="A565" s="63" t="s">
        <v>3</v>
      </c>
      <c r="B565" s="64" t="s">
        <v>180</v>
      </c>
      <c r="C565" s="64" t="s">
        <v>181</v>
      </c>
      <c r="D565" s="65">
        <v>46054</v>
      </c>
      <c r="E565" s="18"/>
      <c r="F565" s="63" t="s">
        <v>3</v>
      </c>
      <c r="G565" s="64" t="s">
        <v>200</v>
      </c>
      <c r="H565" s="64" t="s">
        <v>101</v>
      </c>
      <c r="I565" s="65">
        <v>46054</v>
      </c>
    </row>
    <row r="566" spans="1:9" ht="20.25" thickTop="1" thickBot="1">
      <c r="A566" s="66" t="s">
        <v>6</v>
      </c>
      <c r="B566" s="67" t="s">
        <v>7</v>
      </c>
      <c r="C566" s="67" t="s">
        <v>8</v>
      </c>
      <c r="D566" s="67" t="s">
        <v>9</v>
      </c>
      <c r="E566" s="18"/>
      <c r="F566" s="66" t="s">
        <v>6</v>
      </c>
      <c r="G566" s="67" t="s">
        <v>7</v>
      </c>
      <c r="H566" s="67" t="s">
        <v>8</v>
      </c>
      <c r="I566" s="67" t="s">
        <v>9</v>
      </c>
    </row>
    <row r="567" spans="1:9" ht="20.25" thickTop="1" thickBot="1">
      <c r="A567" s="68">
        <v>5</v>
      </c>
      <c r="B567" s="67">
        <v>500000</v>
      </c>
      <c r="C567" s="67">
        <f>VLOOKUP(A567&amp;"|"&amp;B567,$O$3:$P$17,2,FALSE)</f>
        <v>3200</v>
      </c>
      <c r="D567" s="67">
        <f>VLOOKUP(A567&amp;"|"&amp;B567,$Q$3:$R$17,2,FALSE)</f>
        <v>21800</v>
      </c>
      <c r="E567" s="18"/>
      <c r="F567" s="68">
        <v>1</v>
      </c>
      <c r="G567" s="67">
        <v>500000</v>
      </c>
      <c r="H567" s="67">
        <f>VLOOKUP(F567&amp;"|"&amp;G567,$O$3:$P$17,2,FALSE)</f>
        <v>4300</v>
      </c>
      <c r="I567" s="67">
        <f>VLOOKUP(F567&amp;"|"&amp;G567,$Q$3:$R$17,2,FALSE)</f>
        <v>20700</v>
      </c>
    </row>
    <row r="568" spans="1:9" ht="20.25" thickTop="1" thickBot="1">
      <c r="A568" s="66"/>
      <c r="B568" s="67"/>
      <c r="C568" s="67"/>
      <c r="D568" s="67"/>
      <c r="E568" s="18"/>
      <c r="F568" s="66"/>
      <c r="G568" s="67"/>
      <c r="H568" s="67"/>
      <c r="I568" s="67"/>
    </row>
    <row r="569" spans="1:9" ht="20.25" thickTop="1" thickBot="1">
      <c r="A569" s="66"/>
      <c r="B569" s="67"/>
      <c r="C569" s="67"/>
      <c r="D569" s="67"/>
      <c r="E569" s="18"/>
      <c r="F569" s="66"/>
      <c r="G569" s="67"/>
      <c r="H569" s="67"/>
      <c r="I569" s="67"/>
    </row>
    <row r="570" spans="1:9" ht="20.25" thickTop="1" thickBot="1">
      <c r="A570" s="66"/>
      <c r="B570" s="67"/>
      <c r="C570" s="67"/>
      <c r="D570" s="67"/>
      <c r="E570" s="18"/>
      <c r="F570" s="66"/>
      <c r="G570" s="67"/>
      <c r="H570" s="67"/>
      <c r="I570" s="67"/>
    </row>
    <row r="571" spans="1:9" ht="20.25" thickTop="1" thickBot="1">
      <c r="A571" s="66"/>
      <c r="B571" s="67"/>
      <c r="C571" s="67"/>
      <c r="D571" s="67"/>
      <c r="E571" s="18"/>
      <c r="F571" s="66"/>
      <c r="G571" s="67"/>
      <c r="H571" s="67"/>
      <c r="I571" s="67"/>
    </row>
    <row r="572" spans="1:9" ht="20.25" thickTop="1" thickBot="1">
      <c r="A572" s="36" t="s">
        <v>16</v>
      </c>
      <c r="B572" s="70"/>
      <c r="C572" s="71"/>
      <c r="D572" s="67">
        <f>SUM(D567:D571)</f>
        <v>21800</v>
      </c>
      <c r="E572" s="18"/>
      <c r="F572" s="36" t="s">
        <v>16</v>
      </c>
      <c r="G572" s="70"/>
      <c r="H572" s="71"/>
      <c r="I572" s="67">
        <f>SUM(I567:I571)</f>
        <v>20700</v>
      </c>
    </row>
    <row r="573" spans="1:9" ht="17.25" thickTop="1" thickBot="1">
      <c r="A573" s="68"/>
      <c r="B573" s="18"/>
      <c r="C573" s="18"/>
      <c r="D573" s="18"/>
      <c r="E573" s="18"/>
      <c r="F573" s="69"/>
      <c r="G573" s="18"/>
      <c r="H573" s="18"/>
      <c r="I573" s="18"/>
    </row>
    <row r="574" spans="1:9" ht="20.25" thickTop="1" thickBot="1">
      <c r="A574" s="63" t="s">
        <v>3</v>
      </c>
      <c r="B574" s="64" t="s">
        <v>201</v>
      </c>
      <c r="C574" s="64" t="s">
        <v>101</v>
      </c>
      <c r="D574" s="65">
        <v>46054</v>
      </c>
      <c r="E574" s="18"/>
    </row>
    <row r="575" spans="1:9" ht="20.25" thickTop="1" thickBot="1">
      <c r="A575" s="66" t="s">
        <v>6</v>
      </c>
      <c r="B575" s="67" t="s">
        <v>7</v>
      </c>
      <c r="C575" s="67" t="s">
        <v>8</v>
      </c>
      <c r="D575" s="67" t="s">
        <v>9</v>
      </c>
      <c r="E575" s="18"/>
    </row>
    <row r="576" spans="1:9" ht="20.25" thickTop="1" thickBot="1">
      <c r="A576" s="68">
        <v>1</v>
      </c>
      <c r="B576" s="67">
        <v>500000</v>
      </c>
      <c r="C576" s="67">
        <f>VLOOKUP(A576&amp;"|"&amp;B576,$O$3:$P$17,2,FALSE)</f>
        <v>4300</v>
      </c>
      <c r="D576" s="67">
        <f>VLOOKUP(A576&amp;"|"&amp;B576,$Q$3:$R$17,2,FALSE)</f>
        <v>20700</v>
      </c>
      <c r="E576" s="18"/>
    </row>
    <row r="577" spans="1:5" ht="20.25" thickTop="1" thickBot="1">
      <c r="A577" s="66"/>
      <c r="B577" s="67"/>
      <c r="C577" s="67"/>
      <c r="D577" s="67"/>
      <c r="E577" s="18"/>
    </row>
    <row r="578" spans="1:5" ht="20.25" thickTop="1" thickBot="1">
      <c r="A578" s="66"/>
      <c r="B578" s="67"/>
      <c r="C578" s="67"/>
      <c r="D578" s="67"/>
      <c r="E578" s="18"/>
    </row>
    <row r="579" spans="1:5" ht="20.25" thickTop="1" thickBot="1">
      <c r="A579" s="66"/>
      <c r="B579" s="67"/>
      <c r="C579" s="67"/>
      <c r="D579" s="67"/>
      <c r="E579" s="18"/>
    </row>
    <row r="580" spans="1:5" ht="20.25" thickTop="1" thickBot="1">
      <c r="A580" s="66"/>
      <c r="B580" s="67"/>
      <c r="C580" s="67"/>
      <c r="D580" s="67"/>
      <c r="E580" s="18"/>
    </row>
    <row r="581" spans="1:5" ht="20.25" thickTop="1" thickBot="1">
      <c r="A581" s="36" t="s">
        <v>16</v>
      </c>
      <c r="B581" s="70"/>
      <c r="C581" s="71"/>
      <c r="D581" s="67">
        <f>SUM(D576:D580)</f>
        <v>20700</v>
      </c>
      <c r="E581" s="18"/>
    </row>
    <row r="582" spans="1:5" ht="15.75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2E682-07CA-412B-AF94-1441DC4EBA31}">
  <dimension ref="A1:Z581"/>
  <sheetViews>
    <sheetView workbookViewId="0">
      <selection sqref="A1:XFD1048576"/>
    </sheetView>
  </sheetViews>
  <sheetFormatPr defaultRowHeight="15.75"/>
  <cols>
    <col min="1" max="1" width="9.140625" style="60"/>
    <col min="2" max="2" width="28.28515625" customWidth="1"/>
    <col min="3" max="3" width="19.5703125" customWidth="1"/>
    <col min="4" max="4" width="13.42578125" customWidth="1"/>
    <col min="5" max="5" width="2.5703125" customWidth="1"/>
    <col min="6" max="6" width="9.140625" style="26"/>
    <col min="7" max="7" width="22.42578125" customWidth="1"/>
    <col min="8" max="8" width="18.7109375" customWidth="1"/>
    <col min="9" max="9" width="24.28515625" customWidth="1"/>
    <col min="10" max="10" width="1.85546875" customWidth="1"/>
    <col min="11" max="11" width="1.140625" customWidth="1"/>
    <col min="12" max="12" width="8.140625" customWidth="1"/>
    <col min="13" max="13" width="11.28515625" customWidth="1"/>
    <col min="14" max="14" width="11.5703125" customWidth="1"/>
    <col min="15" max="15" width="11.28515625" customWidth="1"/>
    <col min="16" max="16" width="12.85546875" customWidth="1"/>
    <col min="17" max="17" width="13.28515625" customWidth="1"/>
    <col min="18" max="18" width="13.7109375" customWidth="1"/>
    <col min="19" max="19" width="1.42578125" customWidth="1"/>
    <col min="20" max="20" width="11.5703125" customWidth="1"/>
    <col min="21" max="21" width="15.28515625" customWidth="1"/>
    <col min="22" max="22" width="13.42578125" customWidth="1"/>
    <col min="23" max="23" width="1.42578125" customWidth="1"/>
    <col min="24" max="24" width="11.7109375" customWidth="1"/>
    <col min="25" max="25" width="15.28515625" customWidth="1"/>
    <col min="26" max="26" width="15.42578125" customWidth="1"/>
  </cols>
  <sheetData>
    <row r="1" spans="1:26" ht="20.25" thickTop="1" thickBot="1">
      <c r="A1" s="7" t="s">
        <v>0</v>
      </c>
      <c r="B1" s="8" t="s">
        <v>1</v>
      </c>
      <c r="C1" s="8" t="s">
        <v>2</v>
      </c>
      <c r="D1" s="9">
        <v>46026</v>
      </c>
      <c r="E1" s="10"/>
      <c r="F1" s="11" t="s">
        <v>3</v>
      </c>
      <c r="G1" s="12" t="s">
        <v>4</v>
      </c>
      <c r="H1" s="12" t="s">
        <v>5</v>
      </c>
      <c r="I1" s="9">
        <v>46026</v>
      </c>
      <c r="J1" s="13"/>
      <c r="L1" s="1"/>
      <c r="M1" s="1"/>
      <c r="N1" s="14"/>
      <c r="O1" s="15"/>
      <c r="P1" s="16"/>
      <c r="Q1" s="15"/>
      <c r="R1" s="17"/>
      <c r="S1" s="1"/>
      <c r="T1" s="18"/>
      <c r="U1" s="18"/>
      <c r="V1" s="19" t="s">
        <v>183</v>
      </c>
      <c r="W1" s="18"/>
      <c r="X1" s="18"/>
      <c r="Y1" s="18"/>
      <c r="Z1" s="18"/>
    </row>
    <row r="2" spans="1:26" ht="25.5" customHeight="1" thickTop="1" thickBot="1">
      <c r="A2" s="7" t="s">
        <v>6</v>
      </c>
      <c r="B2" s="8" t="s">
        <v>1</v>
      </c>
      <c r="C2" s="8" t="s">
        <v>8</v>
      </c>
      <c r="D2" s="8" t="s">
        <v>9</v>
      </c>
      <c r="E2" s="10"/>
      <c r="F2" s="20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25" t="s">
        <v>13</v>
      </c>
      <c r="U2" s="25" t="s">
        <v>14</v>
      </c>
      <c r="V2" s="25" t="s">
        <v>15</v>
      </c>
      <c r="W2" s="18"/>
      <c r="X2" s="25" t="s">
        <v>13</v>
      </c>
      <c r="Y2" s="25" t="s">
        <v>3</v>
      </c>
      <c r="Z2" s="25" t="s">
        <v>15</v>
      </c>
    </row>
    <row r="3" spans="1:26" ht="20.25" thickTop="1" thickBot="1">
      <c r="A3" s="7">
        <v>20</v>
      </c>
      <c r="B3" s="8">
        <v>1000000</v>
      </c>
      <c r="C3" s="8">
        <f>VLOOKUP(A3&amp;"|"&amp;B3,$O$3:$P$16,2,FALSE)</f>
        <v>0</v>
      </c>
      <c r="D3" s="8">
        <f>VLOOKUP(A3&amp;"|"&amp;B3,$Q$3:$R$16,2,FALSE)</f>
        <v>50000</v>
      </c>
      <c r="E3" s="10"/>
      <c r="F3" s="26">
        <v>20</v>
      </c>
      <c r="G3" s="21">
        <v>500000</v>
      </c>
      <c r="H3" s="21">
        <f>VLOOKUP(F3&amp;"|"&amp;G3,$O$3:$P$19,2,FALSE)</f>
        <v>0</v>
      </c>
      <c r="I3" s="21">
        <f>VLOOKUP(F3&amp;"|"&amp;G3,$Q$3:$R$19,2,FALSE)</f>
        <v>25000</v>
      </c>
      <c r="J3" s="13"/>
      <c r="K3" s="1"/>
      <c r="L3" s="27">
        <v>14</v>
      </c>
      <c r="M3" s="28">
        <v>500000</v>
      </c>
      <c r="N3" s="28">
        <v>18000</v>
      </c>
      <c r="O3" s="28" t="str">
        <f t="shared" ref="O3:O18" si="0">L3&amp;"|"&amp;M3</f>
        <v>14|500000</v>
      </c>
      <c r="P3" s="28">
        <f t="shared" ref="P3:P18" si="1">N3/20</f>
        <v>900</v>
      </c>
      <c r="Q3" s="28" t="str">
        <f t="shared" ref="Q3:Q18" si="2">L3&amp;"|"&amp;M3</f>
        <v>14|500000</v>
      </c>
      <c r="R3" s="29">
        <f t="shared" ref="R3:R18" si="3">(M3-N3)/20</f>
        <v>24100</v>
      </c>
      <c r="S3" s="1"/>
      <c r="T3" s="30">
        <f>D8</f>
        <v>73000</v>
      </c>
      <c r="U3" s="30" t="str">
        <f>B1</f>
        <v>SOHANJI</v>
      </c>
      <c r="V3" s="30" t="str">
        <f>C1</f>
        <v>ALWN.CO</v>
      </c>
      <c r="W3" s="18"/>
      <c r="X3" s="30">
        <f>I8</f>
        <v>25000</v>
      </c>
      <c r="Y3" s="30" t="str">
        <f>G1</f>
        <v>SURESH</v>
      </c>
      <c r="Z3" s="30" t="str">
        <f>H1</f>
        <v>JODHPUR</v>
      </c>
    </row>
    <row r="4" spans="1:26" ht="20.25" thickTop="1" thickBot="1">
      <c r="A4" s="31">
        <v>9</v>
      </c>
      <c r="B4" s="8">
        <v>500000</v>
      </c>
      <c r="C4" s="8">
        <f>VLOOKUP(A4&amp;"|"&amp;B4,$O$3:$P$16,2,FALSE)</f>
        <v>2000</v>
      </c>
      <c r="D4" s="8">
        <f>VLOOKUP(A4&amp;"|"&amp;B4,$Q$3:$R$16,2,FALSE)</f>
        <v>23000</v>
      </c>
      <c r="E4" s="10"/>
      <c r="F4" s="20"/>
      <c r="G4" s="21"/>
      <c r="H4" s="21"/>
      <c r="I4" s="21"/>
      <c r="J4" s="13"/>
      <c r="K4" s="1"/>
      <c r="L4" s="27">
        <v>14</v>
      </c>
      <c r="M4" s="28">
        <v>250000</v>
      </c>
      <c r="N4" s="32">
        <v>9000</v>
      </c>
      <c r="O4" s="28" t="str">
        <f t="shared" si="0"/>
        <v>14|250000</v>
      </c>
      <c r="P4" s="28">
        <f t="shared" si="1"/>
        <v>450</v>
      </c>
      <c r="Q4" s="28" t="str">
        <f t="shared" si="2"/>
        <v>14|250000</v>
      </c>
      <c r="R4" s="29">
        <f t="shared" si="3"/>
        <v>12050</v>
      </c>
      <c r="S4" s="1"/>
      <c r="T4" s="30">
        <f>D17</f>
        <v>25000</v>
      </c>
      <c r="U4" s="30" t="str">
        <f>B10</f>
        <v>JIVARAMJI</v>
      </c>
      <c r="V4" s="30" t="str">
        <f>C10</f>
        <v>YAMJAL</v>
      </c>
      <c r="W4" s="18"/>
      <c r="X4" s="30">
        <f>I17</f>
        <v>25000</v>
      </c>
      <c r="Y4" s="30" t="str">
        <f>G10</f>
        <v>BHAWARJI</v>
      </c>
      <c r="Z4" s="30" t="str">
        <f>H10</f>
        <v>BAJPLY</v>
      </c>
    </row>
    <row r="5" spans="1:26" ht="20.25" thickTop="1" thickBot="1">
      <c r="A5" s="7"/>
      <c r="B5" s="8"/>
      <c r="C5" s="8"/>
      <c r="D5" s="8"/>
      <c r="E5" s="10"/>
      <c r="F5" s="20"/>
      <c r="G5" s="21"/>
      <c r="H5" s="21"/>
      <c r="I5" s="21"/>
      <c r="J5" s="13"/>
      <c r="K5" s="1"/>
      <c r="L5" s="27">
        <v>9</v>
      </c>
      <c r="M5" s="27">
        <v>2000000</v>
      </c>
      <c r="N5" s="27">
        <v>140000</v>
      </c>
      <c r="O5" s="32" t="str">
        <f t="shared" si="0"/>
        <v>9|2000000</v>
      </c>
      <c r="P5" s="28">
        <f t="shared" si="1"/>
        <v>7000</v>
      </c>
      <c r="Q5" s="32" t="str">
        <f t="shared" si="2"/>
        <v>9|2000000</v>
      </c>
      <c r="R5" s="29">
        <f t="shared" si="3"/>
        <v>93000</v>
      </c>
      <c r="S5" s="1"/>
      <c r="T5" s="30">
        <f>D26</f>
        <v>143000</v>
      </c>
      <c r="U5" s="30" t="str">
        <f>B19</f>
        <v>MANGILALJI</v>
      </c>
      <c r="V5" s="30" t="str">
        <f>C19</f>
        <v>BOLARAM</v>
      </c>
      <c r="W5" s="18"/>
      <c r="X5" s="30">
        <f>I26</f>
        <v>150000</v>
      </c>
      <c r="Y5" s="30" t="str">
        <f>G19</f>
        <v>NETHIRAMJI</v>
      </c>
      <c r="Z5" s="30" t="str">
        <f>H19</f>
        <v>RAMARAM</v>
      </c>
    </row>
    <row r="6" spans="1:26" ht="20.25" thickTop="1" thickBot="1">
      <c r="A6" s="7"/>
      <c r="B6" s="8"/>
      <c r="C6" s="8"/>
      <c r="D6" s="8"/>
      <c r="E6" s="10"/>
      <c r="F6" s="20"/>
      <c r="G6" s="21"/>
      <c r="H6" s="21"/>
      <c r="I6" s="21"/>
      <c r="J6" s="13"/>
      <c r="K6" s="1"/>
      <c r="L6" s="27">
        <v>9</v>
      </c>
      <c r="M6" s="32">
        <v>500000</v>
      </c>
      <c r="N6" s="32">
        <v>40000</v>
      </c>
      <c r="O6" s="32" t="str">
        <f t="shared" si="0"/>
        <v>9|500000</v>
      </c>
      <c r="P6" s="28">
        <f t="shared" si="1"/>
        <v>2000</v>
      </c>
      <c r="Q6" s="32" t="str">
        <f t="shared" si="2"/>
        <v>9|500000</v>
      </c>
      <c r="R6" s="29">
        <f t="shared" si="3"/>
        <v>23000</v>
      </c>
      <c r="S6" s="1"/>
      <c r="T6" s="30">
        <f>D35</f>
        <v>149200</v>
      </c>
      <c r="U6" s="30" t="str">
        <f>B28</f>
        <v>KISHANJI</v>
      </c>
      <c r="V6" s="30" t="str">
        <f>C28</f>
        <v>KAMAN</v>
      </c>
      <c r="W6" s="18"/>
      <c r="X6" s="30">
        <f>I35</f>
        <v>23000</v>
      </c>
      <c r="Y6" s="30" t="str">
        <f>G28</f>
        <v>TARARAMJI</v>
      </c>
      <c r="Z6" s="30" t="str">
        <f>H28</f>
        <v>PRGATI NG</v>
      </c>
    </row>
    <row r="7" spans="1:26" ht="20.25" thickTop="1" thickBot="1">
      <c r="A7" s="7"/>
      <c r="B7" s="8"/>
      <c r="C7" s="8"/>
      <c r="D7" s="8"/>
      <c r="E7" s="10"/>
      <c r="F7" s="20"/>
      <c r="G7" s="21"/>
      <c r="H7" s="21"/>
      <c r="I7" s="21"/>
      <c r="J7" s="13"/>
      <c r="K7" s="1"/>
      <c r="L7" s="27">
        <v>20.100000000000001</v>
      </c>
      <c r="M7" s="32">
        <v>500000</v>
      </c>
      <c r="N7" s="32"/>
      <c r="O7" s="32" t="str">
        <f t="shared" si="0"/>
        <v>20.1|500000</v>
      </c>
      <c r="P7" s="28">
        <f t="shared" si="1"/>
        <v>0</v>
      </c>
      <c r="Q7" s="28" t="str">
        <f t="shared" si="2"/>
        <v>20.1|500000</v>
      </c>
      <c r="R7" s="29">
        <f t="shared" si="3"/>
        <v>25000</v>
      </c>
      <c r="S7" s="1"/>
      <c r="T7" s="30">
        <f>D44</f>
        <v>24550</v>
      </c>
      <c r="U7" s="30" t="str">
        <f>B37</f>
        <v>BHONARAMJI</v>
      </c>
      <c r="V7" s="30" t="str">
        <f>C37</f>
        <v>G.MAISAMA</v>
      </c>
      <c r="W7" s="18"/>
      <c r="X7" s="30">
        <f>I44</f>
        <v>143000</v>
      </c>
      <c r="Y7" s="30" t="str">
        <f>G37</f>
        <v>SESHARAMJI</v>
      </c>
      <c r="Z7" s="30" t="str">
        <f>H37</f>
        <v>MEDCHAL</v>
      </c>
    </row>
    <row r="8" spans="1:26" ht="20.25" thickTop="1" thickBot="1">
      <c r="A8" s="33" t="s">
        <v>16</v>
      </c>
      <c r="B8" s="34"/>
      <c r="C8" s="35"/>
      <c r="D8" s="8">
        <f>SUM(D3:D7)</f>
        <v>73000</v>
      </c>
      <c r="E8" s="10"/>
      <c r="F8" s="36" t="s">
        <v>16</v>
      </c>
      <c r="G8" s="37"/>
      <c r="H8" s="38"/>
      <c r="I8" s="21">
        <f>SUM(I3:I7)</f>
        <v>25000</v>
      </c>
      <c r="J8" s="13"/>
      <c r="K8" s="1"/>
      <c r="L8" s="27">
        <v>20</v>
      </c>
      <c r="M8" s="32">
        <v>1000000</v>
      </c>
      <c r="N8" s="32"/>
      <c r="O8" s="32" t="str">
        <f t="shared" si="0"/>
        <v>20|1000000</v>
      </c>
      <c r="P8" s="28">
        <f t="shared" si="1"/>
        <v>0</v>
      </c>
      <c r="Q8" s="32" t="str">
        <f t="shared" si="2"/>
        <v>20|1000000</v>
      </c>
      <c r="R8" s="29">
        <f t="shared" si="3"/>
        <v>50000</v>
      </c>
      <c r="S8" s="1"/>
      <c r="T8" s="30">
        <f>D53</f>
        <v>25000</v>
      </c>
      <c r="U8" s="30" t="str">
        <f>B46</f>
        <v>RAMESHJI</v>
      </c>
      <c r="V8" s="30" t="str">
        <f>C46</f>
        <v>HITECH</v>
      </c>
      <c r="W8" s="18"/>
      <c r="X8" s="30">
        <f>I53</f>
        <v>46350</v>
      </c>
      <c r="Y8" s="30" t="str">
        <f>G46</f>
        <v>CHANDUJI</v>
      </c>
      <c r="Z8" s="30" t="str">
        <f>H46</f>
        <v>KAMMAN</v>
      </c>
    </row>
    <row r="9" spans="1:26" ht="20.25" thickTop="1" thickBot="1">
      <c r="A9" s="39"/>
      <c r="B9" s="40"/>
      <c r="C9" s="41"/>
      <c r="D9" s="41"/>
      <c r="E9" s="42"/>
      <c r="F9" s="43"/>
      <c r="G9" s="42"/>
      <c r="H9" s="42"/>
      <c r="I9" s="42"/>
      <c r="J9" s="13"/>
      <c r="K9" s="1"/>
      <c r="L9" s="27">
        <v>20.100000000000001</v>
      </c>
      <c r="M9" s="32">
        <v>1000000</v>
      </c>
      <c r="N9" s="32"/>
      <c r="O9" s="32" t="str">
        <f t="shared" si="0"/>
        <v>20.1|1000000</v>
      </c>
      <c r="P9" s="28">
        <f t="shared" si="1"/>
        <v>0</v>
      </c>
      <c r="Q9" s="32" t="str">
        <f t="shared" si="2"/>
        <v>20.1|1000000</v>
      </c>
      <c r="R9" s="29">
        <f t="shared" si="3"/>
        <v>50000</v>
      </c>
      <c r="S9" s="1"/>
      <c r="T9" s="30">
        <f>D62</f>
        <v>92250</v>
      </c>
      <c r="U9" s="30" t="str">
        <f>B55</f>
        <v>SOHANJI</v>
      </c>
      <c r="V9" s="30" t="str">
        <f>C55</f>
        <v>KOTLAPUR</v>
      </c>
      <c r="W9" s="18"/>
      <c r="X9" s="30">
        <f>I62</f>
        <v>65300</v>
      </c>
      <c r="Y9" s="30" t="str">
        <f>G55</f>
        <v>DEEPAKJI</v>
      </c>
      <c r="Z9" s="30" t="str">
        <f>H55</f>
        <v>SUCHITRA</v>
      </c>
    </row>
    <row r="10" spans="1:26" ht="20.25" thickTop="1" thickBot="1">
      <c r="A10" s="20" t="s">
        <v>0</v>
      </c>
      <c r="B10" s="21" t="s">
        <v>17</v>
      </c>
      <c r="C10" s="21" t="s">
        <v>18</v>
      </c>
      <c r="D10" s="9">
        <v>46026</v>
      </c>
      <c r="E10" s="10"/>
      <c r="F10" s="20" t="s">
        <v>0</v>
      </c>
      <c r="G10" s="21" t="s">
        <v>19</v>
      </c>
      <c r="H10" s="21" t="s">
        <v>20</v>
      </c>
      <c r="I10" s="9">
        <v>46026</v>
      </c>
      <c r="J10" s="44"/>
      <c r="K10" s="1"/>
      <c r="L10" s="27">
        <v>17</v>
      </c>
      <c r="M10" s="32">
        <v>500000</v>
      </c>
      <c r="N10" s="32">
        <v>8000</v>
      </c>
      <c r="O10" s="32" t="str">
        <f t="shared" si="0"/>
        <v>17|500000</v>
      </c>
      <c r="P10" s="28">
        <f t="shared" si="1"/>
        <v>400</v>
      </c>
      <c r="Q10" s="32" t="str">
        <f t="shared" si="2"/>
        <v>17|500000</v>
      </c>
      <c r="R10" s="29">
        <f t="shared" si="3"/>
        <v>24600</v>
      </c>
      <c r="S10" s="1"/>
      <c r="T10" s="30">
        <f>D71</f>
        <v>118000</v>
      </c>
      <c r="U10" s="30" t="str">
        <f>B64</f>
        <v>KUNARAMJI</v>
      </c>
      <c r="V10" s="30" t="str">
        <f>C64</f>
        <v>GANDHI NGR</v>
      </c>
      <c r="W10" s="18"/>
      <c r="X10" s="30">
        <f>I71</f>
        <v>48000</v>
      </c>
      <c r="Y10" s="30" t="str">
        <f>G64</f>
        <v>CHENARAMJI</v>
      </c>
      <c r="Z10" s="30" t="str">
        <f>H64</f>
        <v>CHINTAL</v>
      </c>
    </row>
    <row r="11" spans="1:26" ht="20.25" thickTop="1" thickBot="1">
      <c r="A11" s="20" t="s">
        <v>6</v>
      </c>
      <c r="B11" s="21" t="s">
        <v>7</v>
      </c>
      <c r="C11" s="21" t="s">
        <v>8</v>
      </c>
      <c r="D11" s="21" t="s">
        <v>9</v>
      </c>
      <c r="E11" s="10"/>
      <c r="F11" s="20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27">
        <v>4</v>
      </c>
      <c r="M11" s="32">
        <v>500000</v>
      </c>
      <c r="N11" s="32">
        <v>65000</v>
      </c>
      <c r="O11" s="32" t="str">
        <f t="shared" si="0"/>
        <v>4|500000</v>
      </c>
      <c r="P11" s="28">
        <f t="shared" si="1"/>
        <v>3250</v>
      </c>
      <c r="Q11" s="32" t="str">
        <f t="shared" si="2"/>
        <v>4|500000</v>
      </c>
      <c r="R11" s="29">
        <f t="shared" si="3"/>
        <v>21750</v>
      </c>
      <c r="S11" s="1"/>
      <c r="T11" s="30">
        <f>D85</f>
        <v>391150</v>
      </c>
      <c r="U11" s="30" t="str">
        <f>B73</f>
        <v>MATAJI</v>
      </c>
      <c r="V11" s="30" t="str">
        <f>C73</f>
        <v>G.R</v>
      </c>
      <c r="W11" s="18"/>
      <c r="X11" s="30">
        <f>I85</f>
        <v>388850</v>
      </c>
      <c r="Y11" s="30" t="str">
        <f>G73</f>
        <v>MATAJI</v>
      </c>
      <c r="Z11" s="30" t="str">
        <f>H73</f>
        <v>J.E.W</v>
      </c>
    </row>
    <row r="12" spans="1:26" ht="20.25" thickTop="1" thickBot="1">
      <c r="A12" s="31">
        <v>20</v>
      </c>
      <c r="B12" s="21">
        <v>500000</v>
      </c>
      <c r="C12" s="21">
        <f>VLOOKUP(A12&amp;"|"&amp;B12,$O$3:$P$16,2,FALSE)</f>
        <v>0</v>
      </c>
      <c r="D12" s="21">
        <f>VLOOKUP(A12&amp;"|"&amp;B12,$Q$3:$R$16,2,FALSE)</f>
        <v>25000</v>
      </c>
      <c r="E12" s="10"/>
      <c r="F12" s="26">
        <v>20</v>
      </c>
      <c r="G12" s="21">
        <v>500000</v>
      </c>
      <c r="H12" s="21">
        <f>VLOOKUP(F12&amp;"|"&amp;G12,$O$3:$P$16,2,FALSE)</f>
        <v>0</v>
      </c>
      <c r="I12" s="21">
        <f>VLOOKUP(F12&amp;"|"&amp;G12,$Q$3:$R$16,2,FALSE)</f>
        <v>25000</v>
      </c>
      <c r="J12" s="13"/>
      <c r="K12" s="1"/>
      <c r="L12" s="27">
        <v>4</v>
      </c>
      <c r="M12" s="32">
        <v>1000000</v>
      </c>
      <c r="N12" s="32">
        <v>155000</v>
      </c>
      <c r="O12" s="32" t="str">
        <f t="shared" si="0"/>
        <v>4|1000000</v>
      </c>
      <c r="P12" s="28">
        <f t="shared" si="1"/>
        <v>7750</v>
      </c>
      <c r="Q12" s="32" t="str">
        <f t="shared" si="2"/>
        <v>4|1000000</v>
      </c>
      <c r="R12" s="29">
        <f t="shared" si="3"/>
        <v>42250</v>
      </c>
      <c r="S12" s="1"/>
      <c r="T12" s="30">
        <f>D94</f>
        <v>278250</v>
      </c>
      <c r="U12" s="30" t="str">
        <f>B87</f>
        <v>MOHANLALJI</v>
      </c>
      <c r="V12" s="30" t="str">
        <f>C87</f>
        <v>SNT.NAGAR</v>
      </c>
      <c r="W12" s="18"/>
      <c r="X12" s="30">
        <f>I94</f>
        <v>25000</v>
      </c>
      <c r="Y12" s="30" t="str">
        <f>G87</f>
        <v>SUNILJI</v>
      </c>
      <c r="Z12" s="30" t="str">
        <f>H87</f>
        <v>S.P</v>
      </c>
    </row>
    <row r="13" spans="1:26" ht="20.25" thickTop="1" thickBot="1">
      <c r="A13" s="20"/>
      <c r="B13" s="21"/>
      <c r="C13" s="21"/>
      <c r="D13" s="21"/>
      <c r="E13" s="10"/>
      <c r="F13" s="20"/>
      <c r="G13" s="21"/>
      <c r="H13" s="21"/>
      <c r="I13" s="21"/>
      <c r="J13" s="13"/>
      <c r="K13" s="1"/>
      <c r="L13" s="27">
        <v>4.0999999999999996</v>
      </c>
      <c r="M13" s="27">
        <v>1000000</v>
      </c>
      <c r="N13" s="27">
        <v>154000</v>
      </c>
      <c r="O13" s="32" t="str">
        <f t="shared" si="0"/>
        <v>4.1|1000000</v>
      </c>
      <c r="P13" s="28">
        <f t="shared" si="1"/>
        <v>7700</v>
      </c>
      <c r="Q13" s="32" t="str">
        <f t="shared" si="2"/>
        <v>4.1|1000000</v>
      </c>
      <c r="R13" s="29">
        <f t="shared" si="3"/>
        <v>42300</v>
      </c>
      <c r="S13" s="1"/>
      <c r="T13" s="30">
        <f>D103</f>
        <v>48000</v>
      </c>
      <c r="U13" s="30" t="str">
        <f>B96</f>
        <v>PRAKASHJI</v>
      </c>
      <c r="V13" s="30" t="str">
        <f>C96</f>
        <v>KONDAPUR</v>
      </c>
      <c r="W13" s="18"/>
      <c r="X13" s="30">
        <f>I103</f>
        <v>142250</v>
      </c>
      <c r="Y13" s="30" t="str">
        <f>G96</f>
        <v>NEMARAMJI</v>
      </c>
      <c r="Z13" s="30" t="str">
        <f>H96</f>
        <v>S.R NAGAR</v>
      </c>
    </row>
    <row r="14" spans="1:26" ht="20.25" thickTop="1" thickBot="1">
      <c r="A14" s="20"/>
      <c r="B14" s="21"/>
      <c r="C14" s="21"/>
      <c r="D14" s="21"/>
      <c r="E14" s="10"/>
      <c r="F14" s="20"/>
      <c r="G14" s="21"/>
      <c r="H14" s="21"/>
      <c r="I14" s="21"/>
      <c r="J14" s="13" t="s">
        <v>182</v>
      </c>
      <c r="K14" s="1"/>
      <c r="L14" s="27">
        <v>9</v>
      </c>
      <c r="M14" s="32">
        <v>1000000</v>
      </c>
      <c r="N14" s="32">
        <v>65000</v>
      </c>
      <c r="O14" s="32" t="str">
        <f t="shared" si="0"/>
        <v>9|1000000</v>
      </c>
      <c r="P14" s="28">
        <f t="shared" si="1"/>
        <v>3250</v>
      </c>
      <c r="Q14" s="32" t="str">
        <f t="shared" si="2"/>
        <v>9|1000000</v>
      </c>
      <c r="R14" s="29">
        <f t="shared" si="3"/>
        <v>46750</v>
      </c>
      <c r="S14" s="1"/>
      <c r="T14" s="30">
        <f>D112</f>
        <v>25000</v>
      </c>
      <c r="U14" s="30" t="str">
        <f>B105</f>
        <v>NARAYANJI</v>
      </c>
      <c r="V14" s="30" t="str">
        <f>C105</f>
        <v>SHAPUR</v>
      </c>
      <c r="W14" s="18"/>
      <c r="X14" s="30">
        <f>I112</f>
        <v>168000</v>
      </c>
      <c r="Y14" s="30" t="str">
        <f>G105</f>
        <v>HIMTARAMJI</v>
      </c>
      <c r="Z14" s="30" t="str">
        <f>H105</f>
        <v>MEDCHAL</v>
      </c>
    </row>
    <row r="15" spans="1:26" ht="20.25" thickTop="1" thickBot="1">
      <c r="A15" s="20"/>
      <c r="B15" s="21"/>
      <c r="C15" s="21"/>
      <c r="D15" s="21"/>
      <c r="E15" s="10"/>
      <c r="F15" s="20"/>
      <c r="G15" s="21"/>
      <c r="H15" s="21"/>
      <c r="I15" s="21"/>
      <c r="J15" s="13"/>
      <c r="K15" s="1"/>
      <c r="L15" s="27">
        <v>20</v>
      </c>
      <c r="M15" s="32">
        <v>500000</v>
      </c>
      <c r="N15" s="32"/>
      <c r="O15" s="32" t="str">
        <f t="shared" si="0"/>
        <v>20|500000</v>
      </c>
      <c r="P15" s="28">
        <f t="shared" si="1"/>
        <v>0</v>
      </c>
      <c r="Q15" s="32" t="str">
        <f t="shared" si="2"/>
        <v>20|500000</v>
      </c>
      <c r="R15" s="29">
        <f t="shared" si="3"/>
        <v>25000</v>
      </c>
      <c r="S15" s="1"/>
      <c r="T15" s="30">
        <f>D121</f>
        <v>115500</v>
      </c>
      <c r="U15" s="30" t="str">
        <f>B114</f>
        <v>CHENARAMJI</v>
      </c>
      <c r="V15" s="30" t="str">
        <f>C114</f>
        <v>KOTLAPUR</v>
      </c>
      <c r="W15" s="18"/>
      <c r="X15" s="30">
        <f>I121</f>
        <v>143000</v>
      </c>
      <c r="Y15" s="30" t="str">
        <f>G114</f>
        <v>GOVINDJI</v>
      </c>
      <c r="Z15" s="30" t="str">
        <f>H114</f>
        <v>MGD NAGAR</v>
      </c>
    </row>
    <row r="16" spans="1:26" ht="20.25" thickTop="1" thickBot="1">
      <c r="A16" s="20"/>
      <c r="B16" s="21"/>
      <c r="C16" s="21"/>
      <c r="D16" s="21"/>
      <c r="E16" s="2"/>
      <c r="F16" s="20"/>
      <c r="G16" s="21"/>
      <c r="H16" s="21"/>
      <c r="I16" s="21"/>
      <c r="J16" s="13"/>
      <c r="K16" s="1"/>
      <c r="L16" s="27">
        <v>9.1</v>
      </c>
      <c r="M16" s="28">
        <v>1000000</v>
      </c>
      <c r="N16" s="32">
        <v>70000</v>
      </c>
      <c r="O16" s="32" t="str">
        <f t="shared" si="0"/>
        <v>9.1|1000000</v>
      </c>
      <c r="P16" s="28">
        <f t="shared" si="1"/>
        <v>3500</v>
      </c>
      <c r="Q16" s="32" t="str">
        <f t="shared" si="2"/>
        <v>9.1|1000000</v>
      </c>
      <c r="R16" s="29">
        <f t="shared" si="3"/>
        <v>46500</v>
      </c>
      <c r="S16" s="1"/>
      <c r="T16" s="30">
        <f>D130</f>
        <v>118000</v>
      </c>
      <c r="U16" s="30" t="str">
        <f>B123</f>
        <v>NARAYANLALJI</v>
      </c>
      <c r="V16" s="30" t="str">
        <f>C123</f>
        <v>SUBASH NGR</v>
      </c>
      <c r="W16" s="18"/>
      <c r="X16" s="30">
        <f>I130</f>
        <v>162250</v>
      </c>
      <c r="Y16" s="30" t="str">
        <f>G123</f>
        <v>VAKTARAMJI</v>
      </c>
      <c r="Z16" s="30" t="str">
        <f>H123</f>
        <v>RMNTPUR</v>
      </c>
    </row>
    <row r="17" spans="1:26" ht="20.25" thickTop="1" thickBot="1">
      <c r="A17" s="36" t="s">
        <v>16</v>
      </c>
      <c r="B17" s="37"/>
      <c r="C17" s="38"/>
      <c r="D17" s="8">
        <f>SUM(D12:D16)</f>
        <v>25000</v>
      </c>
      <c r="E17" s="2"/>
      <c r="F17" s="36" t="s">
        <v>16</v>
      </c>
      <c r="G17" s="37"/>
      <c r="H17" s="38"/>
      <c r="I17" s="21">
        <f>SUM(I12:I16)</f>
        <v>25000</v>
      </c>
      <c r="J17" s="13"/>
      <c r="K17" s="1"/>
      <c r="L17" s="1"/>
      <c r="M17" s="1"/>
      <c r="N17" s="1"/>
      <c r="O17" s="45"/>
      <c r="P17" s="46"/>
      <c r="Q17" s="45"/>
      <c r="R17" s="47"/>
      <c r="S17" s="1"/>
      <c r="T17" s="30">
        <f>D139</f>
        <v>67250</v>
      </c>
      <c r="U17" s="30" t="str">
        <f>B132</f>
        <v>BHUNDARAMJI</v>
      </c>
      <c r="V17" s="30" t="str">
        <f>C132</f>
        <v>MIYAPUR</v>
      </c>
      <c r="W17" s="18"/>
      <c r="X17" s="30">
        <f>I139</f>
        <v>25000</v>
      </c>
      <c r="Y17" s="30" t="str">
        <f>G132</f>
        <v>MOHANJI</v>
      </c>
      <c r="Z17" s="30" t="str">
        <f>H132</f>
        <v>NARSAPUR</v>
      </c>
    </row>
    <row r="18" spans="1:26" ht="20.25" thickTop="1" thickBot="1">
      <c r="A18" s="31"/>
      <c r="B18" s="3"/>
      <c r="C18" s="3"/>
      <c r="D18" s="3"/>
      <c r="E18" s="3"/>
      <c r="F18" s="43"/>
      <c r="G18" s="42"/>
      <c r="H18" s="42"/>
      <c r="I18" s="42"/>
      <c r="J18" s="13"/>
      <c r="K18" s="1"/>
      <c r="L18" s="1">
        <v>20</v>
      </c>
      <c r="M18" s="1">
        <v>250000</v>
      </c>
      <c r="N18" s="1"/>
      <c r="O18" s="45" t="str">
        <f t="shared" si="0"/>
        <v>20|250000</v>
      </c>
      <c r="P18" s="46">
        <f t="shared" si="1"/>
        <v>0</v>
      </c>
      <c r="Q18" s="45" t="str">
        <f t="shared" si="2"/>
        <v>20|250000</v>
      </c>
      <c r="R18" s="47">
        <f t="shared" si="3"/>
        <v>12500</v>
      </c>
      <c r="S18" s="1"/>
      <c r="T18" s="30">
        <f>D148</f>
        <v>115950</v>
      </c>
      <c r="U18" s="30" t="str">
        <f>B141</f>
        <v>POKARJI</v>
      </c>
      <c r="V18" s="30" t="str">
        <f>C141</f>
        <v>J GUTTA</v>
      </c>
      <c r="W18" s="18"/>
      <c r="X18" s="30">
        <f>I148</f>
        <v>84550</v>
      </c>
      <c r="Y18" s="30" t="str">
        <f>G141</f>
        <v>VAJJARAMJI</v>
      </c>
      <c r="Z18" s="30" t="str">
        <f>H141</f>
        <v>RING ROAD</v>
      </c>
    </row>
    <row r="19" spans="1:26" ht="20.25" thickTop="1" thickBot="1">
      <c r="A19" s="20" t="s">
        <v>0</v>
      </c>
      <c r="B19" s="21" t="s">
        <v>21</v>
      </c>
      <c r="C19" s="21" t="s">
        <v>22</v>
      </c>
      <c r="D19" s="9">
        <v>46026</v>
      </c>
      <c r="E19" s="2"/>
      <c r="F19" s="20" t="s">
        <v>0</v>
      </c>
      <c r="G19" s="21" t="s">
        <v>23</v>
      </c>
      <c r="H19" s="21" t="s">
        <v>24</v>
      </c>
      <c r="I19" s="9">
        <v>46026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30">
        <f>D157</f>
        <v>21750</v>
      </c>
      <c r="U19" s="30" t="str">
        <f>B150</f>
        <v>UDARAMJI</v>
      </c>
      <c r="V19" s="30" t="str">
        <f>C150</f>
        <v>CHINTAL</v>
      </c>
      <c r="W19" s="18"/>
      <c r="X19" s="30">
        <f>I157</f>
        <v>91850</v>
      </c>
      <c r="Y19" s="30" t="str">
        <f>G150</f>
        <v>SUMERSINGHJI</v>
      </c>
      <c r="Z19" s="30" t="str">
        <f>H150</f>
        <v>KU PALLY</v>
      </c>
    </row>
    <row r="20" spans="1:26" ht="20.25" thickTop="1" thickBot="1">
      <c r="A20" s="20" t="s">
        <v>6</v>
      </c>
      <c r="B20" s="21" t="s">
        <v>7</v>
      </c>
      <c r="C20" s="21" t="s">
        <v>8</v>
      </c>
      <c r="D20" s="21" t="s">
        <v>9</v>
      </c>
      <c r="E20" s="2"/>
      <c r="F20" s="20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30">
        <f>D166</f>
        <v>50000</v>
      </c>
      <c r="U20" s="30" t="str">
        <f>B159</f>
        <v>HARISINGHJI</v>
      </c>
      <c r="V20" s="30" t="str">
        <f>C159</f>
        <v>RAMARAM</v>
      </c>
      <c r="W20" s="18"/>
      <c r="X20" s="30">
        <f>I166</f>
        <v>50000</v>
      </c>
      <c r="Y20" s="30" t="str">
        <f>G159</f>
        <v>MANGILALJI</v>
      </c>
      <c r="Z20" s="30" t="str">
        <f>H159</f>
        <v>MALLAPUR</v>
      </c>
    </row>
    <row r="21" spans="1:26" ht="20.25" thickTop="1" thickBot="1">
      <c r="A21" s="20">
        <v>20</v>
      </c>
      <c r="B21" s="21">
        <v>1000000</v>
      </c>
      <c r="C21" s="21">
        <f>VLOOKUP(A21&amp;"|"&amp;B21,$O$3:$P$16,2,FALSE)</f>
        <v>0</v>
      </c>
      <c r="D21" s="21">
        <f>VLOOKUP(A21&amp;"|"&amp;B21,$Q$3:$R$16,2,FALSE)</f>
        <v>50000</v>
      </c>
      <c r="E21" s="2"/>
      <c r="F21" s="26">
        <v>20</v>
      </c>
      <c r="G21" s="21">
        <v>1000000</v>
      </c>
      <c r="H21" s="21">
        <f>VLOOKUP(F21&amp;"|"&amp;G21,$O$3:$P$16,2,FALSE)</f>
        <v>0</v>
      </c>
      <c r="I21" s="21">
        <f>VLOOKUP(F21&amp;"|"&amp;G21,$Q$3:$R$16,2,FALSE)</f>
        <v>50000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572)</f>
        <v>4503400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4352050</v>
      </c>
      <c r="S21" s="1"/>
      <c r="T21" s="30">
        <f>D175</f>
        <v>143500</v>
      </c>
      <c r="U21" s="30" t="str">
        <f>B168</f>
        <v>BHORARAMJI</v>
      </c>
      <c r="V21" s="30" t="str">
        <f>C168</f>
        <v>MIYAPUR</v>
      </c>
      <c r="W21" s="18"/>
      <c r="X21" s="30">
        <f>I175</f>
        <v>74100</v>
      </c>
      <c r="Y21" s="30" t="str">
        <f>G168</f>
        <v>TARARAMJI</v>
      </c>
      <c r="Z21" s="30" t="str">
        <f>H168</f>
        <v>SURARAM</v>
      </c>
    </row>
    <row r="22" spans="1:26" ht="20.25" thickTop="1" thickBot="1">
      <c r="A22" s="20">
        <v>9</v>
      </c>
      <c r="B22" s="21">
        <v>2000000</v>
      </c>
      <c r="C22" s="21">
        <f>VLOOKUP(A22&amp;"|"&amp;B22,$O$3:$P$17,2,FALSE)</f>
        <v>7000</v>
      </c>
      <c r="D22" s="21">
        <f>VLOOKUP(A22&amp;"|"&amp;B22,$Q$3:$R$17,2,FALSE)</f>
        <v>93000</v>
      </c>
      <c r="E22" s="2"/>
      <c r="F22" s="26">
        <v>20.100000000000001</v>
      </c>
      <c r="G22" s="21">
        <v>1000000</v>
      </c>
      <c r="H22" s="21">
        <f>VLOOKUP(F22&amp;"|"&amp;G22,$O$3:$P$16,2,FALSE)</f>
        <v>0</v>
      </c>
      <c r="I22" s="21">
        <f>VLOOKUP(F22&amp;"|"&amp;G22,$Q$3:$R$16,2,FALSE)</f>
        <v>50000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30">
        <f>D184</f>
        <v>117600</v>
      </c>
      <c r="U22" s="30" t="str">
        <f>B177</f>
        <v>MADARAMJI</v>
      </c>
      <c r="V22" s="30" t="str">
        <f>C177</f>
        <v>SHAPUR</v>
      </c>
      <c r="W22" s="18"/>
      <c r="X22" s="30">
        <f>I184</f>
        <v>50000</v>
      </c>
      <c r="Y22" s="30" t="str">
        <f>G177</f>
        <v>KUKARAMJI</v>
      </c>
      <c r="Z22" s="30" t="str">
        <f>H177</f>
        <v>J GUTTA</v>
      </c>
    </row>
    <row r="23" spans="1:26" ht="20.25" thickTop="1" thickBot="1">
      <c r="A23" s="20"/>
      <c r="B23" s="21"/>
      <c r="C23" s="21"/>
      <c r="D23" s="21"/>
      <c r="E23" s="2"/>
      <c r="F23" s="26">
        <v>20.100000000000001</v>
      </c>
      <c r="G23" s="21">
        <v>1000000</v>
      </c>
      <c r="H23" s="21">
        <f>VLOOKUP(F23&amp;"|"&amp;G23,$O$3:$P$16,2,FALSE)</f>
        <v>0</v>
      </c>
      <c r="I23" s="21">
        <f>VLOOKUP(F23&amp;"|"&amp;G23,$Q$3:$R$16,2,FALSE)</f>
        <v>50000</v>
      </c>
      <c r="J23" s="1"/>
      <c r="K23" s="1"/>
      <c r="L23" s="1"/>
      <c r="M23" s="1"/>
      <c r="N23" s="1"/>
      <c r="O23" s="49">
        <f>SUM(O21,R21)</f>
        <v>8855450</v>
      </c>
      <c r="P23" s="1"/>
      <c r="Q23" s="1"/>
      <c r="R23" s="1"/>
      <c r="S23" s="1"/>
      <c r="T23" s="30">
        <f>D193</f>
        <v>92250</v>
      </c>
      <c r="U23" s="30" t="str">
        <f>B186</f>
        <v>GENARAMJI</v>
      </c>
      <c r="V23" s="30" t="str">
        <f>C186</f>
        <v>J GUTTA</v>
      </c>
      <c r="W23" s="18"/>
      <c r="X23" s="30">
        <f>I193</f>
        <v>25000</v>
      </c>
      <c r="Y23" s="30" t="str">
        <f>G186</f>
        <v>NARENDRAJI</v>
      </c>
      <c r="Z23" s="30" t="str">
        <f>H186</f>
        <v>SACHINJI</v>
      </c>
    </row>
    <row r="24" spans="1:26" ht="20.25" thickTop="1" thickBot="1">
      <c r="A24" s="20"/>
      <c r="B24" s="21"/>
      <c r="C24" s="21"/>
      <c r="D24" s="21"/>
      <c r="E24" s="2"/>
      <c r="F24" s="20"/>
      <c r="G24" s="21"/>
      <c r="H24" s="21"/>
      <c r="I24" s="21"/>
      <c r="J24" s="1"/>
      <c r="K24" s="1"/>
      <c r="L24" s="1"/>
      <c r="M24" s="1"/>
      <c r="N24" s="1" t="s">
        <v>26</v>
      </c>
      <c r="O24" s="1"/>
      <c r="P24" s="1"/>
      <c r="Q24" s="1"/>
      <c r="R24" s="1"/>
      <c r="S24" s="1"/>
      <c r="T24" s="30">
        <f>D202</f>
        <v>96750</v>
      </c>
      <c r="U24" s="30" t="str">
        <f>B195</f>
        <v>HONARAMJI</v>
      </c>
      <c r="V24" s="30" t="str">
        <f>C195</f>
        <v>RAMARAM</v>
      </c>
      <c r="W24" s="18"/>
      <c r="X24" s="30">
        <f>I202</f>
        <v>50000</v>
      </c>
      <c r="Y24" s="30" t="str">
        <f>G195</f>
        <v>MEHNDARJI</v>
      </c>
      <c r="Z24" s="30" t="str">
        <f>H195</f>
        <v>SR NGR</v>
      </c>
    </row>
    <row r="25" spans="1:26" ht="20.25" thickTop="1" thickBot="1">
      <c r="A25" s="20"/>
      <c r="B25" s="21"/>
      <c r="C25" s="21"/>
      <c r="D25" s="21"/>
      <c r="E25" s="2"/>
      <c r="F25" s="20"/>
      <c r="G25" s="21"/>
      <c r="H25" s="21"/>
      <c r="I25" s="21"/>
      <c r="J25" s="1"/>
      <c r="K25" s="1"/>
      <c r="L25" s="1"/>
      <c r="M25" s="1" t="s">
        <v>182</v>
      </c>
      <c r="N25" s="1"/>
      <c r="O25" s="49"/>
      <c r="P25" s="1"/>
      <c r="Q25" s="1"/>
      <c r="R25" s="1"/>
      <c r="S25" s="1"/>
      <c r="T25" s="30">
        <f>D211</f>
        <v>100000</v>
      </c>
      <c r="U25" s="30" t="str">
        <f>B204</f>
        <v>KAILASHJI</v>
      </c>
      <c r="V25" s="30" t="str">
        <f>C204</f>
        <v>SHIVAMPET</v>
      </c>
      <c r="W25" s="18"/>
      <c r="X25" s="30">
        <f>I211</f>
        <v>89050</v>
      </c>
      <c r="Y25" s="30" t="str">
        <f>G204</f>
        <v>SOHANJI GUJAR</v>
      </c>
      <c r="Z25" s="30" t="str">
        <f>H204</f>
        <v>R R NGR</v>
      </c>
    </row>
    <row r="26" spans="1:26" ht="20.25" thickTop="1" thickBot="1">
      <c r="A26" s="36" t="s">
        <v>16</v>
      </c>
      <c r="B26" s="37"/>
      <c r="C26" s="38"/>
      <c r="D26" s="8">
        <f>SUM(D21:D25)</f>
        <v>143000</v>
      </c>
      <c r="E26" s="2"/>
      <c r="F26" s="36" t="s">
        <v>27</v>
      </c>
      <c r="G26" s="37"/>
      <c r="H26" s="38"/>
      <c r="I26" s="21">
        <f>SUM(I21:I25)</f>
        <v>150000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30"/>
      <c r="U26" s="18"/>
      <c r="V26" s="30"/>
      <c r="W26" s="18"/>
      <c r="X26" s="30">
        <f>I220</f>
        <v>46350</v>
      </c>
      <c r="Y26" s="30" t="str">
        <f>G213</f>
        <v>RAMESHJI</v>
      </c>
      <c r="Z26" s="30" t="str">
        <f>H213</f>
        <v>RR NAGAR</v>
      </c>
    </row>
    <row r="27" spans="1:26" ht="17.25" thickTop="1" thickBot="1">
      <c r="A27" s="31"/>
      <c r="B27" s="2"/>
      <c r="C27" s="2"/>
      <c r="D27" s="2"/>
      <c r="E27" s="2"/>
      <c r="F27" s="31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30">
        <f>D229</f>
        <v>24100</v>
      </c>
      <c r="U27" s="30" t="str">
        <f>B222</f>
        <v>GENARAMJI</v>
      </c>
      <c r="V27" s="30" t="str">
        <f>C222</f>
        <v>RAMARAM</v>
      </c>
      <c r="W27" s="18"/>
      <c r="X27" s="30">
        <f>I229</f>
        <v>24100</v>
      </c>
      <c r="Y27" s="30" t="str">
        <f>G222</f>
        <v>JAGDISHJI</v>
      </c>
      <c r="Z27" s="30" t="str">
        <f>H222</f>
        <v>PPR NGR</v>
      </c>
    </row>
    <row r="28" spans="1:26" ht="20.25" thickTop="1" thickBot="1">
      <c r="A28" s="20" t="s">
        <v>0</v>
      </c>
      <c r="B28" s="21" t="s">
        <v>187</v>
      </c>
      <c r="C28" s="21" t="s">
        <v>28</v>
      </c>
      <c r="D28" s="9">
        <v>46026</v>
      </c>
      <c r="E28" s="2"/>
      <c r="F28" s="20" t="s">
        <v>0</v>
      </c>
      <c r="G28" s="21" t="s">
        <v>29</v>
      </c>
      <c r="H28" s="21" t="s">
        <v>30</v>
      </c>
      <c r="I28" s="9">
        <v>46026</v>
      </c>
      <c r="J28" s="1"/>
      <c r="K28" s="1"/>
      <c r="L28" s="1"/>
      <c r="M28" s="1"/>
      <c r="N28" s="50"/>
      <c r="O28" s="1"/>
      <c r="P28" s="1"/>
      <c r="Q28" s="1"/>
      <c r="R28" s="1"/>
      <c r="S28" s="1"/>
      <c r="T28" s="30">
        <f>D238</f>
        <v>23000</v>
      </c>
      <c r="U28" s="30" t="str">
        <f>B231</f>
        <v>BHUNDARAMJI</v>
      </c>
      <c r="V28" s="30" t="str">
        <f>C231</f>
        <v>PRAGTI NGR</v>
      </c>
      <c r="W28" s="18"/>
      <c r="X28" s="30">
        <f>I238</f>
        <v>93000</v>
      </c>
      <c r="Y28" s="30" t="str">
        <f>G231</f>
        <v>JOGARAMJI</v>
      </c>
      <c r="Z28" s="30" t="str">
        <f>H231</f>
        <v>KU PALLY</v>
      </c>
    </row>
    <row r="29" spans="1:26" ht="20.25" thickTop="1" thickBot="1">
      <c r="A29" s="20" t="s">
        <v>6</v>
      </c>
      <c r="B29" s="21" t="s">
        <v>7</v>
      </c>
      <c r="C29" s="21" t="s">
        <v>8</v>
      </c>
      <c r="D29" s="21" t="s">
        <v>9</v>
      </c>
      <c r="E29" s="2"/>
      <c r="F29" s="20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30">
        <f>D247</f>
        <v>43500</v>
      </c>
      <c r="U29" s="30" t="str">
        <f>B240</f>
        <v>RAMESHJI</v>
      </c>
      <c r="V29" s="30" t="str">
        <f>C240</f>
        <v>KONDAPUR</v>
      </c>
      <c r="W29" s="18"/>
      <c r="X29" s="30">
        <f>I247</f>
        <v>226750</v>
      </c>
      <c r="Y29" s="30" t="str">
        <f>G240</f>
        <v>MANOHARJI</v>
      </c>
      <c r="Z29" s="30" t="str">
        <f>H240</f>
        <v>PAPI REDDY</v>
      </c>
    </row>
    <row r="30" spans="1:26" ht="20.25" thickTop="1" thickBot="1">
      <c r="A30" s="31">
        <v>20.100000000000001</v>
      </c>
      <c r="B30" s="21">
        <v>1000000</v>
      </c>
      <c r="C30" s="21">
        <f>VLOOKUP(A30&amp;"|"&amp;B30,$O$3:$P$16,2,FALSE)</f>
        <v>0</v>
      </c>
      <c r="D30" s="21">
        <f>VLOOKUP(A30&amp;"|"&amp;B30,$Q$3:$R$16,2,FALSE)</f>
        <v>50000</v>
      </c>
      <c r="E30" s="2"/>
      <c r="F30" s="26">
        <v>9</v>
      </c>
      <c r="G30" s="21">
        <v>500000</v>
      </c>
      <c r="H30" s="21">
        <f>VLOOKUP(F30&amp;"|"&amp;G30,$O$3:$P$16,2,FALSE)</f>
        <v>2000</v>
      </c>
      <c r="I30" s="21">
        <f>VLOOKUP(F30&amp;"|"&amp;G30,$Q$3:$R$16,2,FALSE)</f>
        <v>23000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30">
        <f>D256</f>
        <v>84550</v>
      </c>
      <c r="U30" s="30" t="str">
        <f>B249</f>
        <v>OMJI</v>
      </c>
      <c r="V30" s="30" t="str">
        <f>C249</f>
        <v>IDPL</v>
      </c>
      <c r="W30" s="18"/>
      <c r="X30" s="30">
        <f>I256</f>
        <v>24100</v>
      </c>
      <c r="Y30" s="30" t="str">
        <f>G249</f>
        <v>KISHANJI</v>
      </c>
      <c r="Z30" s="30" t="str">
        <f>H249</f>
        <v>KAMMAN</v>
      </c>
    </row>
    <row r="31" spans="1:26" ht="20.25" thickTop="1" thickBot="1">
      <c r="A31" s="31">
        <v>17</v>
      </c>
      <c r="B31" s="21">
        <v>500000</v>
      </c>
      <c r="C31" s="21">
        <f>VLOOKUP(A31&amp;"|"&amp;B31,$O$3:$P$16,2,FALSE)</f>
        <v>400</v>
      </c>
      <c r="D31" s="21">
        <f>VLOOKUP(A31&amp;"|"&amp;B31,$Q$3:$R$16,2,FALSE)</f>
        <v>24600</v>
      </c>
      <c r="E31" s="2"/>
      <c r="F31" s="20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30">
        <f>D265</f>
        <v>71750</v>
      </c>
      <c r="U31" s="30" t="str">
        <f>B258</f>
        <v>HEMARAMJI</v>
      </c>
      <c r="V31" s="30" t="str">
        <f>C258</f>
        <v>YAMJAL</v>
      </c>
      <c r="W31" s="18"/>
      <c r="X31" s="30">
        <f>I265</f>
        <v>43500</v>
      </c>
      <c r="Y31" s="30" t="str">
        <f>G258</f>
        <v>SURENDER</v>
      </c>
      <c r="Z31" s="30" t="str">
        <f>H258</f>
        <v>P R NGR</v>
      </c>
    </row>
    <row r="32" spans="1:26" ht="20.25" thickTop="1" thickBot="1">
      <c r="A32" s="31">
        <v>17</v>
      </c>
      <c r="B32" s="21">
        <v>500000</v>
      </c>
      <c r="C32" s="21">
        <f>VLOOKUP(A32&amp;"|"&amp;B32,$O$3:$P$16,2,FALSE)</f>
        <v>400</v>
      </c>
      <c r="D32" s="21">
        <f>VLOOKUP(A32&amp;"|"&amp;B32,$Q$3:$R$16,2,FALSE)</f>
        <v>24600</v>
      </c>
      <c r="E32" s="2"/>
      <c r="F32" s="20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30">
        <f>D274</f>
        <v>23000</v>
      </c>
      <c r="U32" s="30" t="str">
        <f>B267</f>
        <v>DURGARAMJI</v>
      </c>
      <c r="V32" s="30" t="str">
        <f>C267</f>
        <v>RAMARAM</v>
      </c>
      <c r="W32" s="18"/>
      <c r="X32" s="30">
        <f>I274</f>
        <v>23000</v>
      </c>
      <c r="Y32" s="30" t="str">
        <f>G267</f>
        <v>MANGILALJI</v>
      </c>
      <c r="Z32" s="30" t="str">
        <f>H267</f>
        <v>SURARAM</v>
      </c>
    </row>
    <row r="33" spans="1:26" ht="20.25" thickTop="1" thickBot="1">
      <c r="A33" s="31">
        <v>20.100000000000001</v>
      </c>
      <c r="B33" s="21">
        <v>1000000</v>
      </c>
      <c r="C33" s="21">
        <f>VLOOKUP(A33&amp;"|"&amp;B33,$O$3:$P$16,2,FALSE)</f>
        <v>0</v>
      </c>
      <c r="D33" s="21">
        <f>VLOOKUP(A33&amp;"|"&amp;B33,$Q$3:$R$16,2,FALSE)</f>
        <v>50000</v>
      </c>
      <c r="E33" s="2"/>
      <c r="F33" s="20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30">
        <f>D284</f>
        <v>89000</v>
      </c>
      <c r="U33" s="30" t="str">
        <f>B276</f>
        <v>DHANARAMJI</v>
      </c>
      <c r="V33" s="30" t="str">
        <f>C276</f>
        <v>KAMAN</v>
      </c>
      <c r="W33" s="18"/>
      <c r="X33" s="30">
        <f>I284</f>
        <v>188550</v>
      </c>
      <c r="Y33" s="30" t="str">
        <f>G276</f>
        <v>NARAYANJI</v>
      </c>
      <c r="Z33" s="30" t="str">
        <f>H276</f>
        <v>KAMAN</v>
      </c>
    </row>
    <row r="34" spans="1:26" ht="20.25" thickTop="1" thickBot="1">
      <c r="A34" s="20"/>
      <c r="B34" s="21"/>
      <c r="C34" s="21"/>
      <c r="D34" s="21"/>
      <c r="E34" s="2"/>
      <c r="F34" s="20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30">
        <f>D293</f>
        <v>116000</v>
      </c>
      <c r="U34" s="30" t="str">
        <f>B286</f>
        <v>KHUSHVIRJI</v>
      </c>
      <c r="V34" s="30" t="str">
        <f>C286</f>
        <v>MEDCHAL</v>
      </c>
      <c r="W34" s="18"/>
      <c r="X34" s="30">
        <f>I293</f>
        <v>120050</v>
      </c>
      <c r="Y34" s="30" t="str">
        <f>G286</f>
        <v>MOHANJI</v>
      </c>
      <c r="Z34" s="30" t="str">
        <f>H286</f>
        <v>J GUTTA</v>
      </c>
    </row>
    <row r="35" spans="1:26" ht="20.25" thickTop="1" thickBot="1">
      <c r="A35" s="36" t="s">
        <v>16</v>
      </c>
      <c r="B35" s="37"/>
      <c r="C35" s="38"/>
      <c r="D35" s="8">
        <f>SUM(D30:D34)</f>
        <v>149200</v>
      </c>
      <c r="E35" s="2"/>
      <c r="F35" s="36" t="s">
        <v>16</v>
      </c>
      <c r="G35" s="37"/>
      <c r="H35" s="38"/>
      <c r="I35" s="21">
        <f>SUM(I30:I34)</f>
        <v>23000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30">
        <f>D302</f>
        <v>167600</v>
      </c>
      <c r="U35" s="30" t="str">
        <f>B295</f>
        <v>MUNJI</v>
      </c>
      <c r="V35" s="30" t="str">
        <f>C295</f>
        <v>RAMARAM</v>
      </c>
      <c r="W35" s="18"/>
      <c r="X35" s="30">
        <f>I302</f>
        <v>139750</v>
      </c>
      <c r="Y35" s="30" t="str">
        <f>G295</f>
        <v>JAIRUPRAMJI</v>
      </c>
      <c r="Z35" s="30" t="str">
        <f>H295</f>
        <v>RMTPUR</v>
      </c>
    </row>
    <row r="36" spans="1:26" ht="17.25" thickTop="1" thickBot="1">
      <c r="A36" s="31"/>
      <c r="B36" s="2"/>
      <c r="C36" s="2"/>
      <c r="D36" s="2"/>
      <c r="E36" s="2"/>
      <c r="F36" s="31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30">
        <f>D311</f>
        <v>89000</v>
      </c>
      <c r="U36" s="30" t="str">
        <f>B304</f>
        <v>RAMESHJI</v>
      </c>
      <c r="V36" s="30" t="str">
        <f>C304</f>
        <v>ALWN COL</v>
      </c>
      <c r="W36" s="18"/>
      <c r="X36" s="30">
        <f>I311</f>
        <v>46750</v>
      </c>
      <c r="Y36" s="30" t="str">
        <f>G304</f>
        <v>SURESHJI</v>
      </c>
      <c r="Z36" s="30" t="str">
        <f>H304</f>
        <v>KAMAN</v>
      </c>
    </row>
    <row r="37" spans="1:26" ht="20.25" thickTop="1" thickBot="1">
      <c r="A37" s="20" t="s">
        <v>0</v>
      </c>
      <c r="B37" s="21" t="s">
        <v>31</v>
      </c>
      <c r="C37" s="21" t="s">
        <v>32</v>
      </c>
      <c r="D37" s="9">
        <v>46026</v>
      </c>
      <c r="E37" s="2"/>
      <c r="F37" s="20" t="s">
        <v>0</v>
      </c>
      <c r="G37" s="21" t="s">
        <v>33</v>
      </c>
      <c r="H37" s="21" t="s">
        <v>34</v>
      </c>
      <c r="I37" s="9">
        <v>46026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30">
        <f>D320</f>
        <v>47100</v>
      </c>
      <c r="U37" s="30" t="str">
        <f>B313</f>
        <v>OM</v>
      </c>
      <c r="V37" s="30" t="str">
        <f>C313</f>
        <v>J GUTTA</v>
      </c>
      <c r="W37" s="18"/>
      <c r="X37" s="30">
        <f>I320</f>
        <v>25000</v>
      </c>
      <c r="Y37" s="30" t="str">
        <f>G313</f>
        <v>NARAYANJI</v>
      </c>
      <c r="Z37" s="30" t="str">
        <f>H313</f>
        <v>ALWAL</v>
      </c>
    </row>
    <row r="38" spans="1:26" ht="20.25" thickTop="1" thickBot="1">
      <c r="A38" s="20" t="s">
        <v>6</v>
      </c>
      <c r="B38" s="21" t="s">
        <v>7</v>
      </c>
      <c r="C38" s="21" t="s">
        <v>8</v>
      </c>
      <c r="D38" s="21" t="s">
        <v>9</v>
      </c>
      <c r="E38" s="2"/>
      <c r="F38" s="20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30">
        <f>D329</f>
        <v>21750</v>
      </c>
      <c r="U38" s="30" t="str">
        <f>B322</f>
        <v>BABULALJI</v>
      </c>
      <c r="V38" s="30" t="str">
        <f>C322</f>
        <v>CHILKA NGR</v>
      </c>
      <c r="W38" s="18"/>
      <c r="X38" s="30">
        <f>I329</f>
        <v>24100</v>
      </c>
      <c r="Y38" s="30" t="str">
        <f>G322</f>
        <v>CHENJI</v>
      </c>
      <c r="Z38" s="30" t="str">
        <f>H322</f>
        <v>BOLARAM</v>
      </c>
    </row>
    <row r="39" spans="1:26" ht="20.25" thickTop="1" thickBot="1">
      <c r="A39" s="31">
        <v>14</v>
      </c>
      <c r="B39" s="21">
        <v>250000</v>
      </c>
      <c r="C39" s="21">
        <f>VLOOKUP(A39&amp;"|"&amp;B39,$O$3:$P$16,2,FALSE)</f>
        <v>450</v>
      </c>
      <c r="D39" s="21">
        <f>VLOOKUP(A39&amp;"|"&amp;B39,$Q$3:$R$16,2,FALSE)</f>
        <v>12050</v>
      </c>
      <c r="E39" s="2"/>
      <c r="F39" s="26">
        <v>20.100000000000001</v>
      </c>
      <c r="G39" s="21">
        <v>1000000</v>
      </c>
      <c r="H39" s="21">
        <f>VLOOKUP(F39&amp;"|"&amp;G39,$O$3:$P$16,2,FALSE)</f>
        <v>0</v>
      </c>
      <c r="I39" s="21">
        <f>VLOOKUP(F39&amp;"|"&amp;G39,$Q$3:$R$16,2,FALSE)</f>
        <v>50000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30">
        <f>D338</f>
        <v>48700</v>
      </c>
      <c r="U39" s="30" t="str">
        <f>B331</f>
        <v>MUKESHJI</v>
      </c>
      <c r="V39" s="30" t="str">
        <f>C331</f>
        <v>RAMARAM</v>
      </c>
      <c r="W39" s="18"/>
      <c r="X39" s="30">
        <f>I338</f>
        <v>24100</v>
      </c>
      <c r="Y39" s="30" t="str">
        <f>G331</f>
        <v>MOHANJI</v>
      </c>
      <c r="Z39" s="30" t="str">
        <f>H331</f>
        <v>YAMJAL</v>
      </c>
    </row>
    <row r="40" spans="1:26" ht="20.25" thickTop="1" thickBot="1">
      <c r="A40" s="31">
        <v>20</v>
      </c>
      <c r="B40" s="21">
        <v>250000</v>
      </c>
      <c r="C40" s="21">
        <f>VLOOKUP(A40&amp;"|"&amp;B40,$O$3:$P$18,2,FALSE)</f>
        <v>0</v>
      </c>
      <c r="D40" s="21">
        <f>VLOOKUP(A40&amp;"|"&amp;B40,$Q$3:$R$18,2,FALSE)</f>
        <v>12500</v>
      </c>
      <c r="E40" s="2"/>
      <c r="F40" s="26">
        <v>9</v>
      </c>
      <c r="G40" s="21">
        <v>2000000</v>
      </c>
      <c r="H40" s="21">
        <f>VLOOKUP(F40&amp;"|"&amp;G40,$O$3:$P$16,2,FALSE)</f>
        <v>7000</v>
      </c>
      <c r="I40" s="21">
        <f>VLOOKUP(F40&amp;"|"&amp;G40,$Q$3:$R$16,2,FALSE)</f>
        <v>93000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30">
        <f>D347</f>
        <v>24600</v>
      </c>
      <c r="U40" s="30" t="str">
        <f>B340</f>
        <v>MISRILALJI</v>
      </c>
      <c r="V40" s="30" t="str">
        <f>C340</f>
        <v>MEDCHAL</v>
      </c>
      <c r="W40" s="18"/>
      <c r="X40" s="30">
        <f>I347</f>
        <v>21750</v>
      </c>
      <c r="Y40" s="30" t="str">
        <f>G340</f>
        <v>GOPJI</v>
      </c>
      <c r="Z40" s="30" t="str">
        <f>H340</f>
        <v>KOTLAPUR</v>
      </c>
    </row>
    <row r="41" spans="1:26" ht="20.25" thickTop="1" thickBot="1">
      <c r="A41" s="20"/>
      <c r="B41" s="21"/>
      <c r="C41" s="21"/>
      <c r="D41" s="21"/>
      <c r="E41" s="2"/>
      <c r="F41" s="20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30">
        <f>D356</f>
        <v>25000</v>
      </c>
      <c r="U41" s="30" t="str">
        <f>B349</f>
        <v>GOVIND</v>
      </c>
      <c r="V41" s="30" t="str">
        <f>C349</f>
        <v>PPR NGR</v>
      </c>
      <c r="W41" s="18"/>
      <c r="X41" s="30">
        <f>I356</f>
        <v>21750</v>
      </c>
      <c r="Y41" s="30" t="str">
        <f>G349</f>
        <v>NEMJI</v>
      </c>
      <c r="Z41" s="30" t="str">
        <f>H349</f>
        <v>SUCHITRA</v>
      </c>
    </row>
    <row r="42" spans="1:26" ht="20.25" thickTop="1" thickBot="1">
      <c r="A42" s="20"/>
      <c r="B42" s="21"/>
      <c r="C42" s="21"/>
      <c r="D42" s="21"/>
      <c r="E42" s="2"/>
      <c r="F42" s="20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30">
        <f>D365</f>
        <v>65300</v>
      </c>
      <c r="U42" s="30" t="str">
        <f>B358</f>
        <v>SOHANLALJI</v>
      </c>
      <c r="V42" s="30" t="str">
        <f>C358</f>
        <v>RR NGR</v>
      </c>
      <c r="W42" s="18"/>
      <c r="X42" s="30">
        <f>I365</f>
        <v>24600</v>
      </c>
      <c r="Y42" s="30" t="str">
        <f>G358</f>
        <v>HIMTARAMJI</v>
      </c>
      <c r="Z42" s="30" t="str">
        <f>H358</f>
        <v>SURARAM</v>
      </c>
    </row>
    <row r="43" spans="1:26" ht="20.25" thickTop="1" thickBot="1">
      <c r="A43" s="20"/>
      <c r="B43" s="21"/>
      <c r="C43" s="21"/>
      <c r="D43" s="21"/>
      <c r="E43" s="2"/>
      <c r="F43" s="20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30">
        <f>D374</f>
        <v>68500</v>
      </c>
      <c r="U43" s="30" t="str">
        <f>B367</f>
        <v>KISHANJI</v>
      </c>
      <c r="V43" s="30" t="str">
        <f>C367</f>
        <v>KAMAN</v>
      </c>
      <c r="W43" s="18"/>
      <c r="X43" s="30">
        <f>I374</f>
        <v>24600</v>
      </c>
      <c r="Y43" s="30" t="str">
        <f>G367</f>
        <v>CHENJI</v>
      </c>
      <c r="Z43" s="30" t="str">
        <f>H367</f>
        <v>SURARAM</v>
      </c>
    </row>
    <row r="44" spans="1:26" ht="20.25" thickTop="1" thickBot="1">
      <c r="A44" s="36" t="s">
        <v>16</v>
      </c>
      <c r="B44" s="37"/>
      <c r="C44" s="38"/>
      <c r="D44" s="8">
        <f>SUM(D39:D43)</f>
        <v>24550</v>
      </c>
      <c r="E44" s="2"/>
      <c r="F44" s="36" t="s">
        <v>16</v>
      </c>
      <c r="G44" s="37"/>
      <c r="H44" s="38"/>
      <c r="I44" s="21">
        <f>SUM(I39:I43)</f>
        <v>143000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30">
        <f>D383</f>
        <v>23000</v>
      </c>
      <c r="U44" s="30" t="str">
        <f>B376</f>
        <v>RAMESHJI</v>
      </c>
      <c r="V44" s="30" t="str">
        <f>C376</f>
        <v>SHAPUR</v>
      </c>
      <c r="W44" s="18"/>
      <c r="X44" s="30">
        <f>I383</f>
        <v>23000</v>
      </c>
      <c r="Y44" s="30" t="str">
        <f>G376</f>
        <v>OMJI</v>
      </c>
      <c r="Z44" s="30" t="str">
        <f>H376</f>
        <v>SEC</v>
      </c>
    </row>
    <row r="45" spans="1:26" ht="17.25" thickTop="1" thickBot="1">
      <c r="A45" s="31"/>
      <c r="B45" s="2"/>
      <c r="C45" s="2"/>
      <c r="D45" s="2"/>
      <c r="E45" s="2"/>
      <c r="F45" s="31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30">
        <f>D392</f>
        <v>100000</v>
      </c>
      <c r="U45" s="30" t="str">
        <f>B385</f>
        <v>MISRILALJI</v>
      </c>
      <c r="V45" s="30" t="str">
        <f>C385</f>
        <v>SEC</v>
      </c>
      <c r="W45" s="18"/>
      <c r="X45" s="30">
        <f>I392</f>
        <v>24100</v>
      </c>
      <c r="Y45" s="30" t="str">
        <f>G385</f>
        <v>MOTIJI</v>
      </c>
      <c r="Z45" s="30" t="str">
        <f>H385</f>
        <v>MUSAPET</v>
      </c>
    </row>
    <row r="46" spans="1:26" ht="20.25" thickTop="1" thickBot="1">
      <c r="A46" s="20" t="s">
        <v>0</v>
      </c>
      <c r="B46" s="21" t="s">
        <v>35</v>
      </c>
      <c r="C46" s="21" t="s">
        <v>36</v>
      </c>
      <c r="D46" s="9">
        <v>46026</v>
      </c>
      <c r="E46" s="2"/>
      <c r="F46" s="20" t="s">
        <v>0</v>
      </c>
      <c r="G46" s="21" t="s">
        <v>37</v>
      </c>
      <c r="H46" s="21" t="s">
        <v>38</v>
      </c>
      <c r="I46" s="9">
        <v>46026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30">
        <f>D401</f>
        <v>50000</v>
      </c>
      <c r="U46" s="30" t="str">
        <f>B394</f>
        <v>BAGDARAMJI</v>
      </c>
      <c r="V46" s="30" t="str">
        <f>C394</f>
        <v>GANDHINGR</v>
      </c>
      <c r="W46" s="18"/>
      <c r="X46" s="30">
        <f>I401</f>
        <v>46750</v>
      </c>
      <c r="Y46" s="30" t="str">
        <f>G394</f>
        <v>KANJI</v>
      </c>
      <c r="Z46" s="30" t="str">
        <f>H394</f>
        <v>SANGA RDY</v>
      </c>
    </row>
    <row r="47" spans="1:26" ht="20.25" thickTop="1" thickBot="1">
      <c r="A47" s="20" t="s">
        <v>6</v>
      </c>
      <c r="B47" s="21" t="s">
        <v>7</v>
      </c>
      <c r="C47" s="21" t="s">
        <v>8</v>
      </c>
      <c r="D47" s="21" t="s">
        <v>9</v>
      </c>
      <c r="E47" s="2"/>
      <c r="F47" s="20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30">
        <f>D410</f>
        <v>50000</v>
      </c>
      <c r="U47" s="18" t="str">
        <f>B403</f>
        <v>NEMARANJI</v>
      </c>
      <c r="V47" s="18" t="str">
        <f>C403</f>
        <v>INDERSUM</v>
      </c>
      <c r="W47" s="18"/>
      <c r="X47" s="30">
        <f>I410</f>
        <v>46750</v>
      </c>
      <c r="Y47" s="30" t="str">
        <f>G403</f>
        <v>BUDARAMJI</v>
      </c>
      <c r="Z47" s="30" t="str">
        <f>H403</f>
        <v>PADMA NR</v>
      </c>
    </row>
    <row r="48" spans="1:26" ht="20.25" thickTop="1" thickBot="1">
      <c r="A48" s="31">
        <v>20.100000000000001</v>
      </c>
      <c r="B48" s="21">
        <v>500000</v>
      </c>
      <c r="C48" s="21">
        <f>VLOOKUP(A48&amp;"|"&amp;B48,$O$3:$P$16,2,FALSE)</f>
        <v>0</v>
      </c>
      <c r="D48" s="21">
        <f>VLOOKUP(A48&amp;"|"&amp;B48,$Q$3:$R$16,2,FALSE)</f>
        <v>25000</v>
      </c>
      <c r="E48" s="2"/>
      <c r="F48" s="26">
        <v>17</v>
      </c>
      <c r="G48" s="21">
        <v>500000</v>
      </c>
      <c r="H48" s="21">
        <f>VLOOKUP(F48&amp;"|"&amp;G48,$O$3:$P$16,2,FALSE)</f>
        <v>400</v>
      </c>
      <c r="I48" s="21">
        <f>VLOOKUP(F48&amp;"|"&amp;G48,$Q$3:$R$16,2,FALSE)</f>
        <v>24600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30">
        <f>D419</f>
        <v>23000</v>
      </c>
      <c r="U48" s="18" t="str">
        <f>B412</f>
        <v>HEMANTJI</v>
      </c>
      <c r="V48" s="18" t="str">
        <f>C412</f>
        <v>SURARAM</v>
      </c>
      <c r="W48" s="18"/>
      <c r="X48" s="30">
        <f>I419</f>
        <v>42250</v>
      </c>
      <c r="Y48" s="30" t="str">
        <f>G412</f>
        <v>KEWALJI</v>
      </c>
      <c r="Z48" s="30" t="str">
        <f>H412</f>
        <v>GOMARAM</v>
      </c>
    </row>
    <row r="49" spans="1:26" ht="20.25" thickTop="1" thickBot="1">
      <c r="A49" s="20"/>
      <c r="B49" s="21"/>
      <c r="C49" s="21"/>
      <c r="D49" s="21"/>
      <c r="E49" s="2"/>
      <c r="F49" s="31">
        <v>4</v>
      </c>
      <c r="G49" s="21">
        <v>500000</v>
      </c>
      <c r="H49" s="21">
        <f>VLOOKUP(F49&amp;"|"&amp;G49,$O$3:$P$16,2,FALSE)</f>
        <v>3250</v>
      </c>
      <c r="I49" s="21">
        <f>VLOOKUP(F49&amp;"|"&amp;G49,$Q$3:$R$16,2,FALSE)</f>
        <v>21750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30">
        <f>D428</f>
        <v>46750</v>
      </c>
      <c r="U49" s="18" t="str">
        <f>B421</f>
        <v>RAJUJI</v>
      </c>
      <c r="V49" s="18" t="str">
        <f>C421</f>
        <v>SHAPUR</v>
      </c>
      <c r="W49" s="18"/>
      <c r="X49" s="30">
        <f>I428</f>
        <v>93000</v>
      </c>
      <c r="Y49" s="18" t="str">
        <f>G421</f>
        <v>SESHARAMJI</v>
      </c>
      <c r="Z49" s="18" t="str">
        <f>H421</f>
        <v>J GUTTA</v>
      </c>
    </row>
    <row r="50" spans="1:26" ht="20.25" thickTop="1" thickBot="1">
      <c r="A50" s="20"/>
      <c r="B50" s="21"/>
      <c r="C50" s="21"/>
      <c r="D50" s="21"/>
      <c r="E50" s="2"/>
      <c r="F50" s="20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30">
        <f>D437</f>
        <v>46750</v>
      </c>
      <c r="U50" s="18" t="str">
        <f>B430</f>
        <v>GOUTAMJI</v>
      </c>
      <c r="V50" s="18" t="str">
        <f>C430</f>
        <v>RAMARAM</v>
      </c>
      <c r="W50" s="18"/>
      <c r="X50" s="30">
        <f>I437</f>
        <v>46750</v>
      </c>
      <c r="Y50" s="18" t="str">
        <f>G430</f>
        <v>PRAKASHJI</v>
      </c>
      <c r="Z50" s="18" t="str">
        <f>H430</f>
        <v>INDARSAM</v>
      </c>
    </row>
    <row r="51" spans="1:26" ht="20.25" thickTop="1" thickBot="1">
      <c r="A51" s="20"/>
      <c r="B51" s="21"/>
      <c r="C51" s="21"/>
      <c r="D51" s="21"/>
      <c r="E51" s="2"/>
      <c r="F51" s="20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30">
        <f>D446</f>
        <v>21750</v>
      </c>
      <c r="U51" s="18" t="str">
        <f>B439</f>
        <v>BHERARAMJI</v>
      </c>
      <c r="V51" s="18" t="str">
        <f>C439</f>
        <v>SURARAM</v>
      </c>
      <c r="W51" s="18"/>
      <c r="X51" s="30">
        <f>I446</f>
        <v>93000</v>
      </c>
      <c r="Y51" s="18" t="str">
        <f>G439</f>
        <v>TARJI (R J)</v>
      </c>
      <c r="Z51" s="18" t="str">
        <f>H439</f>
        <v>SURARAM</v>
      </c>
    </row>
    <row r="52" spans="1:26" ht="20.25" thickTop="1" thickBot="1">
      <c r="A52" s="20"/>
      <c r="B52" s="21"/>
      <c r="C52" s="21"/>
      <c r="D52" s="21"/>
      <c r="E52" s="2"/>
      <c r="F52" s="20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30">
        <f>D455</f>
        <v>42250</v>
      </c>
      <c r="U52" s="18" t="str">
        <f>B448</f>
        <v>MISRILALJI</v>
      </c>
      <c r="V52" s="18" t="str">
        <f>C448</f>
        <v>GUTTA</v>
      </c>
      <c r="W52" s="18"/>
      <c r="X52" s="30">
        <f>I455</f>
        <v>42300</v>
      </c>
      <c r="Y52" s="18" t="str">
        <f>G448</f>
        <v>RAKESHDASHJI</v>
      </c>
      <c r="Z52" s="18" t="str">
        <f>H448</f>
        <v>GUTTA</v>
      </c>
    </row>
    <row r="53" spans="1:26" ht="20.25" thickTop="1" thickBot="1">
      <c r="A53" s="36" t="s">
        <v>16</v>
      </c>
      <c r="B53" s="37"/>
      <c r="C53" s="38"/>
      <c r="D53" s="8">
        <f>SUM(D48:D52)</f>
        <v>25000</v>
      </c>
      <c r="E53" s="2"/>
      <c r="F53" s="36" t="s">
        <v>16</v>
      </c>
      <c r="G53" s="37"/>
      <c r="H53" s="38"/>
      <c r="I53" s="21">
        <f>SUM(I48:I52)</f>
        <v>46350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30">
        <f>D464</f>
        <v>71750</v>
      </c>
      <c r="U53" s="18" t="str">
        <f>B457</f>
        <v>RAMESHJI</v>
      </c>
      <c r="V53" s="18" t="str">
        <f>C457</f>
        <v>BOOK GUTA</v>
      </c>
      <c r="W53" s="18"/>
      <c r="X53" s="30">
        <f>I464</f>
        <v>46750</v>
      </c>
      <c r="Y53" s="18" t="str">
        <f>G457</f>
        <v>HEERJI</v>
      </c>
      <c r="Z53" s="18" t="str">
        <f>H457</f>
        <v>HANUMAN NG</v>
      </c>
    </row>
    <row r="54" spans="1:26" ht="17.25" thickTop="1" thickBot="1">
      <c r="A54" s="31"/>
      <c r="B54" s="2"/>
      <c r="C54" s="2"/>
      <c r="D54" s="2"/>
      <c r="E54" s="2"/>
      <c r="F54" s="31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30">
        <f>D473</f>
        <v>92250</v>
      </c>
      <c r="U54" s="18" t="str">
        <f>B466</f>
        <v>VALARAMJI</v>
      </c>
      <c r="V54" s="18" t="str">
        <f>C466</f>
        <v>CHINTAL</v>
      </c>
      <c r="W54" s="18"/>
      <c r="X54" s="30">
        <f>I473</f>
        <v>50000</v>
      </c>
      <c r="Y54" s="18" t="str">
        <f>G466</f>
        <v>NEMARAMJI</v>
      </c>
      <c r="Z54" s="18" t="str">
        <f>H466</f>
        <v>KOMPALY</v>
      </c>
    </row>
    <row r="55" spans="1:26" ht="20.25" thickTop="1" thickBot="1">
      <c r="A55" s="20" t="s">
        <v>0</v>
      </c>
      <c r="B55" s="21" t="s">
        <v>1</v>
      </c>
      <c r="C55" s="21" t="s">
        <v>39</v>
      </c>
      <c r="D55" s="9">
        <v>46026</v>
      </c>
      <c r="E55" s="2"/>
      <c r="F55" s="20" t="s">
        <v>0</v>
      </c>
      <c r="G55" s="21" t="s">
        <v>40</v>
      </c>
      <c r="H55" s="21" t="s">
        <v>41</v>
      </c>
      <c r="I55" s="9">
        <v>46026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30">
        <f>D482</f>
        <v>25000</v>
      </c>
      <c r="U55" s="18" t="str">
        <f>B475</f>
        <v>NARAYANLALJI</v>
      </c>
      <c r="V55" s="18" t="str">
        <f>C475</f>
        <v>SURARAM</v>
      </c>
      <c r="W55" s="30"/>
      <c r="X55" s="30">
        <f>I482</f>
        <v>21750</v>
      </c>
      <c r="Y55" s="18" t="str">
        <f>G475</f>
        <v>ASHOKJI</v>
      </c>
      <c r="Z55" s="18" t="str">
        <f>H475</f>
        <v>SUCHITRA</v>
      </c>
    </row>
    <row r="56" spans="1:26" ht="20.25" thickTop="1" thickBot="1">
      <c r="A56" s="20" t="s">
        <v>6</v>
      </c>
      <c r="B56" s="21" t="s">
        <v>7</v>
      </c>
      <c r="C56" s="21" t="s">
        <v>8</v>
      </c>
      <c r="D56" s="21" t="s">
        <v>9</v>
      </c>
      <c r="E56" s="2"/>
      <c r="F56" s="20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30">
        <f>D491</f>
        <v>49200</v>
      </c>
      <c r="U56" s="18" t="s">
        <v>42</v>
      </c>
      <c r="V56" s="18" t="s">
        <v>43</v>
      </c>
      <c r="W56" s="18"/>
      <c r="X56" s="30">
        <f>I491</f>
        <v>23000</v>
      </c>
      <c r="Y56" s="18" t="s">
        <v>44</v>
      </c>
      <c r="Z56" s="18" t="s">
        <v>43</v>
      </c>
    </row>
    <row r="57" spans="1:26" ht="20.25" thickTop="1" thickBot="1">
      <c r="A57" s="31">
        <v>20.100000000000001</v>
      </c>
      <c r="B57" s="21">
        <v>1000000</v>
      </c>
      <c r="C57" s="21">
        <f>VLOOKUP(A57&amp;"|"&amp;B57,$O$3:$P$16,2,FALSE)</f>
        <v>0</v>
      </c>
      <c r="D57" s="21">
        <f>VLOOKUP(A57&amp;"|"&amp;B57,$Q$3:$R$16,2,FALSE)</f>
        <v>50000</v>
      </c>
      <c r="E57" s="2"/>
      <c r="F57" s="26">
        <v>4.0999999999999996</v>
      </c>
      <c r="G57" s="21">
        <v>1000000</v>
      </c>
      <c r="H57" s="21">
        <f>VLOOKUP(F57&amp;"|"&amp;G57,$O$3:$P$19,2,FALSE)</f>
        <v>7700</v>
      </c>
      <c r="I57" s="21">
        <f>VLOOKUP(F57&amp;"|"&amp;G57,$Q$3:$R$19,2,FALSE)</f>
        <v>42300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30">
        <f>D500</f>
        <v>24100</v>
      </c>
      <c r="U57" s="18" t="str">
        <f>B493</f>
        <v>CHANDARAMJI</v>
      </c>
      <c r="V57" s="18" t="str">
        <f>C493</f>
        <v>SURARAM</v>
      </c>
      <c r="W57" s="18"/>
      <c r="X57" s="30">
        <f>I500</f>
        <v>113450</v>
      </c>
      <c r="Y57" s="18" t="str">
        <f>G493</f>
        <v>VINJARAMJI</v>
      </c>
      <c r="Z57" s="18" t="str">
        <f>H493</f>
        <v>R R NAGAR</v>
      </c>
    </row>
    <row r="58" spans="1:26" ht="20.25" thickTop="1" thickBot="1">
      <c r="A58" s="31">
        <v>4</v>
      </c>
      <c r="B58" s="21">
        <v>1000000</v>
      </c>
      <c r="C58" s="21">
        <f>VLOOKUP(A58&amp;"|"&amp;B58,$O$3:$P$16,2,FALSE)</f>
        <v>7750</v>
      </c>
      <c r="D58" s="21">
        <f>VLOOKUP(A58&amp;"|"&amp;B58,$Q$3:$R$16,2,FALSE)</f>
        <v>42250</v>
      </c>
      <c r="E58" s="2"/>
      <c r="F58" s="26">
        <v>9</v>
      </c>
      <c r="G58" s="21">
        <v>500000</v>
      </c>
      <c r="H58" s="21">
        <f>VLOOKUP(F58&amp;"|"&amp;G58,$O$3:$P$19,2,FALSE)</f>
        <v>2000</v>
      </c>
      <c r="I58" s="21">
        <f>VLOOKUP(F58&amp;"|"&amp;G58,$Q$3:$R$19,2,FALSE)</f>
        <v>23000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30">
        <f>D509</f>
        <v>93000</v>
      </c>
      <c r="U58" s="30" t="str">
        <f>B502</f>
        <v>CHAMPALALJI</v>
      </c>
      <c r="V58" s="18" t="str">
        <f>C502</f>
        <v>RNGRD</v>
      </c>
      <c r="W58" s="18"/>
      <c r="X58" s="30">
        <f>I509</f>
        <v>23000</v>
      </c>
      <c r="Y58" s="18" t="str">
        <f>G502</f>
        <v>VENKTESHVAR</v>
      </c>
      <c r="Z58" s="18" t="str">
        <f>H502</f>
        <v>AB CO</v>
      </c>
    </row>
    <row r="59" spans="1:26" ht="20.25" thickTop="1" thickBot="1">
      <c r="A59" s="20"/>
      <c r="B59" s="21"/>
      <c r="C59" s="21"/>
      <c r="D59" s="21"/>
      <c r="E59" s="2"/>
      <c r="F59" s="20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30">
        <f>D518</f>
        <v>23000</v>
      </c>
      <c r="U59" s="18" t="str">
        <f>B511</f>
        <v>KEWALJI</v>
      </c>
      <c r="V59" s="18" t="str">
        <f>C511</f>
        <v>KAMMAN</v>
      </c>
      <c r="W59" s="30"/>
      <c r="X59" s="30">
        <f>I518</f>
        <v>23000</v>
      </c>
      <c r="Y59" s="18" t="str">
        <f>G511</f>
        <v>PRAKASHJI</v>
      </c>
      <c r="Z59" s="18" t="str">
        <f>H511</f>
        <v>AMEENPUR</v>
      </c>
    </row>
    <row r="60" spans="1:26" ht="20.25" thickTop="1" thickBot="1">
      <c r="A60" s="20"/>
      <c r="B60" s="21"/>
      <c r="C60" s="21"/>
      <c r="D60" s="21"/>
      <c r="E60" s="2"/>
      <c r="F60" s="20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30">
        <f>D527</f>
        <v>25000</v>
      </c>
      <c r="U60" s="18" t="str">
        <f>B520</f>
        <v>NIRMALJI</v>
      </c>
      <c r="V60" s="18" t="str">
        <f>C520</f>
        <v>KKPALLY</v>
      </c>
      <c r="W60" s="18"/>
      <c r="X60" s="30">
        <f>I527</f>
        <v>93500</v>
      </c>
      <c r="Y60" s="18" t="str">
        <f>G520</f>
        <v>THANARAMJI</v>
      </c>
      <c r="Z60" s="18" t="str">
        <f>H520</f>
        <v>SRIKAKULAM B</v>
      </c>
    </row>
    <row r="61" spans="1:26" ht="20.25" thickTop="1" thickBot="1">
      <c r="A61" s="20"/>
      <c r="B61" s="21"/>
      <c r="C61" s="21"/>
      <c r="D61" s="21"/>
      <c r="E61" s="2"/>
      <c r="F61" s="20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30">
        <f>D536</f>
        <v>84550</v>
      </c>
      <c r="U61" s="18" t="str">
        <f>B529</f>
        <v>NARAYANJI</v>
      </c>
      <c r="V61" s="18" t="str">
        <f>C529</f>
        <v>RR ROAD</v>
      </c>
      <c r="W61" s="18"/>
      <c r="X61" s="30">
        <f>I536</f>
        <v>93000</v>
      </c>
      <c r="Y61" s="18" t="str">
        <f>G529</f>
        <v>PUNJI</v>
      </c>
      <c r="Z61" s="18" t="str">
        <f>H529</f>
        <v>R ROAD</v>
      </c>
    </row>
    <row r="62" spans="1:26" ht="20.25" thickTop="1" thickBot="1">
      <c r="A62" s="36" t="s">
        <v>16</v>
      </c>
      <c r="B62" s="37"/>
      <c r="C62" s="38"/>
      <c r="D62" s="8">
        <f>SUM(D57:D61)</f>
        <v>92250</v>
      </c>
      <c r="E62" s="2"/>
      <c r="F62" s="36" t="s">
        <v>16</v>
      </c>
      <c r="G62" s="37"/>
      <c r="H62" s="38"/>
      <c r="I62" s="21">
        <f>SUM(I57:I61)</f>
        <v>65300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30">
        <f>D545</f>
        <v>42300</v>
      </c>
      <c r="U62" s="30" t="str">
        <f>B538</f>
        <v xml:space="preserve">GOTAMJI </v>
      </c>
      <c r="V62" s="18" t="str">
        <f>C538</f>
        <v>RR ROAD</v>
      </c>
      <c r="W62" s="30"/>
      <c r="X62" s="30">
        <f>I545</f>
        <v>84550</v>
      </c>
      <c r="Y62" s="18" t="str">
        <f>G538</f>
        <v>SOHANJI</v>
      </c>
      <c r="Z62" s="18" t="str">
        <f>H538</f>
        <v>RR ROAD</v>
      </c>
    </row>
    <row r="63" spans="1:26" ht="20.25" thickTop="1" thickBot="1">
      <c r="A63" s="43"/>
      <c r="B63" s="10"/>
      <c r="C63" s="10"/>
      <c r="D63" s="10"/>
      <c r="E63" s="2"/>
      <c r="F63" s="43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30">
        <f>D554</f>
        <v>42300</v>
      </c>
      <c r="U63" s="18" t="str">
        <f>B547</f>
        <v>TEJAJAMJI</v>
      </c>
      <c r="V63" s="18" t="str">
        <f>C547</f>
        <v>YELMBNDA</v>
      </c>
      <c r="W63" s="18"/>
      <c r="X63" s="30">
        <f>I554</f>
        <v>42300</v>
      </c>
      <c r="Y63" s="18" t="str">
        <f>G547</f>
        <v>MOHANJI</v>
      </c>
      <c r="Z63" s="18" t="str">
        <f>H547</f>
        <v>CHINTAL</v>
      </c>
    </row>
    <row r="64" spans="1:26" ht="20.25" thickTop="1" thickBot="1">
      <c r="A64" s="11" t="s">
        <v>3</v>
      </c>
      <c r="B64" s="12" t="s">
        <v>45</v>
      </c>
      <c r="C64" s="12" t="s">
        <v>46</v>
      </c>
      <c r="D64" s="9">
        <v>46026</v>
      </c>
      <c r="E64" s="2"/>
      <c r="F64" s="20" t="s">
        <v>0</v>
      </c>
      <c r="G64" s="21" t="s">
        <v>47</v>
      </c>
      <c r="H64" s="21" t="s">
        <v>48</v>
      </c>
      <c r="I64" s="9">
        <v>46026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30">
        <f>D563</f>
        <v>42300</v>
      </c>
      <c r="U64" s="18" t="str">
        <f>B556</f>
        <v>BABULALJI</v>
      </c>
      <c r="V64" s="18" t="str">
        <f>C556</f>
        <v>RAMARAM</v>
      </c>
      <c r="W64" s="18"/>
      <c r="X64" s="30">
        <f>I563</f>
        <v>21750</v>
      </c>
      <c r="Y64" s="18" t="str">
        <f>G556</f>
        <v>MOHANJI</v>
      </c>
      <c r="Z64" s="18" t="str">
        <f>H556</f>
        <v>AMINPUR</v>
      </c>
    </row>
    <row r="65" spans="1:26" ht="20.25" thickTop="1" thickBot="1">
      <c r="A65" s="20" t="s">
        <v>6</v>
      </c>
      <c r="B65" s="21" t="s">
        <v>7</v>
      </c>
      <c r="C65" s="21" t="s">
        <v>8</v>
      </c>
      <c r="D65" s="21" t="s">
        <v>9</v>
      </c>
      <c r="E65" s="2"/>
      <c r="F65" s="20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30">
        <f>D572</f>
        <v>21750</v>
      </c>
      <c r="U65" s="18" t="str">
        <f>B565</f>
        <v>PUNAMJI</v>
      </c>
      <c r="V65" s="18" t="str">
        <f>C565</f>
        <v>BADURPLY</v>
      </c>
      <c r="W65" s="18"/>
      <c r="X65" s="30">
        <f>I572</f>
        <v>21750</v>
      </c>
      <c r="Y65" s="18" t="str">
        <f>G565</f>
        <v>NARAYANJI</v>
      </c>
      <c r="Z65" s="18" t="str">
        <f>H565</f>
        <v>KOTLAPUR</v>
      </c>
    </row>
    <row r="66" spans="1:26" ht="20.25" thickTop="1" thickBot="1">
      <c r="A66" s="31">
        <v>20.100000000000001</v>
      </c>
      <c r="B66" s="21">
        <v>500000</v>
      </c>
      <c r="C66" s="21">
        <f>VLOOKUP(A66&amp;"|"&amp;B66,$O$3:$P$17,2,FALSE)</f>
        <v>0</v>
      </c>
      <c r="D66" s="21">
        <f>VLOOKUP(A66&amp;"|"&amp;B66,$Q$3:$R$17,2,FALSE)</f>
        <v>25000</v>
      </c>
      <c r="E66" s="2"/>
      <c r="F66" s="26">
        <v>20.100000000000001</v>
      </c>
      <c r="G66" s="21">
        <v>500000</v>
      </c>
      <c r="H66" s="21">
        <f>VLOOKUP(F66&amp;"|"&amp;G66,$O$3:$P$16,2,FALSE)</f>
        <v>0</v>
      </c>
      <c r="I66" s="21">
        <f>VLOOKUP(F66&amp;"|"&amp;G66,$Q$3:$R$16,2,FALSE)</f>
        <v>25000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30"/>
      <c r="U66" s="18"/>
      <c r="V66" s="18"/>
      <c r="W66" s="18"/>
      <c r="X66" s="30"/>
      <c r="Y66" s="18"/>
      <c r="Z66" s="18"/>
    </row>
    <row r="67" spans="1:26" ht="20.25" thickTop="1" thickBot="1">
      <c r="A67" s="31">
        <v>9</v>
      </c>
      <c r="B67" s="21">
        <v>2000000</v>
      </c>
      <c r="C67" s="21">
        <f>VLOOKUP(A67&amp;"|"&amp;B67,$O$3:$P$17,2,FALSE)</f>
        <v>7000</v>
      </c>
      <c r="D67" s="21">
        <f>VLOOKUP(A67&amp;"|"&amp;B67,$Q$3:$R$17,2,FALSE)</f>
        <v>93000</v>
      </c>
      <c r="E67" s="2"/>
      <c r="F67" s="26">
        <v>9</v>
      </c>
      <c r="G67" s="21">
        <v>500000</v>
      </c>
      <c r="H67" s="21">
        <f>VLOOKUP(F67&amp;"|"&amp;G67,$O$3:$P$16,2,FALSE)</f>
        <v>2000</v>
      </c>
      <c r="I67" s="21">
        <f>VLOOKUP(F67&amp;"|"&amp;G67,$Q$3:$R$16,2,FALSE)</f>
        <v>23000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30"/>
      <c r="U67" s="18"/>
      <c r="V67" s="18"/>
      <c r="W67" s="18"/>
      <c r="X67" s="18"/>
      <c r="Y67" s="18"/>
      <c r="Z67" s="18"/>
    </row>
    <row r="68" spans="1:26" ht="20.25" thickTop="1" thickBot="1">
      <c r="A68" s="20"/>
      <c r="B68" s="21"/>
      <c r="C68" s="21"/>
      <c r="D68" s="21"/>
      <c r="E68" s="2"/>
      <c r="F68" s="20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8"/>
      <c r="U68" s="18"/>
      <c r="V68" s="18"/>
      <c r="W68" s="18"/>
      <c r="X68" s="18"/>
      <c r="Y68" s="18"/>
      <c r="Z68" s="18"/>
    </row>
    <row r="69" spans="1:26" ht="20.25" thickTop="1" thickBot="1">
      <c r="A69" s="20"/>
      <c r="B69" s="21"/>
      <c r="C69" s="21"/>
      <c r="D69" s="21"/>
      <c r="E69" s="2"/>
      <c r="F69" s="20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30">
        <f>SUM(T3:T67)</f>
        <v>4503400</v>
      </c>
      <c r="U69" s="18"/>
      <c r="V69" s="18"/>
      <c r="W69" s="18"/>
      <c r="X69" s="30">
        <f>SUM(X3:X66)</f>
        <v>4352050</v>
      </c>
      <c r="Y69" s="18"/>
      <c r="Z69" s="18"/>
    </row>
    <row r="70" spans="1:26" ht="20.25" thickTop="1" thickBot="1">
      <c r="A70" s="20"/>
      <c r="B70" s="21"/>
      <c r="C70" s="21"/>
      <c r="D70" s="21"/>
      <c r="E70" s="2"/>
      <c r="F70" s="51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8"/>
      <c r="U70" s="18"/>
      <c r="V70" s="18"/>
      <c r="W70" s="18"/>
      <c r="X70" s="18"/>
      <c r="Y70" s="18"/>
      <c r="Z70" s="18"/>
    </row>
    <row r="71" spans="1:26" ht="20.25" thickTop="1" thickBot="1">
      <c r="A71" s="62" t="s">
        <v>49</v>
      </c>
      <c r="B71" s="53"/>
      <c r="C71" s="54"/>
      <c r="D71" s="21">
        <f>SUM(D66:D70)</f>
        <v>118000</v>
      </c>
      <c r="E71" s="2"/>
      <c r="F71" s="36" t="s">
        <v>16</v>
      </c>
      <c r="G71" s="37"/>
      <c r="H71" s="38"/>
      <c r="I71" s="21">
        <f>SUM(I66:I70)</f>
        <v>48000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8"/>
      <c r="U71" s="18"/>
      <c r="V71" s="18" t="s">
        <v>25</v>
      </c>
      <c r="W71" s="55">
        <f>SUM(T69,X69)</f>
        <v>8855450</v>
      </c>
      <c r="X71" s="30">
        <f>SUM(T69,X69)</f>
        <v>8855450</v>
      </c>
      <c r="Y71" s="18"/>
      <c r="Z71" s="18"/>
    </row>
    <row r="72" spans="1:26" ht="20.25" thickTop="1" thickBot="1">
      <c r="A72" s="43"/>
      <c r="B72" s="10"/>
      <c r="C72" s="10"/>
      <c r="D72" s="10"/>
      <c r="E72" s="2"/>
      <c r="F72" s="43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0" t="s">
        <v>0</v>
      </c>
      <c r="B73" s="21" t="s">
        <v>50</v>
      </c>
      <c r="C73" s="21" t="s">
        <v>51</v>
      </c>
      <c r="D73" s="9">
        <v>46026</v>
      </c>
      <c r="E73" s="2"/>
      <c r="F73" s="20" t="s">
        <v>0</v>
      </c>
      <c r="G73" s="21" t="s">
        <v>50</v>
      </c>
      <c r="H73" s="21" t="s">
        <v>52</v>
      </c>
      <c r="I73" s="9">
        <v>46026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0" t="s">
        <v>6</v>
      </c>
      <c r="B74" s="21" t="s">
        <v>7</v>
      </c>
      <c r="C74" s="21" t="s">
        <v>8</v>
      </c>
      <c r="D74" s="21" t="s">
        <v>9</v>
      </c>
      <c r="E74" s="2"/>
      <c r="F74" s="20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31">
        <v>20</v>
      </c>
      <c r="B75" s="21">
        <v>1000000</v>
      </c>
      <c r="C75" s="21">
        <f t="shared" ref="C75:C81" si="4">VLOOKUP(A75&amp;"|"&amp;B75,$O$3:$P$16,2,FALSE)</f>
        <v>0</v>
      </c>
      <c r="D75" s="21">
        <f t="shared" ref="D75:D81" si="5">VLOOKUP(A75&amp;"|"&amp;B75,$Q$3:$R$16,2,FALSE)</f>
        <v>50000</v>
      </c>
      <c r="E75" s="2"/>
      <c r="F75" s="26">
        <v>4</v>
      </c>
      <c r="G75" s="21">
        <v>1000000</v>
      </c>
      <c r="H75" s="21">
        <f t="shared" ref="H75:H84" si="6">VLOOKUP(F75&amp;"|"&amp;G75,$O$3:$P$16,2,FALSE)</f>
        <v>7750</v>
      </c>
      <c r="I75" s="21">
        <f t="shared" ref="I75:I84" si="7">VLOOKUP(F75&amp;"|"&amp;G75,$Q$3:$R$16,2,FALSE)</f>
        <v>42250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31">
        <v>20.100000000000001</v>
      </c>
      <c r="B76" s="21">
        <v>1000000</v>
      </c>
      <c r="C76" s="21">
        <f t="shared" si="4"/>
        <v>0</v>
      </c>
      <c r="D76" s="21">
        <f t="shared" si="5"/>
        <v>50000</v>
      </c>
      <c r="E76" s="2"/>
      <c r="F76" s="26">
        <v>4</v>
      </c>
      <c r="G76" s="21">
        <v>1000000</v>
      </c>
      <c r="H76" s="21">
        <f t="shared" si="6"/>
        <v>7750</v>
      </c>
      <c r="I76" s="21">
        <f t="shared" si="7"/>
        <v>42250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31">
        <v>4</v>
      </c>
      <c r="B77" s="21">
        <v>1000000</v>
      </c>
      <c r="C77" s="21">
        <f t="shared" si="4"/>
        <v>7750</v>
      </c>
      <c r="D77" s="21">
        <f t="shared" si="5"/>
        <v>42250</v>
      </c>
      <c r="E77" s="2"/>
      <c r="F77" s="26">
        <v>4.0999999999999996</v>
      </c>
      <c r="G77" s="21">
        <v>1000000</v>
      </c>
      <c r="H77" s="21">
        <f t="shared" si="6"/>
        <v>7700</v>
      </c>
      <c r="I77" s="21">
        <f t="shared" si="7"/>
        <v>42300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31">
        <v>4.0999999999999996</v>
      </c>
      <c r="B78" s="21">
        <v>1000000</v>
      </c>
      <c r="C78" s="21">
        <f t="shared" si="4"/>
        <v>7700</v>
      </c>
      <c r="D78" s="21">
        <f t="shared" si="5"/>
        <v>42300</v>
      </c>
      <c r="E78" s="2"/>
      <c r="F78" s="26">
        <v>4.0999999999999996</v>
      </c>
      <c r="G78" s="21">
        <v>1000000</v>
      </c>
      <c r="H78" s="21">
        <f t="shared" si="6"/>
        <v>7700</v>
      </c>
      <c r="I78" s="21">
        <f t="shared" si="7"/>
        <v>42300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31">
        <v>4.0999999999999996</v>
      </c>
      <c r="B79" s="21">
        <v>1000000</v>
      </c>
      <c r="C79" s="21">
        <f t="shared" si="4"/>
        <v>7700</v>
      </c>
      <c r="D79" s="21">
        <f t="shared" si="5"/>
        <v>42300</v>
      </c>
      <c r="E79" s="2"/>
      <c r="F79" s="26">
        <v>9</v>
      </c>
      <c r="G79" s="21">
        <v>500000</v>
      </c>
      <c r="H79" s="21">
        <f t="shared" si="6"/>
        <v>2000</v>
      </c>
      <c r="I79" s="21">
        <f t="shared" si="7"/>
        <v>23000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31">
        <v>14</v>
      </c>
      <c r="B80" s="21">
        <v>250000</v>
      </c>
      <c r="C80" s="21">
        <f t="shared" si="4"/>
        <v>450</v>
      </c>
      <c r="D80" s="21">
        <f t="shared" si="5"/>
        <v>12050</v>
      </c>
      <c r="E80" s="2"/>
      <c r="F80" s="26">
        <v>20</v>
      </c>
      <c r="G80" s="21">
        <v>500000</v>
      </c>
      <c r="H80" s="21">
        <f t="shared" si="6"/>
        <v>0</v>
      </c>
      <c r="I80" s="21">
        <f t="shared" si="7"/>
        <v>25000</v>
      </c>
      <c r="J80" s="1"/>
      <c r="K80" s="1"/>
      <c r="L80" s="1"/>
      <c r="M80" s="1"/>
      <c r="N80" s="1"/>
      <c r="O80" s="56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31">
        <v>20.100000000000001</v>
      </c>
      <c r="B81" s="21">
        <v>500000</v>
      </c>
      <c r="C81" s="21">
        <f t="shared" si="4"/>
        <v>0</v>
      </c>
      <c r="D81" s="21">
        <f t="shared" si="5"/>
        <v>25000</v>
      </c>
      <c r="E81" s="2"/>
      <c r="F81" s="26">
        <v>20</v>
      </c>
      <c r="G81" s="21">
        <v>500000</v>
      </c>
      <c r="H81" s="21">
        <f t="shared" si="6"/>
        <v>0</v>
      </c>
      <c r="I81" s="21">
        <f t="shared" si="7"/>
        <v>25000</v>
      </c>
      <c r="J81" s="1"/>
      <c r="K81" s="1"/>
      <c r="L81" s="56"/>
      <c r="M81" s="56"/>
      <c r="N81" s="56"/>
      <c r="O81" s="44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31">
        <v>20</v>
      </c>
      <c r="B82" s="21">
        <v>250000</v>
      </c>
      <c r="C82" s="21">
        <f>VLOOKUP(A82&amp;"|"&amp;B82,$O$3:$P$18,2,FALSE)</f>
        <v>0</v>
      </c>
      <c r="D82" s="21">
        <f>VLOOKUP(A82&amp;"|"&amp;B82,$Q$3:$R$18,2,FALSE)</f>
        <v>12500</v>
      </c>
      <c r="E82" s="2"/>
      <c r="F82" s="26">
        <v>20</v>
      </c>
      <c r="G82" s="21">
        <v>1000000</v>
      </c>
      <c r="H82" s="21">
        <f t="shared" si="6"/>
        <v>0</v>
      </c>
      <c r="I82" s="21">
        <f t="shared" si="7"/>
        <v>50000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31">
        <v>9</v>
      </c>
      <c r="B83" s="21">
        <v>2000000</v>
      </c>
      <c r="C83" s="21">
        <f>VLOOKUP(A83&amp;"|"&amp;B83,$O$3:$P$18,2,FALSE)</f>
        <v>7000</v>
      </c>
      <c r="D83" s="21">
        <f>VLOOKUP(A83&amp;"|"&amp;B83,$Q$3:$R$18,2,FALSE)</f>
        <v>93000</v>
      </c>
      <c r="E83" s="2"/>
      <c r="F83" s="26">
        <v>20.100000000000001</v>
      </c>
      <c r="G83" s="21">
        <v>1000000</v>
      </c>
      <c r="H83" s="21">
        <f t="shared" si="6"/>
        <v>0</v>
      </c>
      <c r="I83" s="21">
        <f t="shared" si="7"/>
        <v>50000</v>
      </c>
      <c r="J83" s="1"/>
      <c r="K83" s="1"/>
      <c r="L83" s="44"/>
      <c r="M83" s="44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0">
        <v>4</v>
      </c>
      <c r="B84" s="21">
        <v>500000</v>
      </c>
      <c r="C84" s="21">
        <f>VLOOKUP(A84&amp;"|"&amp;B84,$O$3:$P$18,2,FALSE)</f>
        <v>3250</v>
      </c>
      <c r="D84" s="21">
        <f>VLOOKUP(A84&amp;"|"&amp;B84,$Q$3:$R$18,2,FALSE)</f>
        <v>21750</v>
      </c>
      <c r="E84" s="2"/>
      <c r="F84" s="26">
        <v>9</v>
      </c>
      <c r="G84" s="21">
        <v>1000000</v>
      </c>
      <c r="H84" s="21">
        <f t="shared" si="6"/>
        <v>3250</v>
      </c>
      <c r="I84" s="21">
        <f t="shared" si="7"/>
        <v>46750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31" t="s">
        <v>16</v>
      </c>
      <c r="B85" s="21"/>
      <c r="C85" s="21" t="s">
        <v>182</v>
      </c>
      <c r="D85" s="21">
        <f>SUM(D75:D84)</f>
        <v>391150</v>
      </c>
      <c r="E85" s="2"/>
      <c r="F85" s="36" t="s">
        <v>16</v>
      </c>
      <c r="G85" s="37"/>
      <c r="H85" s="38"/>
      <c r="I85" s="21">
        <f>SUM(I75:I84)</f>
        <v>388850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25" thickTop="1" thickBot="1">
      <c r="A86" s="31"/>
      <c r="B86" s="2"/>
      <c r="C86" s="2"/>
      <c r="D86" s="2"/>
      <c r="E86" s="2"/>
      <c r="F86" s="31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31" t="s">
        <v>0</v>
      </c>
      <c r="B87" s="21" t="s">
        <v>53</v>
      </c>
      <c r="C87" s="21" t="s">
        <v>54</v>
      </c>
      <c r="D87" s="9">
        <v>46026</v>
      </c>
      <c r="E87" s="2"/>
      <c r="F87" s="20" t="s">
        <v>0</v>
      </c>
      <c r="G87" s="21" t="s">
        <v>55</v>
      </c>
      <c r="H87" s="21" t="s">
        <v>56</v>
      </c>
      <c r="I87" s="9">
        <v>46026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31" t="s">
        <v>6</v>
      </c>
      <c r="B88" s="21" t="s">
        <v>7</v>
      </c>
      <c r="C88" s="21" t="s">
        <v>8</v>
      </c>
      <c r="D88" s="21" t="s">
        <v>9</v>
      </c>
      <c r="E88" s="2"/>
      <c r="F88" s="20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31">
        <v>20.100000000000001</v>
      </c>
      <c r="B89" s="21">
        <v>1000000</v>
      </c>
      <c r="C89" s="21">
        <f>VLOOKUP(A89&amp;"|"&amp;B89,$O$3:$P$18,2,FALSE)</f>
        <v>0</v>
      </c>
      <c r="D89" s="21">
        <f>VLOOKUP(A89&amp;"|"&amp;B89,$Q$3:$R$18,2,FALSE)</f>
        <v>50000</v>
      </c>
      <c r="E89" s="2"/>
      <c r="F89" s="26">
        <v>20.100000000000001</v>
      </c>
      <c r="G89" s="21">
        <v>500000</v>
      </c>
      <c r="H89" s="21">
        <f>VLOOKUP(F89&amp;"|"&amp;G89,$O$3:$P$16,2,FALSE)</f>
        <v>0</v>
      </c>
      <c r="I89" s="21">
        <f>VLOOKUP(F89&amp;"|"&amp;G89,$Q$3:$R$16,2,FALSE)</f>
        <v>25000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31">
        <v>4</v>
      </c>
      <c r="B90" s="21">
        <v>1000000</v>
      </c>
      <c r="C90" s="21">
        <f>VLOOKUP(A90&amp;"|"&amp;B90,$O$3:$P$18,2,FALSE)</f>
        <v>7750</v>
      </c>
      <c r="D90" s="21">
        <f>VLOOKUP(A90&amp;"|"&amp;B90,$Q$3:$R$18,2,FALSE)</f>
        <v>42250</v>
      </c>
      <c r="E90" s="2"/>
      <c r="F90" s="20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31">
        <v>9</v>
      </c>
      <c r="B91" s="21">
        <v>2000000</v>
      </c>
      <c r="C91" s="21">
        <f>VLOOKUP(A91&amp;"|"&amp;B91,$O$3:$P$18,2,FALSE)</f>
        <v>7000</v>
      </c>
      <c r="D91" s="21">
        <f>VLOOKUP(A91&amp;"|"&amp;B91,$Q$3:$R$18,2,FALSE)</f>
        <v>93000</v>
      </c>
      <c r="E91" s="2"/>
      <c r="F91" s="20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31">
        <v>9</v>
      </c>
      <c r="B92" s="21">
        <v>2000000</v>
      </c>
      <c r="C92" s="21">
        <f>VLOOKUP(A92&amp;"|"&amp;B92,$O$3:$P$18,2,FALSE)</f>
        <v>7000</v>
      </c>
      <c r="D92" s="21">
        <f>VLOOKUP(A92&amp;"|"&amp;B92,$Q$3:$R$18,2,FALSE)</f>
        <v>93000</v>
      </c>
      <c r="E92" s="2"/>
      <c r="F92" s="20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0"/>
      <c r="B93" s="21"/>
      <c r="C93" s="21"/>
      <c r="D93" s="21"/>
      <c r="E93" s="2"/>
      <c r="F93" s="20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0" t="s">
        <v>16</v>
      </c>
      <c r="B94" s="21"/>
      <c r="C94" s="21"/>
      <c r="D94" s="21">
        <f>SUM(D89:D93)</f>
        <v>278250</v>
      </c>
      <c r="E94" s="2"/>
      <c r="F94" s="36" t="s">
        <v>16</v>
      </c>
      <c r="G94" s="37"/>
      <c r="H94" s="38"/>
      <c r="I94" s="21">
        <f>SUM(I89:I93)</f>
        <v>25000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25" thickTop="1" thickBot="1">
      <c r="A95" s="31"/>
      <c r="B95" s="2"/>
      <c r="C95" s="2"/>
      <c r="D95" s="2"/>
      <c r="E95" s="2"/>
      <c r="F95" s="31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0" t="s">
        <v>0</v>
      </c>
      <c r="B96" s="21" t="s">
        <v>57</v>
      </c>
      <c r="C96" s="21" t="s">
        <v>58</v>
      </c>
      <c r="D96" s="9">
        <v>46026</v>
      </c>
      <c r="E96" s="2"/>
      <c r="F96" s="20" t="s">
        <v>0</v>
      </c>
      <c r="G96" s="21" t="s">
        <v>59</v>
      </c>
      <c r="H96" s="21" t="s">
        <v>60</v>
      </c>
      <c r="I96" s="9">
        <v>46026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0" t="s">
        <v>6</v>
      </c>
      <c r="B97" s="21" t="s">
        <v>7</v>
      </c>
      <c r="C97" s="21" t="s">
        <v>8</v>
      </c>
      <c r="D97" s="21" t="s">
        <v>9</v>
      </c>
      <c r="E97" s="2"/>
      <c r="F97" s="20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31">
        <v>20</v>
      </c>
      <c r="B98" s="21">
        <v>500000</v>
      </c>
      <c r="C98" s="21">
        <f>VLOOKUP(A98&amp;"|"&amp;B98,$O$3:$P$16,2,FALSE)</f>
        <v>0</v>
      </c>
      <c r="D98" s="21">
        <f>VLOOKUP(A98&amp;"|"&amp;B98,$Q$3:$R$16,2,FALSE)</f>
        <v>25000</v>
      </c>
      <c r="E98" s="2"/>
      <c r="F98" s="26">
        <v>20</v>
      </c>
      <c r="G98" s="21">
        <v>1000000</v>
      </c>
      <c r="H98" s="21">
        <f>VLOOKUP(F98&amp;"|"&amp;G98,$O$3:$P$16,2,FALSE)</f>
        <v>0</v>
      </c>
      <c r="I98" s="21">
        <f>VLOOKUP(F98&amp;"|"&amp;G98,$Q$3:$R$16,2,FALSE)</f>
        <v>50000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31">
        <v>9</v>
      </c>
      <c r="B99" s="21">
        <v>500000</v>
      </c>
      <c r="C99" s="21">
        <f>VLOOKUP(A99&amp;"|"&amp;B99,$O$3:$P$16,2,FALSE)</f>
        <v>2000</v>
      </c>
      <c r="D99" s="21">
        <f>VLOOKUP(A99&amp;"|"&amp;B99,$Q$3:$R$16,2,FALSE)</f>
        <v>23000</v>
      </c>
      <c r="E99" s="2"/>
      <c r="F99" s="26">
        <v>20.100000000000001</v>
      </c>
      <c r="G99" s="21">
        <v>1000000</v>
      </c>
      <c r="H99" s="21">
        <f>VLOOKUP(F99&amp;"|"&amp;G99,$O$3:$P$16,2,FALSE)</f>
        <v>0</v>
      </c>
      <c r="I99" s="21">
        <f>VLOOKUP(F99&amp;"|"&amp;G99,$Q$3:$R$16,2,FALSE)</f>
        <v>50000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0"/>
      <c r="B100" s="21"/>
      <c r="C100" s="21"/>
      <c r="D100" s="21"/>
      <c r="E100" s="2"/>
      <c r="F100" s="26">
        <v>4</v>
      </c>
      <c r="G100" s="21">
        <v>1000000</v>
      </c>
      <c r="H100" s="21">
        <f>VLOOKUP(F100&amp;"|"&amp;G100,$O$3:$P$16,2,FALSE)</f>
        <v>7750</v>
      </c>
      <c r="I100" s="21">
        <f>VLOOKUP(F100&amp;"|"&amp;G100,$Q$3:$R$16,2,FALSE)</f>
        <v>42250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0"/>
      <c r="B101" s="21"/>
      <c r="C101" s="21"/>
      <c r="D101" s="21"/>
      <c r="E101" s="2"/>
      <c r="F101" s="20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0"/>
      <c r="B102" s="21"/>
      <c r="C102" s="21"/>
      <c r="D102" s="21"/>
      <c r="E102" s="2"/>
      <c r="F102" s="20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0" t="s">
        <v>16</v>
      </c>
      <c r="B103" s="21"/>
      <c r="C103" s="21"/>
      <c r="D103" s="21">
        <f>SUM(D98:D102)</f>
        <v>48000</v>
      </c>
      <c r="E103" s="2"/>
      <c r="F103" s="36" t="s">
        <v>16</v>
      </c>
      <c r="G103" s="37"/>
      <c r="H103" s="38"/>
      <c r="I103" s="21">
        <f>SUM(I98:I102)</f>
        <v>142250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25" thickTop="1" thickBot="1">
      <c r="A104" s="31"/>
      <c r="B104" s="2"/>
      <c r="C104" s="2"/>
      <c r="D104" s="2"/>
      <c r="E104" s="2"/>
      <c r="F104" s="31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0" t="s">
        <v>0</v>
      </c>
      <c r="B105" s="21" t="s">
        <v>61</v>
      </c>
      <c r="C105" s="21" t="s">
        <v>62</v>
      </c>
      <c r="D105" s="9">
        <v>46026</v>
      </c>
      <c r="E105" s="2"/>
      <c r="F105" s="20" t="s">
        <v>0</v>
      </c>
      <c r="G105" s="21" t="s">
        <v>63</v>
      </c>
      <c r="H105" s="21" t="s">
        <v>34</v>
      </c>
      <c r="I105" s="9">
        <v>46026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0" t="s">
        <v>6</v>
      </c>
      <c r="B106" s="21" t="s">
        <v>7</v>
      </c>
      <c r="C106" s="21" t="s">
        <v>8</v>
      </c>
      <c r="D106" s="21" t="s">
        <v>9</v>
      </c>
      <c r="E106" s="2"/>
      <c r="F106" s="20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31">
        <v>20</v>
      </c>
      <c r="B107" s="21">
        <v>500000</v>
      </c>
      <c r="C107" s="21">
        <f>VLOOKUP(A107&amp;"|"&amp;B107,$O$3:$P$16,2,FALSE)</f>
        <v>0</v>
      </c>
      <c r="D107" s="21">
        <f>VLOOKUP(A107&amp;"|"&amp;B107,$Q$3:$R$16,2,FALSE)</f>
        <v>25000</v>
      </c>
      <c r="E107" s="2"/>
      <c r="F107" s="26">
        <v>20</v>
      </c>
      <c r="G107" s="21">
        <v>500000</v>
      </c>
      <c r="H107" s="21">
        <f>VLOOKUP(F107&amp;"|"&amp;G107,$O$3:$P$16,2,FALSE)</f>
        <v>0</v>
      </c>
      <c r="I107" s="21">
        <f>VLOOKUP(F107&amp;"|"&amp;G107,$Q$3:$R$16,2,FALSE)</f>
        <v>25000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0"/>
      <c r="B108" s="21"/>
      <c r="C108" s="21"/>
      <c r="D108" s="21"/>
      <c r="E108" s="2"/>
      <c r="F108" s="26">
        <v>20</v>
      </c>
      <c r="G108" s="21">
        <v>1000000</v>
      </c>
      <c r="H108" s="21">
        <f>VLOOKUP(F108&amp;"|"&amp;G108,$O$3:$P$16,2,FALSE)</f>
        <v>0</v>
      </c>
      <c r="I108" s="21">
        <f>VLOOKUP(F108&amp;"|"&amp;G108,$Q$3:$R$16,2,FALSE)</f>
        <v>50000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0"/>
      <c r="B109" s="21"/>
      <c r="C109" s="21"/>
      <c r="D109" s="21"/>
      <c r="E109" s="2"/>
      <c r="F109" s="26">
        <v>9</v>
      </c>
      <c r="G109" s="21">
        <v>2000000</v>
      </c>
      <c r="H109" s="21">
        <f>VLOOKUP(F109&amp;"|"&amp;G109,$O$3:$P$16,2,FALSE)</f>
        <v>7000</v>
      </c>
      <c r="I109" s="21">
        <f>VLOOKUP(F109&amp;"|"&amp;G109,$Q$3:$R$16,2,FALSE)</f>
        <v>93000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0"/>
      <c r="B110" s="21"/>
      <c r="C110" s="21"/>
      <c r="D110" s="21"/>
      <c r="E110" s="2"/>
      <c r="F110" s="20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0"/>
      <c r="B111" s="21"/>
      <c r="C111" s="21"/>
      <c r="D111" s="21"/>
      <c r="E111" s="2"/>
      <c r="F111" s="20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0" t="s">
        <v>16</v>
      </c>
      <c r="B112" s="21"/>
      <c r="C112" s="21"/>
      <c r="D112" s="21">
        <f>SUM(D107:D111)</f>
        <v>25000</v>
      </c>
      <c r="E112" s="2"/>
      <c r="F112" s="36" t="s">
        <v>16</v>
      </c>
      <c r="G112" s="37"/>
      <c r="H112" s="38"/>
      <c r="I112" s="21">
        <f>SUM(I107:I111)</f>
        <v>168000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25" thickTop="1" thickBot="1">
      <c r="A113" s="31"/>
      <c r="B113" s="2"/>
      <c r="C113" s="2"/>
      <c r="D113" s="2"/>
      <c r="E113" s="2"/>
      <c r="F113" s="31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0" t="s">
        <v>0</v>
      </c>
      <c r="B114" s="21" t="s">
        <v>47</v>
      </c>
      <c r="C114" s="21" t="s">
        <v>39</v>
      </c>
      <c r="D114" s="9">
        <v>46026</v>
      </c>
      <c r="E114" s="2"/>
      <c r="F114" s="20" t="s">
        <v>0</v>
      </c>
      <c r="G114" s="21" t="s">
        <v>64</v>
      </c>
      <c r="H114" s="21" t="s">
        <v>65</v>
      </c>
      <c r="I114" s="9">
        <v>46026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0" t="s">
        <v>6</v>
      </c>
      <c r="B115" s="21" t="s">
        <v>7</v>
      </c>
      <c r="C115" s="21" t="s">
        <v>8</v>
      </c>
      <c r="D115" s="21" t="s">
        <v>9</v>
      </c>
      <c r="E115" s="2"/>
      <c r="F115" s="20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31">
        <v>20</v>
      </c>
      <c r="B116" s="21">
        <v>500000</v>
      </c>
      <c r="C116" s="21">
        <f>VLOOKUP(A116&amp;"|"&amp;B116,$O$3:$P$16,2,FALSE)</f>
        <v>0</v>
      </c>
      <c r="D116" s="21">
        <f>VLOOKUP(A116&amp;"|"&amp;B116,$Q$3:$R$16,2,FALSE)</f>
        <v>25000</v>
      </c>
      <c r="E116" s="2"/>
      <c r="F116" s="26">
        <v>20</v>
      </c>
      <c r="G116" s="21">
        <v>1000000</v>
      </c>
      <c r="H116" s="21">
        <f>VLOOKUP(F116&amp;"|"&amp;G116,$O$3:$P$16,2,FALSE)</f>
        <v>0</v>
      </c>
      <c r="I116" s="21">
        <f>VLOOKUP(F116&amp;"|"&amp;G116,$Q$3:$R$16,2,FALSE)</f>
        <v>50000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31">
        <v>4.0999999999999996</v>
      </c>
      <c r="B117" s="21">
        <v>1000000</v>
      </c>
      <c r="C117" s="21">
        <f>VLOOKUP(A117&amp;"|"&amp;B117,$O$3:$P$16,2,FALSE)</f>
        <v>7700</v>
      </c>
      <c r="D117" s="21">
        <f>VLOOKUP(A117&amp;"|"&amp;B117,$Q$3:$R$16,2,FALSE)</f>
        <v>42300</v>
      </c>
      <c r="E117" s="2"/>
      <c r="F117" s="26">
        <v>9</v>
      </c>
      <c r="G117" s="21">
        <v>2000000</v>
      </c>
      <c r="H117" s="21">
        <f>VLOOKUP(F117&amp;"|"&amp;G117,$O$3:$P$17,2,FALSE)</f>
        <v>7000</v>
      </c>
      <c r="I117" s="21">
        <f>VLOOKUP(F117&amp;"|"&amp;G117,$Q$3:$R$17,2,FALSE)</f>
        <v>93000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31">
        <v>14</v>
      </c>
      <c r="B118" s="21">
        <v>500000</v>
      </c>
      <c r="C118" s="21">
        <f>VLOOKUP(A118&amp;"|"&amp;B118,$O$3:$P$16,2,FALSE)</f>
        <v>900</v>
      </c>
      <c r="D118" s="21">
        <f>VLOOKUP(A118&amp;"|"&amp;B118,$Q$3:$R$16,2,FALSE)</f>
        <v>24100</v>
      </c>
      <c r="E118" s="2"/>
      <c r="F118" s="20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31">
        <v>14</v>
      </c>
      <c r="B119" s="21">
        <v>500000</v>
      </c>
      <c r="C119" s="21">
        <f>VLOOKUP(A119&amp;"|"&amp;B119,$O$3:$P$16,2,FALSE)</f>
        <v>900</v>
      </c>
      <c r="D119" s="21">
        <f>VLOOKUP(A119&amp;"|"&amp;B119,$Q$3:$R$16,2,FALSE)</f>
        <v>24100</v>
      </c>
      <c r="E119" s="2"/>
      <c r="F119" s="20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0"/>
      <c r="B120" s="21"/>
      <c r="C120" s="21"/>
      <c r="D120" s="21"/>
      <c r="E120" s="2"/>
      <c r="F120" s="20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0" t="s">
        <v>16</v>
      </c>
      <c r="B121" s="21"/>
      <c r="C121" s="21"/>
      <c r="D121" s="21">
        <f>SUM(D116:D120)</f>
        <v>115500</v>
      </c>
      <c r="E121" s="2"/>
      <c r="F121" s="36" t="s">
        <v>16</v>
      </c>
      <c r="G121" s="37"/>
      <c r="H121" s="38"/>
      <c r="I121" s="21">
        <f>SUM(I116:I120)</f>
        <v>143000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25" thickTop="1" thickBot="1">
      <c r="A122" s="31"/>
      <c r="B122" s="2"/>
      <c r="C122" s="2"/>
      <c r="D122" s="2"/>
      <c r="E122" s="2"/>
      <c r="F122" s="31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0" t="s">
        <v>0</v>
      </c>
      <c r="B123" s="21" t="s">
        <v>66</v>
      </c>
      <c r="C123" s="21" t="s">
        <v>67</v>
      </c>
      <c r="D123" s="9">
        <v>46026</v>
      </c>
      <c r="E123" s="2"/>
      <c r="F123" s="20" t="s">
        <v>0</v>
      </c>
      <c r="G123" s="21" t="s">
        <v>68</v>
      </c>
      <c r="H123" s="21" t="s">
        <v>69</v>
      </c>
      <c r="I123" s="9">
        <v>46026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0" t="s">
        <v>6</v>
      </c>
      <c r="B124" s="21" t="s">
        <v>7</v>
      </c>
      <c r="C124" s="21" t="s">
        <v>8</v>
      </c>
      <c r="D124" s="21" t="s">
        <v>9</v>
      </c>
      <c r="E124" s="2"/>
      <c r="F124" s="20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31">
        <v>20</v>
      </c>
      <c r="B125" s="21">
        <v>500000</v>
      </c>
      <c r="C125" s="21">
        <f>VLOOKUP(A125&amp;"|"&amp;B125,$O$3:$P$16,2,FALSE)</f>
        <v>0</v>
      </c>
      <c r="D125" s="21">
        <f>VLOOKUP(A125&amp;"|"&amp;B125,$Q$3:$R$16,2,FALSE)</f>
        <v>25000</v>
      </c>
      <c r="E125" s="2"/>
      <c r="F125" s="26">
        <v>20</v>
      </c>
      <c r="G125" s="21">
        <v>1000000</v>
      </c>
      <c r="H125" s="21">
        <f>VLOOKUP(F125&amp;"|"&amp;G125,$O$3:$P$16,2,FALSE)</f>
        <v>0</v>
      </c>
      <c r="I125" s="21">
        <f>VLOOKUP(F125&amp;"|"&amp;G125,$Q$3:$R$16,2,FALSE)</f>
        <v>50000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31">
        <v>9</v>
      </c>
      <c r="B126" s="21">
        <v>2000000</v>
      </c>
      <c r="C126" s="21">
        <f>VLOOKUP(A126&amp;"|"&amp;B126,$O$3:$P$16,2,FALSE)</f>
        <v>7000</v>
      </c>
      <c r="D126" s="21">
        <f>VLOOKUP(A126&amp;"|"&amp;B126,$Q$3:$R$16,2,FALSE)</f>
        <v>93000</v>
      </c>
      <c r="E126" s="2"/>
      <c r="F126" s="26">
        <v>14</v>
      </c>
      <c r="G126" s="21">
        <v>500000</v>
      </c>
      <c r="H126" s="21">
        <f>VLOOKUP(F126&amp;"|"&amp;G126,$O$3:$P$16,2,FALSE)</f>
        <v>900</v>
      </c>
      <c r="I126" s="21">
        <f>VLOOKUP(F126&amp;"|"&amp;G126,$Q$3:$R$16,2,FALSE)</f>
        <v>24100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0"/>
      <c r="B127" s="21"/>
      <c r="C127" s="21"/>
      <c r="D127" s="21"/>
      <c r="E127" s="2"/>
      <c r="F127" s="26">
        <v>14</v>
      </c>
      <c r="G127" s="21">
        <v>500000</v>
      </c>
      <c r="H127" s="21">
        <f>VLOOKUP(F127&amp;"|"&amp;G127,$O$3:$P$16,2,FALSE)</f>
        <v>900</v>
      </c>
      <c r="I127" s="21">
        <f>VLOOKUP(F127&amp;"|"&amp;G127,$Q$3:$R$16,2,FALSE)</f>
        <v>24100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0"/>
      <c r="B128" s="21"/>
      <c r="C128" s="21"/>
      <c r="D128" s="21"/>
      <c r="E128" s="2"/>
      <c r="F128" s="26">
        <v>4.0999999999999996</v>
      </c>
      <c r="G128" s="21">
        <v>1000000</v>
      </c>
      <c r="H128" s="21">
        <f>VLOOKUP(F128&amp;"|"&amp;G128,$O$3:$P$16,2,FALSE)</f>
        <v>7700</v>
      </c>
      <c r="I128" s="21">
        <f>VLOOKUP(F128&amp;"|"&amp;G128,$Q$3:$R$16,2,FALSE)</f>
        <v>42300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0"/>
      <c r="B129" s="21"/>
      <c r="C129" s="21"/>
      <c r="D129" s="21"/>
      <c r="E129" s="2"/>
      <c r="F129" s="26">
        <v>4</v>
      </c>
      <c r="G129" s="21">
        <v>500000</v>
      </c>
      <c r="H129" s="21">
        <f>VLOOKUP(F129&amp;"|"&amp;G129,$O$3:$P$16,2,FALSE)</f>
        <v>3250</v>
      </c>
      <c r="I129" s="21">
        <f>VLOOKUP(F129&amp;"|"&amp;G129,$Q$3:$R$16,2,FALSE)</f>
        <v>21750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0" t="s">
        <v>16</v>
      </c>
      <c r="B130" s="21"/>
      <c r="C130" s="21"/>
      <c r="D130" s="21">
        <f>SUM(D125:D129)</f>
        <v>118000</v>
      </c>
      <c r="E130" s="2"/>
      <c r="F130" s="36" t="s">
        <v>16</v>
      </c>
      <c r="G130" s="37"/>
      <c r="H130" s="38"/>
      <c r="I130" s="21">
        <f>SUM(I125:I129)</f>
        <v>162250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25" thickTop="1" thickBot="1">
      <c r="A131" s="31"/>
      <c r="B131" s="2"/>
      <c r="C131" s="2"/>
      <c r="D131" s="2"/>
      <c r="E131" s="2"/>
      <c r="F131" s="31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0" t="s">
        <v>0</v>
      </c>
      <c r="B132" s="21" t="s">
        <v>71</v>
      </c>
      <c r="C132" s="21" t="s">
        <v>72</v>
      </c>
      <c r="D132" s="9">
        <v>46026</v>
      </c>
      <c r="E132" s="2"/>
      <c r="F132" s="20" t="s">
        <v>0</v>
      </c>
      <c r="G132" s="21" t="s">
        <v>73</v>
      </c>
      <c r="H132" s="21" t="s">
        <v>74</v>
      </c>
      <c r="I132" s="9">
        <v>46026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0" t="s">
        <v>6</v>
      </c>
      <c r="B133" s="21" t="s">
        <v>7</v>
      </c>
      <c r="C133" s="21" t="s">
        <v>8</v>
      </c>
      <c r="D133" s="21" t="s">
        <v>9</v>
      </c>
      <c r="E133" s="2"/>
      <c r="F133" s="20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31">
        <v>20</v>
      </c>
      <c r="B134" s="21">
        <v>500000</v>
      </c>
      <c r="C134" s="21">
        <f>VLOOKUP(A134&amp;"|"&amp;B134,$O$3:$P$16,2,FALSE)</f>
        <v>0</v>
      </c>
      <c r="D134" s="21">
        <f>VLOOKUP(A134&amp;"|"&amp;B134,$Q$3:$R$16,2,FALSE)</f>
        <v>25000</v>
      </c>
      <c r="E134" s="2"/>
      <c r="F134" s="26">
        <v>20</v>
      </c>
      <c r="G134" s="21">
        <v>500000</v>
      </c>
      <c r="H134" s="21">
        <f>VLOOKUP(F134&amp;"|"&amp;G134,$O$3:$P$16,2,FALSE)</f>
        <v>0</v>
      </c>
      <c r="I134" s="21">
        <f>VLOOKUP(F134&amp;"|"&amp;G134,$Q$3:$R$16,2,FALSE)</f>
        <v>25000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31">
        <v>4</v>
      </c>
      <c r="B135" s="21">
        <v>1000000</v>
      </c>
      <c r="C135" s="21">
        <f>VLOOKUP(A135&amp;"|"&amp;B135,$O$3:$P$16,2,FALSE)</f>
        <v>7750</v>
      </c>
      <c r="D135" s="21">
        <f>VLOOKUP(A135&amp;"|"&amp;B135,$Q$3:$R$16,2,FALSE)</f>
        <v>42250</v>
      </c>
      <c r="E135" s="2"/>
      <c r="F135" s="20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0"/>
      <c r="B136" s="21"/>
      <c r="C136" s="21"/>
      <c r="D136" s="21"/>
      <c r="E136" s="2"/>
      <c r="F136" s="20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0"/>
      <c r="B137" s="21"/>
      <c r="C137" s="21"/>
      <c r="D137" s="21"/>
      <c r="E137" s="2"/>
      <c r="F137" s="20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0"/>
      <c r="B138" s="21"/>
      <c r="C138" s="21"/>
      <c r="D138" s="21"/>
      <c r="E138" s="2"/>
      <c r="F138" s="20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0" t="s">
        <v>16</v>
      </c>
      <c r="B139" s="21"/>
      <c r="C139" s="21"/>
      <c r="D139" s="21">
        <f>SUM(D134:D138)</f>
        <v>67250</v>
      </c>
      <c r="E139" s="2"/>
      <c r="F139" s="36" t="s">
        <v>16</v>
      </c>
      <c r="G139" s="37"/>
      <c r="H139" s="38"/>
      <c r="I139" s="21">
        <f>SUM(I134:I138)</f>
        <v>25000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25" thickTop="1" thickBot="1">
      <c r="A140" s="31"/>
      <c r="B140" s="2"/>
      <c r="C140" s="2"/>
      <c r="D140" s="2"/>
      <c r="E140" s="2"/>
      <c r="F140" s="31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0" t="s">
        <v>0</v>
      </c>
      <c r="B141" s="21" t="s">
        <v>75</v>
      </c>
      <c r="C141" s="21" t="s">
        <v>76</v>
      </c>
      <c r="D141" s="9">
        <v>46026</v>
      </c>
      <c r="E141" s="2"/>
      <c r="F141" s="11" t="s">
        <v>3</v>
      </c>
      <c r="G141" s="12" t="s">
        <v>77</v>
      </c>
      <c r="H141" s="12" t="s">
        <v>78</v>
      </c>
      <c r="I141" s="9">
        <v>46026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0" t="s">
        <v>6</v>
      </c>
      <c r="B142" s="21" t="s">
        <v>7</v>
      </c>
      <c r="C142" s="21" t="s">
        <v>8</v>
      </c>
      <c r="D142" s="21" t="s">
        <v>9</v>
      </c>
      <c r="E142" s="2"/>
      <c r="F142" s="20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31">
        <v>20</v>
      </c>
      <c r="B143" s="21">
        <v>500000</v>
      </c>
      <c r="C143" s="21">
        <f>VLOOKUP(A143&amp;"|"&amp;B143,$O$3:$P$16,2,FALSE)</f>
        <v>0</v>
      </c>
      <c r="D143" s="21">
        <f>VLOOKUP(A143&amp;"|"&amp;B143,$Q$3:$R$16,2,FALSE)</f>
        <v>25000</v>
      </c>
      <c r="E143" s="2"/>
      <c r="F143" s="26">
        <v>4</v>
      </c>
      <c r="G143" s="21">
        <v>1000000</v>
      </c>
      <c r="H143" s="21">
        <f>VLOOKUP(F143&amp;"|"&amp;G143,$O$3:$P$18,2,FALSE)</f>
        <v>7750</v>
      </c>
      <c r="I143" s="21">
        <f>VLOOKUP(F143&amp;"|"&amp;G143,$Q$3:$R$17,2,FALSE)</f>
        <v>42250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31">
        <v>14</v>
      </c>
      <c r="B144" s="21">
        <v>500000</v>
      </c>
      <c r="C144" s="21">
        <f>VLOOKUP(A144&amp;"|"&amp;B144,$O$3:$P$16,2,FALSE)</f>
        <v>900</v>
      </c>
      <c r="D144" s="21">
        <f>VLOOKUP(A144&amp;"|"&amp;B144,$Q$3:$R$16,2,FALSE)</f>
        <v>24100</v>
      </c>
      <c r="E144" s="2"/>
      <c r="F144" s="26">
        <v>4.0999999999999996</v>
      </c>
      <c r="G144" s="21">
        <v>1000000</v>
      </c>
      <c r="H144" s="21">
        <f>VLOOKUP(F144&amp;"|"&amp;G144,$O$3:$P$17,2,FALSE)</f>
        <v>7700</v>
      </c>
      <c r="I144" s="21">
        <f>VLOOKUP(F144&amp;"|"&amp;G144,$Q$3:$R$17,2,FALSE)</f>
        <v>42300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31">
        <v>17</v>
      </c>
      <c r="B145" s="21">
        <v>500000</v>
      </c>
      <c r="C145" s="21">
        <f>VLOOKUP(A145&amp;"|"&amp;B145,$O$3:$P$16,2,FALSE)</f>
        <v>400</v>
      </c>
      <c r="D145" s="21">
        <f>VLOOKUP(A145&amp;"|"&amp;B145,$Q$3:$R$16,2,FALSE)</f>
        <v>24600</v>
      </c>
      <c r="E145" s="2"/>
      <c r="F145" s="20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31">
        <v>4</v>
      </c>
      <c r="B146" s="21">
        <v>1000000</v>
      </c>
      <c r="C146" s="21">
        <f>VLOOKUP(A146&amp;"|"&amp;B146,$O$3:$P$16,2,FALSE)</f>
        <v>7750</v>
      </c>
      <c r="D146" s="21">
        <f>VLOOKUP(A146&amp;"|"&amp;B146,$Q$3:$R$16,2,FALSE)</f>
        <v>42250</v>
      </c>
      <c r="E146" s="2"/>
      <c r="F146" s="20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0"/>
      <c r="B147" s="21"/>
      <c r="C147" s="21"/>
      <c r="D147" s="21"/>
      <c r="E147" s="2"/>
      <c r="F147" s="20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0" t="s">
        <v>16</v>
      </c>
      <c r="B148" s="21"/>
      <c r="C148" s="21"/>
      <c r="D148" s="21">
        <f>SUM(D143:D147)</f>
        <v>115950</v>
      </c>
      <c r="E148" s="2"/>
      <c r="F148" s="36" t="s">
        <v>16</v>
      </c>
      <c r="G148" s="37"/>
      <c r="H148" s="38"/>
      <c r="I148" s="21">
        <f>SUM(I143:I147)</f>
        <v>84550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31"/>
      <c r="B149" s="2"/>
      <c r="C149" s="2"/>
      <c r="D149" s="2"/>
      <c r="E149" s="2"/>
      <c r="F149" s="43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0" t="s">
        <v>0</v>
      </c>
      <c r="B150" s="21" t="s">
        <v>79</v>
      </c>
      <c r="C150" s="21" t="s">
        <v>48</v>
      </c>
      <c r="D150" s="9">
        <v>46026</v>
      </c>
      <c r="E150" s="2"/>
      <c r="F150" s="20" t="s">
        <v>0</v>
      </c>
      <c r="G150" s="21" t="s">
        <v>80</v>
      </c>
      <c r="H150" s="21" t="s">
        <v>81</v>
      </c>
      <c r="I150" s="9">
        <v>46026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0" t="s">
        <v>6</v>
      </c>
      <c r="B151" s="21" t="s">
        <v>7</v>
      </c>
      <c r="C151" s="21" t="s">
        <v>8</v>
      </c>
      <c r="D151" s="21" t="s">
        <v>9</v>
      </c>
      <c r="E151" s="2"/>
      <c r="F151" s="20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31">
        <v>4</v>
      </c>
      <c r="B152" s="21">
        <v>500000</v>
      </c>
      <c r="C152" s="21">
        <f>VLOOKUP(A152&amp;"|"&amp;B152,$O$3:$P$16,2,FALSE)</f>
        <v>3250</v>
      </c>
      <c r="D152" s="21">
        <f>VLOOKUP(A152&amp;"|"&amp;B152,$Q$3:$R$16,2,FALSE)</f>
        <v>21750</v>
      </c>
      <c r="E152" s="10"/>
      <c r="F152" s="26">
        <v>20</v>
      </c>
      <c r="G152" s="21">
        <v>500000</v>
      </c>
      <c r="H152" s="21">
        <f>VLOOKUP(F152&amp;"|"&amp;G152,$O$3:$P$16,2,FALSE)</f>
        <v>0</v>
      </c>
      <c r="I152" s="21">
        <f>VLOOKUP(F152&amp;"|"&amp;G152,$Q$3:$R$16,2,FALSE)</f>
        <v>25000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0"/>
      <c r="B153" s="21"/>
      <c r="C153" s="21"/>
      <c r="D153" s="21"/>
      <c r="E153" s="2"/>
      <c r="F153" s="26">
        <v>17</v>
      </c>
      <c r="G153" s="21">
        <v>500000</v>
      </c>
      <c r="H153" s="21">
        <f>VLOOKUP(F153&amp;"|"&amp;G153,$O$3:$P$16,2,FALSE)</f>
        <v>400</v>
      </c>
      <c r="I153" s="21">
        <f>VLOOKUP(F153&amp;"|"&amp;G153,$Q$3:$R$16,2,FALSE)</f>
        <v>24600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0"/>
      <c r="B154" s="21"/>
      <c r="C154" s="21"/>
      <c r="D154" s="21"/>
      <c r="E154" s="2"/>
      <c r="F154" s="26">
        <v>4</v>
      </c>
      <c r="G154" s="21">
        <v>1000000</v>
      </c>
      <c r="H154" s="21">
        <f>VLOOKUP(F154&amp;"|"&amp;G154,$O$3:$P$16,2,FALSE)</f>
        <v>7750</v>
      </c>
      <c r="I154" s="21">
        <f>VLOOKUP(F154&amp;"|"&amp;G154,$Q$3:$R$16,2,FALSE)</f>
        <v>42250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0"/>
      <c r="B155" s="21"/>
      <c r="C155" s="21"/>
      <c r="D155" s="21"/>
      <c r="E155" s="2"/>
      <c r="F155" s="20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0"/>
      <c r="B156" s="21"/>
      <c r="C156" s="21"/>
      <c r="D156" s="21"/>
      <c r="E156" s="2"/>
      <c r="F156" s="20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0" t="s">
        <v>16</v>
      </c>
      <c r="B157" s="21"/>
      <c r="C157" s="21"/>
      <c r="D157" s="21">
        <f>SUM(D152:D156)</f>
        <v>21750</v>
      </c>
      <c r="E157" s="2"/>
      <c r="F157" s="36" t="s">
        <v>16</v>
      </c>
      <c r="G157" s="37"/>
      <c r="H157" s="38"/>
      <c r="I157" s="21">
        <f>SUM(I152:I156)</f>
        <v>91850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25" thickTop="1" thickBot="1">
      <c r="A158" s="31"/>
      <c r="B158" s="2"/>
      <c r="C158" s="2"/>
      <c r="D158" s="2"/>
      <c r="E158" s="2"/>
      <c r="F158" s="31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0" t="s">
        <v>0</v>
      </c>
      <c r="B159" s="21" t="s">
        <v>82</v>
      </c>
      <c r="C159" s="21" t="s">
        <v>24</v>
      </c>
      <c r="D159" s="9">
        <v>46026</v>
      </c>
      <c r="E159" s="2"/>
      <c r="F159" s="20" t="s">
        <v>0</v>
      </c>
      <c r="G159" s="21" t="s">
        <v>21</v>
      </c>
      <c r="H159" s="21" t="s">
        <v>83</v>
      </c>
      <c r="I159" s="9">
        <v>46026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0" t="s">
        <v>6</v>
      </c>
      <c r="B160" s="21" t="s">
        <v>7</v>
      </c>
      <c r="C160" s="21" t="s">
        <v>8</v>
      </c>
      <c r="D160" s="21" t="s">
        <v>9</v>
      </c>
      <c r="E160" s="2"/>
      <c r="F160" s="20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31">
        <v>20.100000000000001</v>
      </c>
      <c r="B161" s="21">
        <v>1000000</v>
      </c>
      <c r="C161" s="21">
        <f>VLOOKUP(A161&amp;"|"&amp;B161,$O$3:$P$16,2,FALSE)</f>
        <v>0</v>
      </c>
      <c r="D161" s="21">
        <f>VLOOKUP(A161&amp;"|"&amp;B161,$Q$3:$R$16,2,FALSE)</f>
        <v>50000</v>
      </c>
      <c r="E161" s="2"/>
      <c r="F161" s="26">
        <v>20.100000000000001</v>
      </c>
      <c r="G161" s="21">
        <v>1000000</v>
      </c>
      <c r="H161" s="21">
        <f>VLOOKUP(F161&amp;"|"&amp;G161,$O$3:$P$16,2,FALSE)</f>
        <v>0</v>
      </c>
      <c r="I161" s="21">
        <f>VLOOKUP(F161&amp;"|"&amp;G161,$Q$3:$R$16,2,FALSE)</f>
        <v>50000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0"/>
      <c r="B162" s="21"/>
      <c r="C162" s="21"/>
      <c r="D162" s="21"/>
      <c r="E162" s="2"/>
      <c r="F162" s="20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0"/>
      <c r="B163" s="21"/>
      <c r="C163" s="21"/>
      <c r="D163" s="21"/>
      <c r="E163" s="2"/>
      <c r="F163" s="20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0"/>
      <c r="B164" s="21"/>
      <c r="C164" s="21"/>
      <c r="D164" s="21"/>
      <c r="E164" s="2"/>
      <c r="F164" s="20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0"/>
      <c r="B165" s="21"/>
      <c r="C165" s="21"/>
      <c r="D165" s="21"/>
      <c r="E165" s="2"/>
      <c r="F165" s="20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0" t="s">
        <v>16</v>
      </c>
      <c r="B166" s="21"/>
      <c r="C166" s="21"/>
      <c r="D166" s="21">
        <f>SUM(D161:D165)</f>
        <v>50000</v>
      </c>
      <c r="E166" s="2"/>
      <c r="F166" s="36" t="s">
        <v>16</v>
      </c>
      <c r="G166" s="37"/>
      <c r="H166" s="38"/>
      <c r="I166" s="21">
        <f>SUM(I161:I165)</f>
        <v>50000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thickTop="1" thickBot="1">
      <c r="A167" s="31"/>
      <c r="B167" s="2"/>
      <c r="C167" s="2"/>
      <c r="D167" s="2"/>
      <c r="E167" s="2"/>
      <c r="F167" s="31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0" t="s">
        <v>0</v>
      </c>
      <c r="B168" s="21" t="s">
        <v>84</v>
      </c>
      <c r="C168" s="21" t="s">
        <v>72</v>
      </c>
      <c r="D168" s="9">
        <v>46026</v>
      </c>
      <c r="E168" s="2"/>
      <c r="F168" s="20" t="s">
        <v>0</v>
      </c>
      <c r="G168" s="21" t="s">
        <v>29</v>
      </c>
      <c r="H168" s="21" t="s">
        <v>43</v>
      </c>
      <c r="I168" s="9">
        <v>46026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0" t="s">
        <v>6</v>
      </c>
      <c r="B169" s="21" t="s">
        <v>7</v>
      </c>
      <c r="C169" s="21" t="s">
        <v>8</v>
      </c>
      <c r="D169" s="21" t="s">
        <v>9</v>
      </c>
      <c r="E169" s="2"/>
      <c r="F169" s="20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31">
        <v>20.100000000000001</v>
      </c>
      <c r="B170" s="21">
        <v>1000000</v>
      </c>
      <c r="C170" s="21">
        <f>VLOOKUP(A170&amp;"|"&amp;B170,$O$3:$P$16,2,FALSE)</f>
        <v>0</v>
      </c>
      <c r="D170" s="21">
        <f>VLOOKUP(A170&amp;"|"&amp;B170,$Q$3:$R$16,2,FALSE)</f>
        <v>50000</v>
      </c>
      <c r="E170" s="2" t="s">
        <v>85</v>
      </c>
      <c r="F170" s="26">
        <v>20</v>
      </c>
      <c r="G170" s="21">
        <v>1000000</v>
      </c>
      <c r="H170" s="21">
        <f>VLOOKUP(F170&amp;"|"&amp;G170,$O$3:$P$16,2,FALSE)</f>
        <v>0</v>
      </c>
      <c r="I170" s="21">
        <f>VLOOKUP(F170&amp;"|"&amp;G170,$Q$3:$R$16,2,FALSE)</f>
        <v>50000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31">
        <v>9</v>
      </c>
      <c r="B171" s="21">
        <v>1000000</v>
      </c>
      <c r="C171" s="21">
        <f>VLOOKUP(A171&amp;"|"&amp;B171,$O$3:$P$16,2,FALSE)</f>
        <v>3250</v>
      </c>
      <c r="D171" s="21">
        <f>VLOOKUP(A171&amp;"|"&amp;B171,$Q$3:$R$16,2,FALSE)</f>
        <v>46750</v>
      </c>
      <c r="E171" s="2"/>
      <c r="F171" s="26">
        <v>14</v>
      </c>
      <c r="G171" s="21">
        <v>500000</v>
      </c>
      <c r="H171" s="21">
        <f>VLOOKUP(F171&amp;"|"&amp;G171,$O$3:$P$16,2,FALSE)</f>
        <v>900</v>
      </c>
      <c r="I171" s="21">
        <f>VLOOKUP(F171&amp;"|"&amp;G171,$Q$3:$R$16,2,FALSE)</f>
        <v>24100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31">
        <v>9</v>
      </c>
      <c r="B172" s="21">
        <v>1000000</v>
      </c>
      <c r="C172" s="21">
        <f>VLOOKUP(A172&amp;"|"&amp;B172,$O$3:$P$16,2,FALSE)</f>
        <v>3250</v>
      </c>
      <c r="D172" s="21">
        <f>VLOOKUP(A172&amp;"|"&amp;B172,$Q$3:$R$16,2,FALSE)</f>
        <v>46750</v>
      </c>
      <c r="E172" s="2"/>
      <c r="F172" s="20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0"/>
      <c r="B173" s="21"/>
      <c r="C173" s="21"/>
      <c r="D173" s="21"/>
      <c r="E173" s="2"/>
      <c r="F173" s="20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0"/>
      <c r="B174" s="21"/>
      <c r="C174" s="21"/>
      <c r="D174" s="21"/>
      <c r="E174" s="2"/>
      <c r="F174" s="20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0" t="s">
        <v>16</v>
      </c>
      <c r="B175" s="21"/>
      <c r="C175" s="21"/>
      <c r="D175" s="21">
        <f>SUM(D170:D174)</f>
        <v>143500</v>
      </c>
      <c r="E175" s="2"/>
      <c r="F175" s="36" t="s">
        <v>16</v>
      </c>
      <c r="G175" s="37"/>
      <c r="H175" s="38"/>
      <c r="I175" s="21">
        <f>SUM(I170:I174)</f>
        <v>74100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25" thickTop="1" thickBot="1">
      <c r="A176" s="31"/>
      <c r="B176" s="2"/>
      <c r="C176" s="2"/>
      <c r="D176" s="2"/>
      <c r="E176" s="2"/>
      <c r="F176" s="31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0" t="s">
        <v>0</v>
      </c>
      <c r="B177" s="21" t="s">
        <v>86</v>
      </c>
      <c r="C177" s="21" t="s">
        <v>62</v>
      </c>
      <c r="D177" s="9">
        <v>46026</v>
      </c>
      <c r="E177" s="2"/>
      <c r="F177" s="20" t="s">
        <v>0</v>
      </c>
      <c r="G177" s="21" t="s">
        <v>87</v>
      </c>
      <c r="H177" s="21" t="s">
        <v>76</v>
      </c>
      <c r="I177" s="9">
        <v>46026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0" t="s">
        <v>6</v>
      </c>
      <c r="B178" s="21" t="s">
        <v>7</v>
      </c>
      <c r="C178" s="21" t="s">
        <v>8</v>
      </c>
      <c r="D178" s="21" t="s">
        <v>9</v>
      </c>
      <c r="E178" s="2"/>
      <c r="F178" s="20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31">
        <v>9</v>
      </c>
      <c r="B179" s="21">
        <v>2000000</v>
      </c>
      <c r="C179" s="21">
        <f>VLOOKUP(A179&amp;"|"&amp;B179,$O$3:$P$16,2,FALSE)</f>
        <v>7000</v>
      </c>
      <c r="D179" s="21">
        <f>VLOOKUP(A179&amp;"|"&amp;B179,$Q$3:$R$16,2,FALSE)</f>
        <v>93000</v>
      </c>
      <c r="E179" s="2"/>
      <c r="F179" s="26">
        <v>20.100000000000001</v>
      </c>
      <c r="G179" s="21">
        <v>1000000</v>
      </c>
      <c r="H179" s="21">
        <f>VLOOKUP(F179&amp;"|"&amp;G179,$O$3:$P$16,2,FALSE)</f>
        <v>0</v>
      </c>
      <c r="I179" s="21">
        <f>VLOOKUP(F179&amp;"|"&amp;G179,$Q$3:$R$16,2,FALSE)</f>
        <v>50000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31">
        <v>17</v>
      </c>
      <c r="B180" s="21">
        <v>500000</v>
      </c>
      <c r="C180" s="21">
        <f>VLOOKUP(A180&amp;"|"&amp;B180,$O$3:$P$16,2,FALSE)</f>
        <v>400</v>
      </c>
      <c r="D180" s="21">
        <f>VLOOKUP(A180&amp;"|"&amp;B180,$Q$3:$R$16,2,FALSE)</f>
        <v>24600</v>
      </c>
      <c r="E180" s="2"/>
      <c r="F180" s="20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0"/>
      <c r="B181" s="21"/>
      <c r="C181" s="21"/>
      <c r="D181" s="21"/>
      <c r="E181" s="2"/>
      <c r="F181" s="20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0"/>
      <c r="B182" s="21"/>
      <c r="C182" s="21"/>
      <c r="D182" s="21"/>
      <c r="E182" s="2"/>
      <c r="F182" s="20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0"/>
      <c r="B183" s="21"/>
      <c r="C183" s="21"/>
      <c r="D183" s="21"/>
      <c r="E183" s="2"/>
      <c r="F183" s="20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0" t="s">
        <v>16</v>
      </c>
      <c r="B184" s="21"/>
      <c r="C184" s="21"/>
      <c r="D184" s="21">
        <f>SUM(D179:D183)</f>
        <v>117600</v>
      </c>
      <c r="E184" s="2"/>
      <c r="F184" s="36" t="s">
        <v>16</v>
      </c>
      <c r="G184" s="37"/>
      <c r="H184" s="38"/>
      <c r="I184" s="21">
        <f>SUM(I179:I183)</f>
        <v>50000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25" thickTop="1" thickBot="1">
      <c r="A185" s="31" t="s">
        <v>182</v>
      </c>
      <c r="B185" s="2"/>
      <c r="C185" s="2"/>
      <c r="D185" s="2"/>
      <c r="E185" s="2"/>
      <c r="F185" s="31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1" t="s">
        <v>3</v>
      </c>
      <c r="B186" s="12" t="s">
        <v>88</v>
      </c>
      <c r="C186" s="12" t="s">
        <v>76</v>
      </c>
      <c r="D186" s="9">
        <v>46026</v>
      </c>
      <c r="E186" s="2"/>
      <c r="F186" s="20" t="s">
        <v>0</v>
      </c>
      <c r="G186" s="21" t="s">
        <v>89</v>
      </c>
      <c r="H186" s="21" t="s">
        <v>90</v>
      </c>
      <c r="I186" s="9">
        <v>46026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0" t="s">
        <v>91</v>
      </c>
      <c r="B187" s="21" t="s">
        <v>92</v>
      </c>
      <c r="C187" s="21" t="s">
        <v>93</v>
      </c>
      <c r="D187" s="21" t="s">
        <v>9</v>
      </c>
      <c r="E187" s="2"/>
      <c r="F187" s="20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31">
        <v>4</v>
      </c>
      <c r="B188" s="21">
        <v>1000000</v>
      </c>
      <c r="C188" s="21">
        <f>VLOOKUP(A188&amp;"|"&amp;B188,$O$3:$P$17,2,FALSE)</f>
        <v>7750</v>
      </c>
      <c r="D188" s="21">
        <f>VLOOKUP(A188&amp;"|"&amp;B188,$Q$3:$R$17,2,FALSE)</f>
        <v>42250</v>
      </c>
      <c r="E188" s="2"/>
      <c r="F188" s="26">
        <v>20.100000000000001</v>
      </c>
      <c r="G188" s="21">
        <v>500000</v>
      </c>
      <c r="H188" s="21">
        <f>VLOOKUP(F188&amp;"|"&amp;G188,$O$3:$P$16,2,FALSE)</f>
        <v>0</v>
      </c>
      <c r="I188" s="21">
        <f>VLOOKUP(F188&amp;"|"&amp;G188,$Q$3:$R$16,2,FALSE)</f>
        <v>25000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31">
        <v>20.100000000000001</v>
      </c>
      <c r="B189" s="21">
        <v>1000000</v>
      </c>
      <c r="C189" s="21">
        <f>VLOOKUP(A189&amp;"|"&amp;B189,$O$3:$P$17,2,FALSE)</f>
        <v>0</v>
      </c>
      <c r="D189" s="21">
        <f>VLOOKUP(A189&amp;"|"&amp;B189,$Q$3:$R$17,2,FALSE)</f>
        <v>50000</v>
      </c>
      <c r="E189" s="2"/>
      <c r="F189" s="20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31"/>
      <c r="B190" s="21"/>
      <c r="C190" s="21"/>
      <c r="D190" s="21"/>
      <c r="E190" s="2"/>
      <c r="F190" s="20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0"/>
      <c r="B191" s="21"/>
      <c r="C191" s="21"/>
      <c r="D191" s="21"/>
      <c r="E191" s="2"/>
      <c r="F191" s="20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0"/>
      <c r="B192" s="21"/>
      <c r="C192" s="21"/>
      <c r="D192" s="21"/>
      <c r="E192" s="2"/>
      <c r="F192" s="20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0" t="s">
        <v>16</v>
      </c>
      <c r="B193" s="21"/>
      <c r="C193" s="21"/>
      <c r="D193" s="21">
        <f>SUM(D188:D192)</f>
        <v>92250</v>
      </c>
      <c r="E193" s="2"/>
      <c r="F193" s="36" t="s">
        <v>16</v>
      </c>
      <c r="G193" s="37"/>
      <c r="H193" s="38"/>
      <c r="I193" s="21">
        <f>SUM(I188:I192)</f>
        <v>25000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25" thickTop="1" thickBot="1">
      <c r="A194" s="31"/>
      <c r="B194" s="2"/>
      <c r="C194" s="2"/>
      <c r="D194" s="2"/>
      <c r="E194" s="2"/>
      <c r="F194" s="31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0" t="s">
        <v>0</v>
      </c>
      <c r="B195" s="21" t="s">
        <v>94</v>
      </c>
      <c r="C195" s="21" t="s">
        <v>24</v>
      </c>
      <c r="D195" s="9">
        <v>46026</v>
      </c>
      <c r="E195" s="2"/>
      <c r="F195" s="20" t="s">
        <v>0</v>
      </c>
      <c r="G195" s="21" t="s">
        <v>95</v>
      </c>
      <c r="H195" s="21" t="s">
        <v>96</v>
      </c>
      <c r="I195" s="9">
        <v>46026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0" t="s">
        <v>6</v>
      </c>
      <c r="B196" s="21" t="s">
        <v>7</v>
      </c>
      <c r="C196" s="21" t="s">
        <v>8</v>
      </c>
      <c r="D196" s="21" t="s">
        <v>9</v>
      </c>
      <c r="E196" s="2"/>
      <c r="F196" s="20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31">
        <v>20.100000000000001</v>
      </c>
      <c r="B197" s="21">
        <v>1000000</v>
      </c>
      <c r="C197" s="21">
        <f>VLOOKUP(A197&amp;"|"&amp;B197,$O$3:$P$16,2,FALSE)</f>
        <v>0</v>
      </c>
      <c r="D197" s="21">
        <f>VLOOKUP(A197&amp;"|"&amp;B197,$Q$3:$R$16,2,FALSE)</f>
        <v>50000</v>
      </c>
      <c r="E197" s="2"/>
      <c r="F197" s="26">
        <v>20</v>
      </c>
      <c r="G197" s="21">
        <v>1000000</v>
      </c>
      <c r="H197" s="21">
        <f>VLOOKUP(F197&amp;"|"&amp;G197,$O$3:$P$16,2,FALSE)</f>
        <v>0</v>
      </c>
      <c r="I197" s="21">
        <f>VLOOKUP(F197&amp;"|"&amp;G197,$Q$3:$R$16,2,FALSE)</f>
        <v>50000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31">
        <v>9</v>
      </c>
      <c r="B198" s="21">
        <v>1000000</v>
      </c>
      <c r="C198" s="21">
        <f>VLOOKUP(A198&amp;"|"&amp;B198,$O$3:$P$16,2,FALSE)</f>
        <v>3250</v>
      </c>
      <c r="D198" s="21">
        <f>VLOOKUP(A198&amp;"|"&amp;B198,$Q$3:$R$16,2,FALSE)</f>
        <v>46750</v>
      </c>
      <c r="E198" s="2"/>
      <c r="F198" s="20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0"/>
      <c r="B199" s="21"/>
      <c r="C199" s="21"/>
      <c r="D199" s="21"/>
      <c r="E199" s="2"/>
      <c r="F199" s="20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0"/>
      <c r="B200" s="21"/>
      <c r="C200" s="21"/>
      <c r="D200" s="21"/>
      <c r="E200" s="2"/>
      <c r="F200" s="20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0"/>
      <c r="B201" s="21"/>
      <c r="C201" s="21"/>
      <c r="D201" s="21"/>
      <c r="E201" s="2"/>
      <c r="F201" s="20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0" t="s">
        <v>16</v>
      </c>
      <c r="B202" s="21"/>
      <c r="C202" s="21"/>
      <c r="D202" s="21">
        <f>SUM(D197:D201)</f>
        <v>96750</v>
      </c>
      <c r="E202" s="2"/>
      <c r="F202" s="36" t="s">
        <v>16</v>
      </c>
      <c r="G202" s="37"/>
      <c r="H202" s="38"/>
      <c r="I202" s="21">
        <f>SUM(I197:I201)</f>
        <v>50000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25" thickTop="1" thickBot="1">
      <c r="A203" s="31"/>
      <c r="B203" s="2"/>
      <c r="C203" s="2"/>
      <c r="D203" s="2"/>
      <c r="E203" s="2"/>
      <c r="F203" s="31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1" t="s">
        <v>3</v>
      </c>
      <c r="B204" s="12" t="s">
        <v>97</v>
      </c>
      <c r="C204" s="12" t="s">
        <v>98</v>
      </c>
      <c r="D204" s="9">
        <v>46026</v>
      </c>
      <c r="F204" s="11" t="s">
        <v>3</v>
      </c>
      <c r="G204" s="12" t="s">
        <v>99</v>
      </c>
      <c r="H204" s="12" t="s">
        <v>100</v>
      </c>
      <c r="I204" s="9">
        <v>46026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0" t="s">
        <v>6</v>
      </c>
      <c r="B205" s="21" t="s">
        <v>7</v>
      </c>
      <c r="C205" s="21" t="s">
        <v>8</v>
      </c>
      <c r="D205" s="21" t="s">
        <v>9</v>
      </c>
      <c r="F205" s="20" t="s">
        <v>6</v>
      </c>
      <c r="G205" s="21" t="s">
        <v>92</v>
      </c>
      <c r="H205" s="21" t="s">
        <v>8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31">
        <v>20</v>
      </c>
      <c r="B206" s="21">
        <v>1000000</v>
      </c>
      <c r="C206" s="21">
        <f>VLOOKUP(A206&amp;"|"&amp;B206,$O$3:$P$18,2,FALSE)</f>
        <v>0</v>
      </c>
      <c r="D206" s="21">
        <f>VLOOKUP(A206&amp;"|"&amp;B206,$Q$3:$R$17,2,FALSE)</f>
        <v>50000</v>
      </c>
      <c r="F206" s="26">
        <v>4.0999999999999996</v>
      </c>
      <c r="G206" s="21">
        <v>1000000</v>
      </c>
      <c r="H206" s="21">
        <f>VLOOKUP(F206&amp;"|"&amp;G206,$O$3:$P$17,2,FALSE)</f>
        <v>7700</v>
      </c>
      <c r="I206" s="21">
        <f>VLOOKUP(F206&amp;"|"&amp;G206,$Q$3:$R$17,2,FALSE)</f>
        <v>42300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31">
        <v>20.100000000000001</v>
      </c>
      <c r="B207" s="21">
        <v>1000000</v>
      </c>
      <c r="C207" s="21">
        <f>VLOOKUP(A207&amp;"|"&amp;B207,$O$3:$P$17,2,FALSE)</f>
        <v>0</v>
      </c>
      <c r="D207" s="21">
        <f>VLOOKUP(A207&amp;"|"&amp;B207,$Q$3:$R$17,2,FALSE)</f>
        <v>50000</v>
      </c>
      <c r="F207" s="26">
        <v>9</v>
      </c>
      <c r="G207" s="21">
        <v>1000000</v>
      </c>
      <c r="H207" s="21">
        <f>VLOOKUP(F207&amp;"|"&amp;G207,$O$3:$P$17,2,FALSE)</f>
        <v>3250</v>
      </c>
      <c r="I207" s="21">
        <f>VLOOKUP(F207&amp;"|"&amp;G207,$Q$3:$R$17,2,FALSE)</f>
        <v>46750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0"/>
      <c r="B208" s="21"/>
      <c r="C208" s="21"/>
      <c r="D208" s="21"/>
      <c r="E208" s="2"/>
      <c r="F208" s="20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0"/>
      <c r="B209" s="21"/>
      <c r="C209" s="21"/>
      <c r="D209" s="21"/>
      <c r="E209" s="2"/>
      <c r="F209" s="20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0"/>
      <c r="B210" s="21"/>
      <c r="C210" s="21"/>
      <c r="D210" s="21"/>
      <c r="E210" s="2"/>
      <c r="F210" s="20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0" t="s">
        <v>16</v>
      </c>
      <c r="B211" s="21"/>
      <c r="C211" s="21"/>
      <c r="D211" s="21">
        <f>SUM(D206:D210)</f>
        <v>100000</v>
      </c>
      <c r="E211" s="2"/>
      <c r="F211" s="36" t="s">
        <v>16</v>
      </c>
      <c r="G211" s="37"/>
      <c r="H211" s="38"/>
      <c r="I211" s="21">
        <f>SUM(I206:I210)</f>
        <v>89050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25" thickTop="1" thickBot="1">
      <c r="A212" s="31"/>
      <c r="B212" s="2"/>
      <c r="C212" s="2"/>
      <c r="D212" s="2"/>
      <c r="E212" s="2"/>
      <c r="F212" s="31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0" t="s">
        <v>0</v>
      </c>
      <c r="B213" s="21"/>
      <c r="C213" s="21" t="s">
        <v>101</v>
      </c>
      <c r="D213" s="9">
        <v>46026</v>
      </c>
      <c r="E213" s="2"/>
      <c r="F213" s="20" t="s">
        <v>0</v>
      </c>
      <c r="G213" s="21" t="s">
        <v>35</v>
      </c>
      <c r="H213" s="21" t="s">
        <v>102</v>
      </c>
      <c r="I213" s="9">
        <v>46026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0" t="s">
        <v>6</v>
      </c>
      <c r="B214" s="21" t="s">
        <v>7</v>
      </c>
      <c r="C214" s="21" t="s">
        <v>8</v>
      </c>
      <c r="D214" s="21" t="s">
        <v>9</v>
      </c>
      <c r="E214" s="2"/>
      <c r="F214" s="20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31"/>
      <c r="B215" s="21"/>
      <c r="C215" s="21"/>
      <c r="D215" s="21"/>
      <c r="E215" s="2"/>
      <c r="F215" s="26">
        <v>4</v>
      </c>
      <c r="G215" s="21">
        <v>500000</v>
      </c>
      <c r="H215" s="21">
        <f>VLOOKUP(F215&amp;"|"&amp;G215,$O$3:$P$16,2,FALSE)</f>
        <v>3250</v>
      </c>
      <c r="I215" s="21">
        <f>VLOOKUP(F215&amp;"|"&amp;G215,$Q$3:$R$16,2,FALSE)</f>
        <v>21750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0"/>
      <c r="B216" s="21"/>
      <c r="C216" s="21"/>
      <c r="D216" s="21"/>
      <c r="E216" s="2"/>
      <c r="F216" s="26">
        <v>17</v>
      </c>
      <c r="G216" s="21">
        <v>500000</v>
      </c>
      <c r="H216" s="21">
        <f>VLOOKUP(F216&amp;"|"&amp;G216,$O$3:$P$16,2,FALSE)</f>
        <v>400</v>
      </c>
      <c r="I216" s="21">
        <f>VLOOKUP(F216&amp;"|"&amp;G216,$Q$3:$R$16,2,FALSE)</f>
        <v>24600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0"/>
      <c r="B217" s="21"/>
      <c r="C217" s="21"/>
      <c r="D217" s="21"/>
      <c r="E217" s="2"/>
      <c r="F217" s="20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0"/>
      <c r="B218" s="21"/>
      <c r="C218" s="21"/>
      <c r="D218" s="21"/>
      <c r="E218" s="2"/>
      <c r="F218" s="20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0"/>
      <c r="B219" s="21"/>
      <c r="C219" s="21"/>
      <c r="D219" s="21"/>
      <c r="E219" s="2"/>
      <c r="F219" s="20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0" t="s">
        <v>16</v>
      </c>
      <c r="B220" s="21"/>
      <c r="C220" s="21"/>
      <c r="D220" s="21"/>
      <c r="E220" s="2"/>
      <c r="F220" s="36" t="s">
        <v>16</v>
      </c>
      <c r="G220" s="37"/>
      <c r="H220" s="38"/>
      <c r="I220" s="21">
        <f>SUM(I215:I219)</f>
        <v>46350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25" thickTop="1" thickBot="1">
      <c r="A221" s="31"/>
      <c r="B221" s="2"/>
      <c r="C221" s="2"/>
      <c r="D221" s="2"/>
      <c r="E221" s="2"/>
      <c r="F221" s="31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0" t="s">
        <v>0</v>
      </c>
      <c r="B222" s="21" t="s">
        <v>88</v>
      </c>
      <c r="C222" s="21" t="s">
        <v>24</v>
      </c>
      <c r="D222" s="9">
        <v>46026</v>
      </c>
      <c r="E222" s="2"/>
      <c r="F222" s="20" t="s">
        <v>0</v>
      </c>
      <c r="G222" s="21" t="s">
        <v>103</v>
      </c>
      <c r="H222" s="21" t="s">
        <v>104</v>
      </c>
      <c r="I222" s="9">
        <v>46026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0" t="s">
        <v>6</v>
      </c>
      <c r="B223" s="21" t="s">
        <v>7</v>
      </c>
      <c r="C223" s="21" t="s">
        <v>8</v>
      </c>
      <c r="D223" s="21" t="s">
        <v>9</v>
      </c>
      <c r="E223" s="2"/>
      <c r="F223" s="20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31">
        <v>14</v>
      </c>
      <c r="B224" s="21">
        <v>500000</v>
      </c>
      <c r="C224" s="21">
        <f>VLOOKUP(A224&amp;"|"&amp;B224,$O$3:$P$16,2,FALSE)</f>
        <v>900</v>
      </c>
      <c r="D224" s="21">
        <f>VLOOKUP(A224&amp;"|"&amp;B224,$Q$3:$R$16,2,FALSE)</f>
        <v>24100</v>
      </c>
      <c r="E224" s="2"/>
      <c r="F224" s="57">
        <v>14</v>
      </c>
      <c r="G224" s="21">
        <v>500000</v>
      </c>
      <c r="H224" s="21">
        <f>VLOOKUP(F224&amp;"|"&amp;G224,$O$3:$P$16,2,FALSE)</f>
        <v>900</v>
      </c>
      <c r="I224" s="21">
        <f>VLOOKUP(F224&amp;"|"&amp;G224,$Q$3:$R$16,2,FALSE)</f>
        <v>24100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0"/>
      <c r="B225" s="21"/>
      <c r="C225" s="21"/>
      <c r="D225" s="21"/>
      <c r="E225" s="2"/>
      <c r="F225" s="20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0"/>
      <c r="B226" s="21"/>
      <c r="C226" s="21"/>
      <c r="D226" s="21"/>
      <c r="E226" s="2"/>
      <c r="F226" s="20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0"/>
      <c r="B227" s="21"/>
      <c r="C227" s="21"/>
      <c r="D227" s="21"/>
      <c r="E227" s="2"/>
      <c r="F227" s="20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0"/>
      <c r="B228" s="21"/>
      <c r="C228" s="21"/>
      <c r="D228" s="21"/>
      <c r="E228" s="2"/>
      <c r="F228" s="20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0" t="s">
        <v>16</v>
      </c>
      <c r="B229" s="21"/>
      <c r="C229" s="21"/>
      <c r="D229" s="21">
        <f>SUM(D224:D228)</f>
        <v>24100</v>
      </c>
      <c r="E229" s="2"/>
      <c r="F229" s="36" t="s">
        <v>16</v>
      </c>
      <c r="G229" s="37"/>
      <c r="H229" s="38"/>
      <c r="I229" s="21">
        <f>SUM(I224:I228)</f>
        <v>24100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25" thickTop="1" thickBot="1">
      <c r="A230" s="31"/>
      <c r="B230" s="2"/>
      <c r="C230" s="2"/>
      <c r="D230" s="2"/>
      <c r="E230" s="2"/>
      <c r="F230" s="31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0" t="s">
        <v>0</v>
      </c>
      <c r="B231" s="21" t="s">
        <v>71</v>
      </c>
      <c r="C231" s="21" t="s">
        <v>105</v>
      </c>
      <c r="D231" s="9">
        <v>46026</v>
      </c>
      <c r="E231" s="2"/>
      <c r="F231" s="20" t="s">
        <v>0</v>
      </c>
      <c r="G231" s="21" t="s">
        <v>106</v>
      </c>
      <c r="H231" s="21" t="s">
        <v>81</v>
      </c>
      <c r="I231" s="9">
        <v>46026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0" t="s">
        <v>6</v>
      </c>
      <c r="B232" s="21" t="s">
        <v>7</v>
      </c>
      <c r="C232" s="21" t="s">
        <v>8</v>
      </c>
      <c r="D232" s="21" t="s">
        <v>9</v>
      </c>
      <c r="E232" s="2"/>
      <c r="F232" s="20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31">
        <v>9</v>
      </c>
      <c r="B233" s="21">
        <v>500000</v>
      </c>
      <c r="C233" s="21">
        <f>VLOOKUP(A233&amp;"|"&amp;B233,$O$3:$P$16,2,FALSE)</f>
        <v>2000</v>
      </c>
      <c r="D233" s="21">
        <f>VLOOKUP(A233&amp;"|"&amp;B233,$Q$3:$R$16,2,FALSE)</f>
        <v>23000</v>
      </c>
      <c r="E233" s="2"/>
      <c r="F233" s="57">
        <v>9</v>
      </c>
      <c r="G233" s="21">
        <v>2000000</v>
      </c>
      <c r="H233" s="21">
        <f>VLOOKUP(F233&amp;"|"&amp;G233,$O$3:$P$19,2,FALSE)</f>
        <v>7000</v>
      </c>
      <c r="I233" s="21">
        <f>VLOOKUP(F233&amp;"|"&amp;G233,$Q$3:$R$19,2,FALSE)</f>
        <v>93000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0"/>
      <c r="B234" s="21"/>
      <c r="C234" s="21"/>
      <c r="D234" s="21"/>
      <c r="E234" s="2"/>
      <c r="F234" s="20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0"/>
      <c r="B235" s="21"/>
      <c r="C235" s="21"/>
      <c r="D235" s="21"/>
      <c r="E235" s="2"/>
      <c r="F235" s="20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0"/>
      <c r="B236" s="21"/>
      <c r="C236" s="21"/>
      <c r="D236" s="21"/>
      <c r="E236" s="2"/>
      <c r="F236" s="20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0"/>
      <c r="B237" s="21"/>
      <c r="C237" s="21"/>
      <c r="D237" s="21"/>
      <c r="E237" s="2"/>
      <c r="F237" s="20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0" t="s">
        <v>16</v>
      </c>
      <c r="B238" s="21"/>
      <c r="C238" s="21"/>
      <c r="D238" s="21">
        <f>SUM(D233:D237)</f>
        <v>23000</v>
      </c>
      <c r="E238" s="2"/>
      <c r="F238" s="36" t="s">
        <v>16</v>
      </c>
      <c r="G238" s="37"/>
      <c r="H238" s="38"/>
      <c r="I238" s="21">
        <f>SUM(I233:I237)</f>
        <v>93000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25" thickTop="1" thickBot="1">
      <c r="A239" s="31"/>
      <c r="B239" s="2"/>
      <c r="C239" s="2"/>
      <c r="D239" s="2"/>
      <c r="E239" s="2"/>
      <c r="F239" s="31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0" t="s">
        <v>0</v>
      </c>
      <c r="B240" s="21" t="s">
        <v>35</v>
      </c>
      <c r="C240" s="21" t="s">
        <v>58</v>
      </c>
      <c r="D240" s="9">
        <v>46026</v>
      </c>
      <c r="E240" s="2"/>
      <c r="F240" s="20" t="s">
        <v>0</v>
      </c>
      <c r="G240" s="21" t="s">
        <v>107</v>
      </c>
      <c r="H240" s="21" t="s">
        <v>108</v>
      </c>
      <c r="I240" s="9">
        <v>46026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0" t="s">
        <v>6</v>
      </c>
      <c r="B241" s="21" t="s">
        <v>7</v>
      </c>
      <c r="C241" s="21" t="s">
        <v>8</v>
      </c>
      <c r="D241" s="21" t="s">
        <v>9</v>
      </c>
      <c r="E241" s="2"/>
      <c r="F241" s="20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31">
        <v>4</v>
      </c>
      <c r="B242" s="21">
        <v>500000</v>
      </c>
      <c r="C242" s="21">
        <f>VLOOKUP(A242&amp;"|"&amp;B242,$O$3:$P$19,2,FALSE)</f>
        <v>3250</v>
      </c>
      <c r="D242" s="21">
        <f>VLOOKUP(A242&amp;"|"&amp;B242,$Q$3:$R$19,2,FALSE)</f>
        <v>21750</v>
      </c>
      <c r="E242" s="2"/>
      <c r="F242" s="57">
        <v>4</v>
      </c>
      <c r="G242" s="21">
        <v>1000000</v>
      </c>
      <c r="H242" s="21">
        <f>VLOOKUP(F242&amp;"|"&amp;G242,$O$3:$P$16,2,FALSE)</f>
        <v>7750</v>
      </c>
      <c r="I242" s="21">
        <f>VLOOKUP(F242&amp;"|"&amp;G242,$Q$3:$R$16,2,FALSE)</f>
        <v>42250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31">
        <v>4</v>
      </c>
      <c r="B243" s="21">
        <v>500000</v>
      </c>
      <c r="C243" s="21">
        <f>VLOOKUP(A243&amp;"|"&amp;B243,$O$3:$P$19,2,FALSE)</f>
        <v>3250</v>
      </c>
      <c r="D243" s="21">
        <f>VLOOKUP(A243&amp;"|"&amp;B243,$Q$3:$R$19,2,FALSE)</f>
        <v>21750</v>
      </c>
      <c r="E243" s="2"/>
      <c r="F243" s="57">
        <v>9</v>
      </c>
      <c r="G243" s="21">
        <v>2000000</v>
      </c>
      <c r="H243" s="21">
        <f>VLOOKUP(F243&amp;"|"&amp;G243,$O$3:$P$16,2,FALSE)</f>
        <v>7000</v>
      </c>
      <c r="I243" s="21">
        <f>VLOOKUP(F243&amp;"|"&amp;G243,$Q$3:$R$16,2,FALSE)</f>
        <v>93000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0"/>
      <c r="B244" s="21"/>
      <c r="C244" s="21"/>
      <c r="D244" s="21"/>
      <c r="E244" s="2"/>
      <c r="F244" s="57">
        <v>17</v>
      </c>
      <c r="G244" s="21">
        <v>500000</v>
      </c>
      <c r="H244" s="21">
        <f>VLOOKUP(F244&amp;"|"&amp;G244,$O$3:$P$16,2,FALSE)</f>
        <v>400</v>
      </c>
      <c r="I244" s="21">
        <f>VLOOKUP(F244&amp;"|"&amp;G244,$Q$3:$R$16,2,FALSE)</f>
        <v>24600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0"/>
      <c r="B245" s="21"/>
      <c r="C245" s="21"/>
      <c r="D245" s="21"/>
      <c r="E245" s="2"/>
      <c r="F245" s="57">
        <v>17</v>
      </c>
      <c r="G245" s="21">
        <v>500000</v>
      </c>
      <c r="H245" s="21">
        <f>VLOOKUP(F245&amp;"|"&amp;G245,$O$3:$P$16,2,FALSE)</f>
        <v>400</v>
      </c>
      <c r="I245" s="21">
        <f>VLOOKUP(F245&amp;"|"&amp;G245,$Q$3:$R$16,2,FALSE)</f>
        <v>24600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0"/>
      <c r="B246" s="21"/>
      <c r="C246" s="21"/>
      <c r="D246" s="21"/>
      <c r="E246" s="2"/>
      <c r="F246" s="57">
        <v>4.0999999999999996</v>
      </c>
      <c r="G246" s="21">
        <v>1000000</v>
      </c>
      <c r="H246" s="21">
        <f>VLOOKUP(F246&amp;"|"&amp;G246,$O$3:$P$16,2,FALSE)</f>
        <v>7700</v>
      </c>
      <c r="I246" s="21">
        <f>VLOOKUP(F246&amp;"|"&amp;G246,$Q$3:$R$16,2,FALSE)</f>
        <v>42300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0" t="s">
        <v>16</v>
      </c>
      <c r="B247" s="21"/>
      <c r="C247" s="21"/>
      <c r="D247" s="21">
        <f>SUM(D242:D246)</f>
        <v>43500</v>
      </c>
      <c r="E247" s="2"/>
      <c r="F247" s="36" t="s">
        <v>16</v>
      </c>
      <c r="G247" s="37"/>
      <c r="H247" s="38"/>
      <c r="I247" s="21">
        <f>SUM(I242:I246)</f>
        <v>226750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25" thickTop="1" thickBot="1">
      <c r="A248" s="31"/>
      <c r="B248" s="2"/>
      <c r="C248" s="2"/>
      <c r="D248" s="2"/>
      <c r="E248" s="2"/>
      <c r="F248" s="31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0" t="s">
        <v>0</v>
      </c>
      <c r="B249" s="21" t="s">
        <v>109</v>
      </c>
      <c r="C249" s="21" t="s">
        <v>110</v>
      </c>
      <c r="D249" s="9">
        <v>46026</v>
      </c>
      <c r="E249" s="2"/>
      <c r="F249" s="20" t="s">
        <v>0</v>
      </c>
      <c r="G249" s="21" t="s">
        <v>187</v>
      </c>
      <c r="H249" s="21" t="s">
        <v>38</v>
      </c>
      <c r="I249" s="9">
        <v>46026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0" t="s">
        <v>6</v>
      </c>
      <c r="B250" s="21" t="s">
        <v>7</v>
      </c>
      <c r="C250" s="21" t="s">
        <v>8</v>
      </c>
      <c r="D250" s="21" t="s">
        <v>9</v>
      </c>
      <c r="E250" s="2"/>
      <c r="F250" s="20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31">
        <v>4</v>
      </c>
      <c r="B251" s="21">
        <v>1000000</v>
      </c>
      <c r="C251" s="21">
        <f>VLOOKUP(A251&amp;"|"&amp;B251,$O$3:$P$16,2,FALSE)</f>
        <v>7750</v>
      </c>
      <c r="D251" s="21">
        <f>VLOOKUP(A251&amp;"|"&amp;B251,$Q$3:$R$16,2,FALSE)</f>
        <v>42250</v>
      </c>
      <c r="E251" s="2"/>
      <c r="F251" s="57">
        <v>14</v>
      </c>
      <c r="G251" s="21">
        <v>500000</v>
      </c>
      <c r="H251" s="21">
        <f>VLOOKUP(F251&amp;"|"&amp;G251,$O$3:$P$16,2,FALSE)</f>
        <v>900</v>
      </c>
      <c r="I251" s="21">
        <f>VLOOKUP(F251&amp;"|"&amp;G251,$Q$3:$R$16,2,FALSE)</f>
        <v>24100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31">
        <v>4.0999999999999996</v>
      </c>
      <c r="B252" s="21">
        <v>1000000</v>
      </c>
      <c r="C252" s="21">
        <f>VLOOKUP(A252&amp;"|"&amp;B252,$O$3:$P$16,2,FALSE)</f>
        <v>7700</v>
      </c>
      <c r="D252" s="21">
        <f>VLOOKUP(A252&amp;"|"&amp;B252,$Q$3:$R$16,2,FALSE)</f>
        <v>42300</v>
      </c>
      <c r="E252" s="2"/>
      <c r="F252" s="20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0"/>
      <c r="B253" s="21"/>
      <c r="C253" s="21"/>
      <c r="D253" s="21"/>
      <c r="E253" s="2"/>
      <c r="F253" s="20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0"/>
      <c r="B254" s="21"/>
      <c r="C254" s="21"/>
      <c r="D254" s="21"/>
      <c r="E254" s="2"/>
      <c r="F254" s="20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0"/>
      <c r="B255" s="21"/>
      <c r="C255" s="21"/>
      <c r="D255" s="21"/>
      <c r="E255" s="2"/>
      <c r="F255" s="20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0" t="s">
        <v>16</v>
      </c>
      <c r="B256" s="21"/>
      <c r="C256" s="21"/>
      <c r="D256" s="21">
        <f>SUM(D251:D255)</f>
        <v>84550</v>
      </c>
      <c r="E256" s="2"/>
      <c r="F256" s="36" t="s">
        <v>16</v>
      </c>
      <c r="G256" s="37"/>
      <c r="H256" s="38"/>
      <c r="I256" s="21">
        <f>SUM(I251:I255)</f>
        <v>24100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25" thickTop="1" thickBot="1">
      <c r="A257" s="31"/>
      <c r="B257" s="2"/>
      <c r="C257" s="2"/>
      <c r="D257" s="2"/>
      <c r="E257" s="2"/>
      <c r="F257" s="31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0" t="s">
        <v>0</v>
      </c>
      <c r="B258" s="21" t="s">
        <v>111</v>
      </c>
      <c r="C258" s="21" t="s">
        <v>18</v>
      </c>
      <c r="D258" s="9">
        <v>46026</v>
      </c>
      <c r="E258" s="2"/>
      <c r="F258" s="20" t="s">
        <v>0</v>
      </c>
      <c r="G258" s="21" t="s">
        <v>112</v>
      </c>
      <c r="H258" s="21" t="s">
        <v>113</v>
      </c>
      <c r="I258" s="9">
        <v>46026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0" t="s">
        <v>6</v>
      </c>
      <c r="B259" s="21" t="s">
        <v>7</v>
      </c>
      <c r="C259" s="21" t="s">
        <v>8</v>
      </c>
      <c r="D259" s="21" t="s">
        <v>9</v>
      </c>
      <c r="E259" s="2"/>
      <c r="F259" s="20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31">
        <v>20</v>
      </c>
      <c r="B260" s="21">
        <v>500000</v>
      </c>
      <c r="C260" s="21">
        <f>VLOOKUP(A260&amp;"|"&amp;B260,$O$3:$P$18,2,FALSE)</f>
        <v>0</v>
      </c>
      <c r="D260" s="21">
        <f>VLOOKUP(A260&amp;"|"&amp;B260,$Q$3:$R$18,2,FALSE)</f>
        <v>25000</v>
      </c>
      <c r="E260" s="2"/>
      <c r="F260" s="57">
        <v>4</v>
      </c>
      <c r="G260" s="21">
        <v>500000</v>
      </c>
      <c r="H260" s="21">
        <f>VLOOKUP(F260&amp;"|"&amp;G260,$O$3:$P$16,2,FALSE)</f>
        <v>3250</v>
      </c>
      <c r="I260" s="21">
        <f>VLOOKUP(F260&amp;"|"&amp;G260,$Q$3:$R$16,2,FALSE)</f>
        <v>21750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31">
        <v>9</v>
      </c>
      <c r="B261" s="21">
        <v>1000000</v>
      </c>
      <c r="C261" s="21">
        <f>VLOOKUP(A261&amp;"|"&amp;B261,$O$3:$P$18,2,FALSE)</f>
        <v>3250</v>
      </c>
      <c r="D261" s="21">
        <f>VLOOKUP(A261&amp;"|"&amp;B261,$Q$3:$R$18,2,FALSE)</f>
        <v>46750</v>
      </c>
      <c r="E261" s="2"/>
      <c r="F261" s="57">
        <v>4</v>
      </c>
      <c r="G261" s="21">
        <v>500000</v>
      </c>
      <c r="H261" s="21">
        <f>VLOOKUP(F261&amp;"|"&amp;G261,$O$3:$P$16,2,FALSE)</f>
        <v>3250</v>
      </c>
      <c r="I261" s="21">
        <f>VLOOKUP(F261&amp;"|"&amp;G261,$Q$3:$R$16,2,FALSE)</f>
        <v>21750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0"/>
      <c r="B262" s="21"/>
      <c r="C262" s="21"/>
      <c r="D262" s="21"/>
      <c r="E262" s="2"/>
      <c r="F262" s="20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0"/>
      <c r="B263" s="21"/>
      <c r="C263" s="21"/>
      <c r="D263" s="21"/>
      <c r="E263" s="2"/>
      <c r="F263" s="20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0"/>
      <c r="B264" s="21"/>
      <c r="C264" s="21"/>
      <c r="D264" s="21"/>
      <c r="E264" s="2"/>
      <c r="F264" s="20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0" t="s">
        <v>16</v>
      </c>
      <c r="B265" s="21"/>
      <c r="C265" s="21"/>
      <c r="D265" s="21">
        <f>SUM(D260:D264)</f>
        <v>71750</v>
      </c>
      <c r="E265" s="2"/>
      <c r="F265" s="36" t="s">
        <v>16</v>
      </c>
      <c r="G265" s="37"/>
      <c r="H265" s="38"/>
      <c r="I265" s="21">
        <f>SUM(I260:I264)</f>
        <v>43500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25" thickTop="1" thickBot="1">
      <c r="A266" s="31"/>
      <c r="B266" s="2"/>
      <c r="C266" s="2"/>
      <c r="D266" s="2"/>
      <c r="E266" s="2"/>
      <c r="F266" s="31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0" t="s">
        <v>0</v>
      </c>
      <c r="B267" s="21" t="s">
        <v>114</v>
      </c>
      <c r="C267" s="21" t="s">
        <v>24</v>
      </c>
      <c r="D267" s="9">
        <v>46026</v>
      </c>
      <c r="E267" s="2"/>
      <c r="F267" s="20" t="s">
        <v>0</v>
      </c>
      <c r="G267" s="21" t="s">
        <v>21</v>
      </c>
      <c r="H267" s="21" t="s">
        <v>43</v>
      </c>
      <c r="I267" s="9">
        <v>46026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0" t="s">
        <v>6</v>
      </c>
      <c r="B268" s="21" t="s">
        <v>7</v>
      </c>
      <c r="C268" s="21" t="s">
        <v>8</v>
      </c>
      <c r="D268" s="21" t="s">
        <v>9</v>
      </c>
      <c r="E268" s="2"/>
      <c r="F268" s="20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31">
        <v>9</v>
      </c>
      <c r="B269" s="21">
        <v>500000</v>
      </c>
      <c r="C269" s="21">
        <f>VLOOKUP(A269&amp;"|"&amp;B269,$O$3:$P$17,2,FALSE)</f>
        <v>2000</v>
      </c>
      <c r="D269" s="21">
        <f>VLOOKUP(A269&amp;"|"&amp;B269,$Q$3:$R$16,2,FALSE)</f>
        <v>23000</v>
      </c>
      <c r="E269" s="2"/>
      <c r="F269" s="57">
        <v>9</v>
      </c>
      <c r="G269" s="21">
        <v>500000</v>
      </c>
      <c r="H269" s="21">
        <f>VLOOKUP(F269&amp;"|"&amp;G269,$O$3:$P$16,2,FALSE)</f>
        <v>2000</v>
      </c>
      <c r="I269" s="21">
        <f>VLOOKUP(F269&amp;"|"&amp;G269,$Q$3:$R$16,2,FALSE)</f>
        <v>23000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0"/>
      <c r="B270" s="21"/>
      <c r="C270" s="21"/>
      <c r="D270" s="21"/>
      <c r="E270" s="2"/>
      <c r="F270" s="20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0"/>
      <c r="B271" s="21"/>
      <c r="C271" s="21"/>
      <c r="D271" s="21"/>
      <c r="E271" s="2"/>
      <c r="F271" s="20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0"/>
      <c r="B272" s="21"/>
      <c r="C272" s="21"/>
      <c r="D272" s="21"/>
      <c r="E272" s="2"/>
      <c r="F272" s="20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0"/>
      <c r="B273" s="21"/>
      <c r="C273" s="21"/>
      <c r="D273" s="21"/>
      <c r="E273" s="2"/>
      <c r="F273" s="20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0" t="s">
        <v>16</v>
      </c>
      <c r="B274" s="21"/>
      <c r="C274" s="21"/>
      <c r="D274" s="21">
        <f>SUM(D269:D273)</f>
        <v>23000</v>
      </c>
      <c r="E274" s="2"/>
      <c r="F274" s="36" t="s">
        <v>16</v>
      </c>
      <c r="G274" s="37"/>
      <c r="H274" s="38"/>
      <c r="I274" s="21">
        <f>SUM(I269:I273)</f>
        <v>23000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25" thickTop="1" thickBot="1">
      <c r="A275" s="31"/>
      <c r="B275" s="2"/>
      <c r="C275" s="2"/>
      <c r="D275" s="2"/>
      <c r="E275" s="2"/>
      <c r="F275" s="31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0" t="s">
        <v>0</v>
      </c>
      <c r="B276" s="21" t="s">
        <v>115</v>
      </c>
      <c r="C276" s="21" t="s">
        <v>28</v>
      </c>
      <c r="D276" s="9">
        <v>46026</v>
      </c>
      <c r="E276" s="2"/>
      <c r="F276" s="20" t="s">
        <v>0</v>
      </c>
      <c r="G276" s="21" t="s">
        <v>61</v>
      </c>
      <c r="H276" s="21" t="s">
        <v>28</v>
      </c>
      <c r="I276" s="9">
        <v>46026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0" t="s">
        <v>6</v>
      </c>
      <c r="B277" s="21" t="s">
        <v>7</v>
      </c>
      <c r="C277" s="21" t="s">
        <v>8</v>
      </c>
      <c r="D277" s="21" t="s">
        <v>9</v>
      </c>
      <c r="E277" s="2"/>
      <c r="F277" s="20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31">
        <v>9</v>
      </c>
      <c r="B278" s="21">
        <v>1000000</v>
      </c>
      <c r="C278" s="21">
        <f>VLOOKUP(A278&amp;"|"&amp;B278,$O$3:$P$16,2,FALSE)</f>
        <v>3250</v>
      </c>
      <c r="D278" s="21">
        <f>VLOOKUP(A278&amp;"|"&amp;B278,$Q$3:$R$16,2,FALSE)</f>
        <v>46750</v>
      </c>
      <c r="E278" s="2"/>
      <c r="F278" s="57">
        <v>9</v>
      </c>
      <c r="G278" s="21">
        <v>1000000</v>
      </c>
      <c r="H278" s="21">
        <f>VLOOKUP(F278&amp;"|"&amp;G278,$O$3:$P$18,2,FALSE)</f>
        <v>3250</v>
      </c>
      <c r="I278" s="21">
        <f>VLOOKUP(F278&amp;"|"&amp;G278,$Q$3:$R$18,2,FALSE)</f>
        <v>46750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31">
        <v>4</v>
      </c>
      <c r="B279" s="21">
        <v>1000000</v>
      </c>
      <c r="C279" s="21">
        <f>VLOOKUP(A279&amp;"|"&amp;B279,$O$3:$P$16,2,FALSE)</f>
        <v>7750</v>
      </c>
      <c r="D279" s="21">
        <f>VLOOKUP(A279&amp;"|"&amp;B279,$Q$3:$R$16,2,FALSE)</f>
        <v>42250</v>
      </c>
      <c r="E279" s="2"/>
      <c r="F279" s="57">
        <v>4</v>
      </c>
      <c r="G279" s="21">
        <v>500000</v>
      </c>
      <c r="H279" s="21">
        <f>VLOOKUP(F279&amp;"|"&amp;G279,$O$3:$P$16,2,FALSE)</f>
        <v>3250</v>
      </c>
      <c r="I279" s="21">
        <f>VLOOKUP(F279&amp;"|"&amp;G279,$Q$3:$R$16,2,FALSE)</f>
        <v>21750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0"/>
      <c r="B280" s="21"/>
      <c r="C280" s="21"/>
      <c r="D280" s="21"/>
      <c r="E280" s="2"/>
      <c r="F280" s="57">
        <v>17</v>
      </c>
      <c r="G280" s="21">
        <v>500000</v>
      </c>
      <c r="H280" s="21">
        <f>VLOOKUP(F280&amp;"|"&amp;G280,$O$3:$P$16,2,FALSE)</f>
        <v>400</v>
      </c>
      <c r="I280" s="21">
        <f>VLOOKUP(F280&amp;"|"&amp;G280,$Q$3:$R$16,2,FALSE)</f>
        <v>24600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0"/>
      <c r="B281" s="21"/>
      <c r="C281" s="21"/>
      <c r="D281" s="21"/>
      <c r="E281" s="2"/>
      <c r="F281" s="57">
        <v>17</v>
      </c>
      <c r="G281" s="21">
        <v>500000</v>
      </c>
      <c r="H281" s="21">
        <f>VLOOKUP(F281&amp;"|"&amp;G281,$O$3:$P$16,2,FALSE)</f>
        <v>400</v>
      </c>
      <c r="I281" s="21">
        <f>VLOOKUP(F281&amp;"|"&amp;G281,$Q$3:$R$16,2,FALSE)</f>
        <v>24600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0"/>
      <c r="B282" s="21"/>
      <c r="C282" s="21"/>
      <c r="D282" s="21"/>
      <c r="E282" s="2"/>
      <c r="F282" s="57">
        <v>9</v>
      </c>
      <c r="G282" s="21">
        <v>1000000</v>
      </c>
      <c r="H282" s="21">
        <f>VLOOKUP(F282&amp;"|"&amp;G282,$O$3:$P$16,2,FALSE)</f>
        <v>3250</v>
      </c>
      <c r="I282" s="21">
        <f>VLOOKUP(F282&amp;"|"&amp;G282,$Q$3:$R$16,2,FALSE)</f>
        <v>46750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0"/>
      <c r="B283" s="21"/>
      <c r="C283" s="21"/>
      <c r="D283" s="21"/>
      <c r="E283" s="2"/>
      <c r="F283" s="57">
        <v>14</v>
      </c>
      <c r="G283" s="21">
        <v>500000</v>
      </c>
      <c r="H283" s="21">
        <f>VLOOKUP(F283&amp;"|"&amp;G283,$O$3:$P$16,2,FALSE)</f>
        <v>900</v>
      </c>
      <c r="I283" s="21">
        <f>VLOOKUP(F283&amp;"|"&amp;G283,$Q$3:$R$16,2,FALSE)</f>
        <v>24100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0" t="s">
        <v>16</v>
      </c>
      <c r="B284" s="21"/>
      <c r="C284" s="21"/>
      <c r="D284" s="21">
        <f>SUM(D278:D283)</f>
        <v>89000</v>
      </c>
      <c r="E284" s="2"/>
      <c r="F284" s="36" t="s">
        <v>16</v>
      </c>
      <c r="G284" s="37"/>
      <c r="H284" s="38"/>
      <c r="I284" s="21">
        <f>SUM(I278:I283)</f>
        <v>188550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43"/>
      <c r="B285" s="10"/>
      <c r="C285" s="10"/>
      <c r="D285" s="10"/>
      <c r="E285" s="2"/>
      <c r="F285" s="31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1" t="s">
        <v>0</v>
      </c>
      <c r="B286" s="12" t="s">
        <v>116</v>
      </c>
      <c r="C286" s="12" t="s">
        <v>34</v>
      </c>
      <c r="D286" s="9">
        <v>46026</v>
      </c>
      <c r="E286" s="2"/>
      <c r="F286" s="20" t="s">
        <v>0</v>
      </c>
      <c r="G286" s="21" t="s">
        <v>73</v>
      </c>
      <c r="H286" s="21" t="s">
        <v>76</v>
      </c>
      <c r="I286" s="9">
        <v>46026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0" t="s">
        <v>6</v>
      </c>
      <c r="B287" s="21" t="s">
        <v>7</v>
      </c>
      <c r="C287" s="21" t="s">
        <v>8</v>
      </c>
      <c r="D287" s="21" t="s">
        <v>9</v>
      </c>
      <c r="E287" s="2"/>
      <c r="F287" s="20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31">
        <v>9</v>
      </c>
      <c r="B288" s="21">
        <v>2000000</v>
      </c>
      <c r="C288" s="21">
        <f>VLOOKUP(A288&amp;"|"&amp;B288,$O$3:$P$17,2,FALSE)</f>
        <v>7000</v>
      </c>
      <c r="D288" s="21">
        <f>VLOOKUP(A288&amp;"|"&amp;B288,$Q$3:$R$17,2,FALSE)</f>
        <v>93000</v>
      </c>
      <c r="E288" s="2"/>
      <c r="F288" s="57">
        <v>9</v>
      </c>
      <c r="G288" s="21">
        <v>1000000</v>
      </c>
      <c r="H288" s="21">
        <f>VLOOKUP(F288&amp;"|"&amp;G288,$O$3:$P$16,2,FALSE)</f>
        <v>3250</v>
      </c>
      <c r="I288" s="21">
        <f>VLOOKUP(F288&amp;"|"&amp;G288,$Q$3:$R$16,2,FALSE)</f>
        <v>46750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31">
        <v>9</v>
      </c>
      <c r="B289" s="21">
        <v>500000</v>
      </c>
      <c r="C289" s="21">
        <f>VLOOKUP(A289&amp;"|"&amp;B289,$O$3:$P$17,2,FALSE)</f>
        <v>2000</v>
      </c>
      <c r="D289" s="21">
        <f>VLOOKUP(A289&amp;"|"&amp;B289,$Q$3:$R$17,2,FALSE)</f>
        <v>23000</v>
      </c>
      <c r="E289" s="2"/>
      <c r="F289" s="57">
        <v>14</v>
      </c>
      <c r="G289" s="21">
        <v>500000</v>
      </c>
      <c r="H289" s="21">
        <f>VLOOKUP(F289&amp;"|"&amp;G289,$O$3:$P$16,2,FALSE)</f>
        <v>900</v>
      </c>
      <c r="I289" s="21">
        <f>VLOOKUP(F289&amp;"|"&amp;G289,$Q$3:$R$16,2,FALSE)</f>
        <v>24100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0"/>
      <c r="B290" s="21"/>
      <c r="C290" s="21"/>
      <c r="D290" s="21"/>
      <c r="E290" s="2"/>
      <c r="F290" s="57">
        <v>17</v>
      </c>
      <c r="G290" s="21">
        <v>500000</v>
      </c>
      <c r="H290" s="21">
        <f>VLOOKUP(F290&amp;"|"&amp;G290,$O$3:$P$16,2,FALSE)</f>
        <v>400</v>
      </c>
      <c r="I290" s="21">
        <f>VLOOKUP(F290&amp;"|"&amp;G290,$Q$3:$R$16,2,FALSE)</f>
        <v>24600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0"/>
      <c r="B291" s="21"/>
      <c r="C291" s="21"/>
      <c r="D291" s="21"/>
      <c r="E291" s="2"/>
      <c r="F291" s="57">
        <v>17</v>
      </c>
      <c r="G291" s="21">
        <v>500000</v>
      </c>
      <c r="H291" s="21">
        <f>VLOOKUP(F291&amp;"|"&amp;G291,$O$3:$P$16,2,FALSE)</f>
        <v>400</v>
      </c>
      <c r="I291" s="21">
        <f>VLOOKUP(F291&amp;"|"&amp;G291,$Q$3:$R$16,2,FALSE)</f>
        <v>24600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0"/>
      <c r="B292" s="21"/>
      <c r="C292" s="21"/>
      <c r="D292" s="21"/>
      <c r="E292" s="2"/>
      <c r="F292" s="20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62" t="s">
        <v>49</v>
      </c>
      <c r="B293" s="53"/>
      <c r="C293" s="54"/>
      <c r="D293" s="21">
        <f>SUM(D288:D292)</f>
        <v>116000</v>
      </c>
      <c r="E293" s="2"/>
      <c r="F293" s="36" t="s">
        <v>16</v>
      </c>
      <c r="G293" s="37"/>
      <c r="H293" s="38"/>
      <c r="I293" s="21">
        <f>SUM(I288:I292)</f>
        <v>120050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25" thickTop="1" thickBot="1">
      <c r="A294" s="31"/>
      <c r="B294" s="2"/>
      <c r="C294" s="2"/>
      <c r="D294" s="2"/>
      <c r="E294" s="2"/>
      <c r="F294" s="31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0" t="s">
        <v>0</v>
      </c>
      <c r="B295" s="21" t="s">
        <v>117</v>
      </c>
      <c r="C295" s="21" t="s">
        <v>24</v>
      </c>
      <c r="D295" s="9">
        <v>46026</v>
      </c>
      <c r="E295" s="2"/>
      <c r="F295" s="20" t="s">
        <v>0</v>
      </c>
      <c r="G295" s="21" t="s">
        <v>118</v>
      </c>
      <c r="H295" s="21" t="s">
        <v>119</v>
      </c>
      <c r="I295" s="9">
        <v>46026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0" t="s">
        <v>6</v>
      </c>
      <c r="B296" s="21" t="s">
        <v>7</v>
      </c>
      <c r="C296" s="21" t="s">
        <v>8</v>
      </c>
      <c r="D296" s="21" t="s">
        <v>9</v>
      </c>
      <c r="E296" s="2"/>
      <c r="F296" s="20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31">
        <v>9</v>
      </c>
      <c r="B297" s="21">
        <v>2000000</v>
      </c>
      <c r="C297" s="21">
        <f>VLOOKUP(A297&amp;"|"&amp;B297,$O$3:$P$16,2,FALSE)</f>
        <v>7000</v>
      </c>
      <c r="D297" s="21">
        <f>VLOOKUP(A297&amp;"|"&amp;B297,$Q$3:$R$16,2,FALSE)</f>
        <v>93000</v>
      </c>
      <c r="E297" s="2"/>
      <c r="F297" s="57">
        <v>9</v>
      </c>
      <c r="G297" s="21">
        <v>2000000</v>
      </c>
      <c r="H297" s="21">
        <f>VLOOKUP(F297&amp;"|"&amp;G297,$O$3:$P$16,2,FALSE)</f>
        <v>7000</v>
      </c>
      <c r="I297" s="21">
        <f>VLOOKUP(F297&amp;"|"&amp;G297,$Q$3:$R$16,2,FALSE)</f>
        <v>93000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31">
        <v>17</v>
      </c>
      <c r="B298" s="21">
        <v>500000</v>
      </c>
      <c r="C298" s="21">
        <f>VLOOKUP(A298&amp;"|"&amp;B298,$O$3:$P$16,2,FALSE)</f>
        <v>400</v>
      </c>
      <c r="D298" s="21">
        <f>VLOOKUP(A298&amp;"|"&amp;B298,$Q$3:$R$16,2,FALSE)</f>
        <v>24600</v>
      </c>
      <c r="E298" s="2"/>
      <c r="F298" s="57">
        <v>9</v>
      </c>
      <c r="G298" s="21">
        <v>1000000</v>
      </c>
      <c r="H298" s="21">
        <f>VLOOKUP(F298&amp;"|"&amp;G298,$O$3:$P$16,2,FALSE)</f>
        <v>3250</v>
      </c>
      <c r="I298" s="21">
        <f>VLOOKUP(F298&amp;"|"&amp;G298,$Q$3:$R$16,2,FALSE)</f>
        <v>46750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31">
        <v>20</v>
      </c>
      <c r="B299" s="21">
        <v>1000000</v>
      </c>
      <c r="C299" s="21">
        <f>VLOOKUP(A299&amp;"|"&amp;B299,$O$3:$P$17,2,FALSE)</f>
        <v>0</v>
      </c>
      <c r="D299" s="21">
        <f>VLOOKUP(A299&amp;"|"&amp;B299,$Q$3:$R$17,2,FALSE)</f>
        <v>50000</v>
      </c>
      <c r="E299" s="2"/>
      <c r="F299" s="20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0"/>
      <c r="B300" s="21"/>
      <c r="C300" s="21"/>
      <c r="D300" s="21"/>
      <c r="E300" s="2"/>
      <c r="F300" s="20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0"/>
      <c r="B301" s="21"/>
      <c r="C301" s="21"/>
      <c r="D301" s="21"/>
      <c r="E301" s="2"/>
      <c r="F301" s="20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0" t="s">
        <v>16</v>
      </c>
      <c r="B302" s="21"/>
      <c r="C302" s="21"/>
      <c r="D302" s="21">
        <f>SUM(D297:D301)</f>
        <v>167600</v>
      </c>
      <c r="E302" s="2"/>
      <c r="F302" s="36" t="s">
        <v>16</v>
      </c>
      <c r="G302" s="37"/>
      <c r="H302" s="38"/>
      <c r="I302" s="21">
        <f>SUM(I297:I301)</f>
        <v>139750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25" thickTop="1" thickBot="1">
      <c r="A303" s="31"/>
      <c r="B303" s="2"/>
      <c r="C303" s="2" t="s">
        <v>191</v>
      </c>
      <c r="D303" s="2"/>
      <c r="E303" s="2"/>
      <c r="F303" s="31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0" t="s">
        <v>0</v>
      </c>
      <c r="B304" s="21" t="s">
        <v>35</v>
      </c>
      <c r="C304" s="21" t="s">
        <v>120</v>
      </c>
      <c r="D304" s="9">
        <v>46026</v>
      </c>
      <c r="E304" s="2"/>
      <c r="F304" s="20" t="s">
        <v>0</v>
      </c>
      <c r="G304" s="21" t="s">
        <v>121</v>
      </c>
      <c r="H304" s="21" t="s">
        <v>28</v>
      </c>
      <c r="I304" s="9">
        <v>46026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0" t="s">
        <v>6</v>
      </c>
      <c r="B305" s="21" t="s">
        <v>7</v>
      </c>
      <c r="C305" s="21" t="s">
        <v>8</v>
      </c>
      <c r="D305" s="21" t="s">
        <v>9</v>
      </c>
      <c r="E305" s="2"/>
      <c r="F305" s="20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31">
        <v>9</v>
      </c>
      <c r="B306" s="21">
        <v>1000000</v>
      </c>
      <c r="C306" s="21">
        <f>VLOOKUP(A306&amp;"|"&amp;B306,$O$3:$P$17,2,FALSE)</f>
        <v>3250</v>
      </c>
      <c r="D306" s="21">
        <f>VLOOKUP(A306&amp;"|"&amp;B306,$Q$3:$R$17,2,FALSE)</f>
        <v>46750</v>
      </c>
      <c r="E306" s="2"/>
      <c r="F306" s="57">
        <v>9</v>
      </c>
      <c r="G306" s="21">
        <v>1000000</v>
      </c>
      <c r="H306" s="21">
        <f>VLOOKUP(F306&amp;"|"&amp;G306,$O$3:$P$18,2,FALSE)</f>
        <v>3250</v>
      </c>
      <c r="I306" s="21">
        <f>VLOOKUP(F306&amp;"|"&amp;G306,$Q$3:$R$17,2,FALSE)</f>
        <v>46750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31">
        <v>4</v>
      </c>
      <c r="B307" s="21">
        <v>1000000</v>
      </c>
      <c r="C307" s="21">
        <f>VLOOKUP(A307&amp;"|"&amp;B307,$O$3:$P$16,2,FALSE)</f>
        <v>7750</v>
      </c>
      <c r="D307" s="21">
        <f>VLOOKUP(A307&amp;"|"&amp;B307,$Q$3:$R$16,2,FALSE)</f>
        <v>42250</v>
      </c>
      <c r="E307" s="2"/>
      <c r="F307" s="20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0"/>
      <c r="B308" s="21"/>
      <c r="C308" s="21"/>
      <c r="D308" s="21"/>
      <c r="E308" s="2"/>
      <c r="F308" s="20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0"/>
      <c r="B309" s="21"/>
      <c r="C309" s="21"/>
      <c r="D309" s="21"/>
      <c r="E309" s="2"/>
      <c r="F309" s="20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0"/>
      <c r="B310" s="21"/>
      <c r="C310" s="21"/>
      <c r="D310" s="21"/>
      <c r="E310" s="2"/>
      <c r="F310" s="20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0" t="s">
        <v>16</v>
      </c>
      <c r="B311" s="21"/>
      <c r="C311" s="21"/>
      <c r="D311" s="21">
        <f>SUM(D306:D310)</f>
        <v>89000</v>
      </c>
      <c r="E311" s="2"/>
      <c r="F311" s="36" t="s">
        <v>16</v>
      </c>
      <c r="G311" s="37"/>
      <c r="H311" s="38"/>
      <c r="I311" s="21">
        <f>SUM(I306:I310)</f>
        <v>46750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25" thickTop="1" thickBot="1">
      <c r="A312" s="31"/>
      <c r="B312" s="2"/>
      <c r="C312" s="2"/>
      <c r="D312" s="2"/>
      <c r="E312" s="2"/>
      <c r="F312" s="31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0" t="s">
        <v>0</v>
      </c>
      <c r="B313" s="21" t="s">
        <v>122</v>
      </c>
      <c r="C313" s="21" t="s">
        <v>76</v>
      </c>
      <c r="D313" s="9">
        <v>46026</v>
      </c>
      <c r="E313" s="2"/>
      <c r="F313" s="20" t="s">
        <v>0</v>
      </c>
      <c r="G313" s="21" t="s">
        <v>61</v>
      </c>
      <c r="H313" s="21" t="s">
        <v>123</v>
      </c>
      <c r="I313" s="9">
        <v>46026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0" t="s">
        <v>6</v>
      </c>
      <c r="B314" s="21" t="s">
        <v>7</v>
      </c>
      <c r="C314" s="21" t="s">
        <v>8</v>
      </c>
      <c r="D314" s="21" t="s">
        <v>9</v>
      </c>
      <c r="E314" s="2"/>
      <c r="F314" s="20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31">
        <v>9</v>
      </c>
      <c r="B315" s="21">
        <v>500000</v>
      </c>
      <c r="C315" s="21">
        <f>VLOOKUP(A315&amp;"|"&amp;B315,$O$3:$P$16,2,FALSE)</f>
        <v>2000</v>
      </c>
      <c r="D315" s="21">
        <f>VLOOKUP(A315&amp;"|"&amp;B315,$Q$3:$R$16,2,FALSE)</f>
        <v>23000</v>
      </c>
      <c r="E315" s="2"/>
      <c r="F315" s="57">
        <v>20</v>
      </c>
      <c r="G315" s="21">
        <v>500000</v>
      </c>
      <c r="H315" s="21">
        <f>VLOOKUP(F315&amp;"|"&amp;G315,$O$3:$P$16,2,FALSE)</f>
        <v>0</v>
      </c>
      <c r="I315" s="21">
        <f>VLOOKUP(F315&amp;"|"&amp;G315,$Q$3:$R$16,2,FALSE)</f>
        <v>25000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31">
        <v>14</v>
      </c>
      <c r="B316" s="21">
        <v>500000</v>
      </c>
      <c r="C316" s="21">
        <f>VLOOKUP(A316&amp;"|"&amp;B316,$O$3:$P$16,2,FALSE)</f>
        <v>900</v>
      </c>
      <c r="D316" s="21">
        <f>VLOOKUP(A316&amp;"|"&amp;B316,$Q$3:$R$16,2,FALSE)</f>
        <v>24100</v>
      </c>
      <c r="E316" s="2"/>
      <c r="F316" s="20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0"/>
      <c r="B317" s="21"/>
      <c r="C317" s="21"/>
      <c r="D317" s="21"/>
      <c r="E317" s="2"/>
      <c r="F317" s="20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0"/>
      <c r="B318" s="21"/>
      <c r="C318" s="21"/>
      <c r="D318" s="21"/>
      <c r="E318" s="2"/>
      <c r="F318" s="20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0"/>
      <c r="B319" s="21"/>
      <c r="C319" s="21"/>
      <c r="D319" s="21"/>
      <c r="E319" s="2"/>
      <c r="F319" s="20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0" t="s">
        <v>16</v>
      </c>
      <c r="B320" s="21"/>
      <c r="C320" s="21"/>
      <c r="D320" s="21">
        <f>SUM(D315:D319)</f>
        <v>47100</v>
      </c>
      <c r="E320" s="2"/>
      <c r="F320" s="36" t="s">
        <v>16</v>
      </c>
      <c r="G320" s="37"/>
      <c r="H320" s="38"/>
      <c r="I320" s="21">
        <f>SUM(I315:I319)</f>
        <v>25000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25" thickTop="1" thickBot="1">
      <c r="A321" s="31"/>
      <c r="B321" s="2"/>
      <c r="C321" s="2"/>
      <c r="D321" s="2"/>
      <c r="E321" s="2"/>
      <c r="F321" s="31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0" t="s">
        <v>0</v>
      </c>
      <c r="B322" s="21" t="s">
        <v>124</v>
      </c>
      <c r="C322" s="21" t="s">
        <v>125</v>
      </c>
      <c r="D322" s="9">
        <v>46026</v>
      </c>
      <c r="E322" s="2"/>
      <c r="F322" s="20" t="s">
        <v>0</v>
      </c>
      <c r="G322" s="21" t="s">
        <v>126</v>
      </c>
      <c r="H322" s="21" t="s">
        <v>22</v>
      </c>
      <c r="I322" s="9">
        <v>46026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0" t="s">
        <v>6</v>
      </c>
      <c r="B323" s="21" t="s">
        <v>7</v>
      </c>
      <c r="C323" s="21" t="s">
        <v>8</v>
      </c>
      <c r="D323" s="21" t="s">
        <v>9</v>
      </c>
      <c r="E323" s="2"/>
      <c r="F323" s="20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31">
        <v>4</v>
      </c>
      <c r="B324" s="21">
        <v>500000</v>
      </c>
      <c r="C324" s="21">
        <f>VLOOKUP(A324&amp;"|"&amp;B324,$O$3:$P$16,2,FALSE)</f>
        <v>3250</v>
      </c>
      <c r="D324" s="21">
        <f>VLOOKUP(A324&amp;"|"&amp;B324,$Q$3:$R$16,2,FALSE)</f>
        <v>21750</v>
      </c>
      <c r="E324" s="2"/>
      <c r="F324" s="57">
        <v>14</v>
      </c>
      <c r="G324" s="21">
        <v>500000</v>
      </c>
      <c r="H324" s="21">
        <f>VLOOKUP(F324&amp;"|"&amp;G324,$O$3:$P$16,2,FALSE)</f>
        <v>900</v>
      </c>
      <c r="I324" s="21">
        <f>VLOOKUP(F324&amp;"|"&amp;G324,$Q$3:$R$16,2,FALSE)</f>
        <v>24100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0"/>
      <c r="B325" s="21"/>
      <c r="C325" s="21"/>
      <c r="D325" s="21"/>
      <c r="E325" s="2"/>
      <c r="F325" s="20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0"/>
      <c r="B326" s="21"/>
      <c r="C326" s="21"/>
      <c r="D326" s="21"/>
      <c r="E326" s="2"/>
      <c r="F326" s="20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0"/>
      <c r="B327" s="21"/>
      <c r="C327" s="21"/>
      <c r="D327" s="21"/>
      <c r="E327" s="10"/>
      <c r="F327" s="20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0"/>
      <c r="B328" s="21"/>
      <c r="C328" s="21"/>
      <c r="D328" s="21"/>
      <c r="E328" s="2"/>
      <c r="F328" s="20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0" t="s">
        <v>16</v>
      </c>
      <c r="B329" s="21"/>
      <c r="C329" s="21"/>
      <c r="D329" s="21">
        <f>SUM(D324:D328)</f>
        <v>21750</v>
      </c>
      <c r="E329" s="2"/>
      <c r="F329" s="36" t="s">
        <v>16</v>
      </c>
      <c r="G329" s="37"/>
      <c r="H329" s="38"/>
      <c r="I329" s="21">
        <f>SUM(I324:I328)</f>
        <v>24100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25" thickTop="1" thickBot="1">
      <c r="A330" s="31"/>
      <c r="B330" s="2"/>
      <c r="C330" s="2"/>
      <c r="D330" s="2"/>
      <c r="E330" s="2"/>
      <c r="F330" s="31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0" t="s">
        <v>0</v>
      </c>
      <c r="B331" s="21" t="s">
        <v>127</v>
      </c>
      <c r="C331" s="21" t="s">
        <v>24</v>
      </c>
      <c r="D331" s="9">
        <v>46026</v>
      </c>
      <c r="E331" s="2"/>
      <c r="F331" s="20" t="s">
        <v>0</v>
      </c>
      <c r="G331" s="21" t="s">
        <v>73</v>
      </c>
      <c r="H331" s="21" t="s">
        <v>18</v>
      </c>
      <c r="I331" s="9">
        <v>46026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0" t="s">
        <v>6</v>
      </c>
      <c r="B332" s="21" t="s">
        <v>7</v>
      </c>
      <c r="C332" s="21" t="s">
        <v>8</v>
      </c>
      <c r="D332" s="21" t="s">
        <v>9</v>
      </c>
      <c r="E332" s="2"/>
      <c r="F332" s="20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31">
        <v>14</v>
      </c>
      <c r="B333" s="21">
        <v>500000</v>
      </c>
      <c r="C333" s="21">
        <f>VLOOKUP(A333&amp;"|"&amp;B333,$O$3:$P$16,2,FALSE)</f>
        <v>900</v>
      </c>
      <c r="D333" s="21">
        <f>VLOOKUP(A333&amp;"|"&amp;B333,$Q$3:$R$16,2,FALSE)</f>
        <v>24100</v>
      </c>
      <c r="E333" s="2"/>
      <c r="F333" s="57">
        <v>14</v>
      </c>
      <c r="G333" s="21">
        <v>500000</v>
      </c>
      <c r="H333" s="21">
        <f>VLOOKUP(F333&amp;"|"&amp;G333,$O$3:$P$16,2,FALSE)</f>
        <v>900</v>
      </c>
      <c r="I333" s="21">
        <f>VLOOKUP(F333&amp;"|"&amp;G333,$Q$3:$R$16,2,FALSE)</f>
        <v>24100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31">
        <v>17</v>
      </c>
      <c r="B334" s="21">
        <v>500000</v>
      </c>
      <c r="C334" s="21">
        <f>VLOOKUP(A334&amp;"|"&amp;B334,$O$3:$P$16,2,FALSE)</f>
        <v>400</v>
      </c>
      <c r="D334" s="21">
        <f>VLOOKUP(A334&amp;"|"&amp;B334,$Q$3:$R$16,2,FALSE)</f>
        <v>24600</v>
      </c>
      <c r="E334" s="2"/>
      <c r="F334" s="20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0"/>
      <c r="B335" s="21"/>
      <c r="C335" s="21"/>
      <c r="D335" s="21"/>
      <c r="E335" s="2"/>
      <c r="F335" s="20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0"/>
      <c r="B336" s="21"/>
      <c r="C336" s="21"/>
      <c r="D336" s="21"/>
      <c r="E336" s="2"/>
      <c r="F336" s="20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0"/>
      <c r="B337" s="21"/>
      <c r="C337" s="21"/>
      <c r="D337" s="21"/>
      <c r="E337" s="2"/>
      <c r="F337" s="20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0" t="s">
        <v>16</v>
      </c>
      <c r="B338" s="21"/>
      <c r="C338" s="21"/>
      <c r="D338" s="21">
        <f>SUM(D333:D337)</f>
        <v>48700</v>
      </c>
      <c r="E338" s="10"/>
      <c r="F338" s="36" t="s">
        <v>16</v>
      </c>
      <c r="G338" s="37"/>
      <c r="H338" s="38"/>
      <c r="I338" s="21">
        <f>SUM(I333:I337)</f>
        <v>24100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25" thickTop="1" thickBot="1">
      <c r="A339" s="31"/>
      <c r="B339" s="2"/>
      <c r="C339" s="2"/>
      <c r="D339" s="2"/>
      <c r="E339" s="2"/>
      <c r="F339" s="31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0" t="s">
        <v>0</v>
      </c>
      <c r="B340" s="21" t="s">
        <v>128</v>
      </c>
      <c r="C340" s="21" t="s">
        <v>34</v>
      </c>
      <c r="D340" s="9">
        <v>46026</v>
      </c>
      <c r="E340" s="2"/>
      <c r="F340" s="20" t="s">
        <v>0</v>
      </c>
      <c r="G340" s="21" t="s">
        <v>129</v>
      </c>
      <c r="H340" s="21" t="s">
        <v>39</v>
      </c>
      <c r="I340" s="9">
        <v>46026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0" t="s">
        <v>6</v>
      </c>
      <c r="B341" s="21" t="s">
        <v>7</v>
      </c>
      <c r="C341" s="21" t="s">
        <v>8</v>
      </c>
      <c r="D341" s="21" t="s">
        <v>9</v>
      </c>
      <c r="E341" s="2"/>
      <c r="F341" s="20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31">
        <v>17</v>
      </c>
      <c r="B342" s="21">
        <v>500000</v>
      </c>
      <c r="C342" s="21">
        <f>VLOOKUP(A342&amp;"|"&amp;B342,$O$3:$P$16,2,FALSE)</f>
        <v>400</v>
      </c>
      <c r="D342" s="21">
        <f>VLOOKUP(A342&amp;"|"&amp;B342,$Q$3:$R$16,2,FALSE)</f>
        <v>24600</v>
      </c>
      <c r="E342" s="2"/>
      <c r="F342" s="57">
        <v>4</v>
      </c>
      <c r="G342" s="21">
        <v>500000</v>
      </c>
      <c r="H342" s="21">
        <f>VLOOKUP(F342&amp;"|"&amp;G342,$O$3:$P$16,2,FALSE)</f>
        <v>3250</v>
      </c>
      <c r="I342" s="21">
        <f>VLOOKUP(F342&amp;"|"&amp;G342,$Q$3:$R$16,2,FALSE)</f>
        <v>21750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0"/>
      <c r="B343" s="21"/>
      <c r="C343" s="21"/>
      <c r="D343" s="21"/>
      <c r="E343" s="2"/>
      <c r="F343" s="20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0"/>
      <c r="B344" s="21"/>
      <c r="C344" s="21"/>
      <c r="D344" s="21"/>
      <c r="E344" s="2"/>
      <c r="F344" s="20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0"/>
      <c r="B345" s="21"/>
      <c r="C345" s="21"/>
      <c r="D345" s="21"/>
      <c r="E345" s="2"/>
      <c r="F345" s="20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0"/>
      <c r="B346" s="21"/>
      <c r="C346" s="21"/>
      <c r="D346" s="21"/>
      <c r="E346" s="2"/>
      <c r="F346" s="20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0" t="s">
        <v>16</v>
      </c>
      <c r="B347" s="21"/>
      <c r="C347" s="21"/>
      <c r="D347" s="21">
        <f>SUM(D342:D346)</f>
        <v>24600</v>
      </c>
      <c r="E347" s="2"/>
      <c r="F347" s="36" t="s">
        <v>16</v>
      </c>
      <c r="G347" s="37"/>
      <c r="H347" s="38"/>
      <c r="I347" s="21">
        <f>SUM(I342:I346)</f>
        <v>21750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43"/>
      <c r="B348" s="10"/>
      <c r="C348" s="10"/>
      <c r="D348" s="10"/>
      <c r="E348" s="2"/>
      <c r="F348" s="31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0" t="s">
        <v>0</v>
      </c>
      <c r="B349" s="21" t="s">
        <v>130</v>
      </c>
      <c r="C349" s="21" t="s">
        <v>104</v>
      </c>
      <c r="D349" s="9">
        <v>46026</v>
      </c>
      <c r="E349" s="2"/>
      <c r="F349" s="20" t="s">
        <v>0</v>
      </c>
      <c r="G349" s="21" t="s">
        <v>131</v>
      </c>
      <c r="H349" s="21" t="s">
        <v>41</v>
      </c>
      <c r="I349" s="9">
        <v>46026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0" t="s">
        <v>6</v>
      </c>
      <c r="B350" s="21" t="s">
        <v>7</v>
      </c>
      <c r="C350" s="21" t="s">
        <v>8</v>
      </c>
      <c r="D350" s="21" t="s">
        <v>9</v>
      </c>
      <c r="E350" s="2"/>
      <c r="F350" s="20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31">
        <v>20</v>
      </c>
      <c r="B351" s="21">
        <v>500000</v>
      </c>
      <c r="C351" s="21">
        <f>VLOOKUP(A351&amp;"|"&amp;B351,$O$3:$P$16,2,FALSE)</f>
        <v>0</v>
      </c>
      <c r="D351" s="21">
        <f>VLOOKUP(A351&amp;"|"&amp;B351,$Q$3:$R$16,2,FALSE)</f>
        <v>25000</v>
      </c>
      <c r="E351" s="2"/>
      <c r="F351" s="57">
        <v>4</v>
      </c>
      <c r="G351" s="21">
        <v>500000</v>
      </c>
      <c r="H351" s="21">
        <f>VLOOKUP(F351&amp;"|"&amp;G351,$O$3:$P$16,2,FALSE)</f>
        <v>3250</v>
      </c>
      <c r="I351" s="21">
        <f>VLOOKUP(F351&amp;"|"&amp;G351,$Q$3:$R$16,2,FALSE)</f>
        <v>21750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0"/>
      <c r="B352" s="21"/>
      <c r="C352" s="21"/>
      <c r="D352" s="21"/>
      <c r="E352" s="2"/>
      <c r="F352" s="20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0"/>
      <c r="B353" s="21"/>
      <c r="C353" s="21"/>
      <c r="D353" s="21"/>
      <c r="E353" s="2"/>
      <c r="F353" s="20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0"/>
      <c r="B354" s="21"/>
      <c r="C354" s="21"/>
      <c r="D354" s="21"/>
      <c r="E354" s="2"/>
      <c r="F354" s="20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0"/>
      <c r="B355" s="21"/>
      <c r="C355" s="21"/>
      <c r="D355" s="21"/>
      <c r="E355" s="2"/>
      <c r="F355" s="20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0" t="s">
        <v>16</v>
      </c>
      <c r="B356" s="21"/>
      <c r="C356" s="21"/>
      <c r="D356" s="21">
        <f>SUM(D351:D355)</f>
        <v>25000</v>
      </c>
      <c r="E356" s="2"/>
      <c r="F356" s="36" t="s">
        <v>16</v>
      </c>
      <c r="G356" s="37"/>
      <c r="H356" s="38"/>
      <c r="I356" s="21">
        <f>SUM(I351:I355)</f>
        <v>21750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43"/>
      <c r="B357" s="10"/>
      <c r="C357" s="10"/>
      <c r="D357" s="10"/>
      <c r="E357" s="2"/>
      <c r="F357" s="31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0" t="s">
        <v>0</v>
      </c>
      <c r="B358" s="21" t="s">
        <v>132</v>
      </c>
      <c r="C358" s="21" t="s">
        <v>133</v>
      </c>
      <c r="D358" s="9">
        <v>46026</v>
      </c>
      <c r="E358" s="2"/>
      <c r="F358" s="20" t="s">
        <v>0</v>
      </c>
      <c r="G358" s="21" t="s">
        <v>63</v>
      </c>
      <c r="H358" s="21" t="s">
        <v>43</v>
      </c>
      <c r="I358" s="9">
        <v>46026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0" t="s">
        <v>6</v>
      </c>
      <c r="B359" s="21" t="s">
        <v>7</v>
      </c>
      <c r="C359" s="21" t="s">
        <v>8</v>
      </c>
      <c r="D359" s="21" t="s">
        <v>9</v>
      </c>
      <c r="E359" s="2"/>
      <c r="F359" s="20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31">
        <v>9</v>
      </c>
      <c r="B360" s="21">
        <v>500000</v>
      </c>
      <c r="C360" s="21">
        <f>VLOOKUP(A360&amp;"|"&amp;B360,$O$3:$P$16,2,FALSE)</f>
        <v>2000</v>
      </c>
      <c r="D360" s="21">
        <f>VLOOKUP(A360&amp;"|"&amp;B360,$Q$3:$R$16,2,FALSE)</f>
        <v>23000</v>
      </c>
      <c r="E360" s="2"/>
      <c r="F360" s="57">
        <v>17</v>
      </c>
      <c r="G360" s="21">
        <v>500000</v>
      </c>
      <c r="H360" s="21">
        <f>VLOOKUP(F360&amp;"|"&amp;G360,$O$3:$P$16,2,FALSE)</f>
        <v>400</v>
      </c>
      <c r="I360" s="21">
        <f>VLOOKUP(F360&amp;"|"&amp;G360,$Q$3:$R$16,2,FALSE)</f>
        <v>24600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31">
        <v>4.0999999999999996</v>
      </c>
      <c r="B361" s="21">
        <v>1000000</v>
      </c>
      <c r="C361" s="21">
        <f>VLOOKUP(A361&amp;"|"&amp;B361,$O$3:$P$16,2,FALSE)</f>
        <v>7700</v>
      </c>
      <c r="D361" s="21">
        <f>VLOOKUP(A361&amp;"|"&amp;B361,$Q$3:$R$16,2,FALSE)</f>
        <v>42300</v>
      </c>
      <c r="E361" s="2"/>
      <c r="F361" s="20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0"/>
      <c r="B362" s="21"/>
      <c r="C362" s="21"/>
      <c r="D362" s="21"/>
      <c r="E362" s="2"/>
      <c r="F362" s="20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0"/>
      <c r="B363" s="21"/>
      <c r="C363" s="21"/>
      <c r="D363" s="21"/>
      <c r="E363" s="2"/>
      <c r="F363" s="20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0"/>
      <c r="B364" s="21"/>
      <c r="C364" s="21"/>
      <c r="D364" s="21"/>
      <c r="E364" s="2"/>
      <c r="F364" s="20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0" t="s">
        <v>16</v>
      </c>
      <c r="B365" s="21"/>
      <c r="C365" s="21"/>
      <c r="D365" s="21">
        <f>SUM(D360:D364)</f>
        <v>65300</v>
      </c>
      <c r="E365" s="2"/>
      <c r="F365" s="36" t="s">
        <v>16</v>
      </c>
      <c r="G365" s="37"/>
      <c r="H365" s="38"/>
      <c r="I365" s="21">
        <f>SUM(I360:I364)</f>
        <v>24600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25" thickTop="1" thickBot="1">
      <c r="A366" s="31"/>
      <c r="B366" s="2"/>
      <c r="C366" s="2"/>
      <c r="D366" s="2"/>
      <c r="E366" s="2"/>
      <c r="F366" s="31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0" t="s">
        <v>0</v>
      </c>
      <c r="B367" s="21" t="s">
        <v>187</v>
      </c>
      <c r="C367" s="21" t="s">
        <v>28</v>
      </c>
      <c r="D367" s="9">
        <v>46026</v>
      </c>
      <c r="E367" s="2"/>
      <c r="F367" s="20" t="s">
        <v>0</v>
      </c>
      <c r="G367" s="21" t="s">
        <v>126</v>
      </c>
      <c r="H367" s="21" t="s">
        <v>43</v>
      </c>
      <c r="I367" s="9">
        <v>46026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0" t="s">
        <v>6</v>
      </c>
      <c r="B368" s="21" t="s">
        <v>7</v>
      </c>
      <c r="C368" s="21" t="s">
        <v>8</v>
      </c>
      <c r="D368" s="21" t="s">
        <v>9</v>
      </c>
      <c r="E368" s="2"/>
      <c r="F368" s="20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31">
        <v>9</v>
      </c>
      <c r="B369" s="21">
        <v>1000000</v>
      </c>
      <c r="C369" s="21">
        <f>VLOOKUP(A369&amp;"|"&amp;B369,$O$3:$P$16,2,FALSE)</f>
        <v>3250</v>
      </c>
      <c r="D369" s="21">
        <f>VLOOKUP(A369&amp;"|"&amp;B369,$Q$3:$R$16,2,FALSE)</f>
        <v>46750</v>
      </c>
      <c r="E369" s="2"/>
      <c r="F369" s="57">
        <v>17</v>
      </c>
      <c r="G369" s="21">
        <v>500000</v>
      </c>
      <c r="H369" s="21">
        <f>VLOOKUP(F369&amp;"|"&amp;G369,$O$3:$P$16,2,FALSE)</f>
        <v>400</v>
      </c>
      <c r="I369" s="21">
        <f>VLOOKUP(F369&amp;"|"&amp;G369,$Q$3:$R$16,2,FALSE)</f>
        <v>24600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31">
        <v>4</v>
      </c>
      <c r="B370" s="21">
        <v>500000</v>
      </c>
      <c r="C370" s="21">
        <f>VLOOKUP(A370&amp;"|"&amp;B370,$O$3:$P$16,2,FALSE)</f>
        <v>3250</v>
      </c>
      <c r="D370" s="21">
        <f>VLOOKUP(A370&amp;"|"&amp;B370,$Q$3:$R$16,2,FALSE)</f>
        <v>21750</v>
      </c>
      <c r="E370" s="4"/>
      <c r="F370" s="20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0"/>
      <c r="B371" s="21"/>
      <c r="C371" s="21"/>
      <c r="D371" s="21"/>
      <c r="E371" s="4"/>
      <c r="F371" s="20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0"/>
      <c r="B372" s="21"/>
      <c r="C372" s="21"/>
      <c r="D372" s="21"/>
      <c r="E372" s="4"/>
      <c r="F372" s="20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0"/>
      <c r="B373" s="21"/>
      <c r="C373" s="21"/>
      <c r="D373" s="21"/>
      <c r="E373" s="4"/>
      <c r="F373" s="20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0" t="s">
        <v>16</v>
      </c>
      <c r="B374" s="21"/>
      <c r="C374" s="21"/>
      <c r="D374" s="21">
        <f>SUM(D369:D373)</f>
        <v>68500</v>
      </c>
      <c r="E374" s="4"/>
      <c r="F374" s="36" t="s">
        <v>16</v>
      </c>
      <c r="G374" s="37"/>
      <c r="H374" s="38"/>
      <c r="I374" s="21">
        <f>SUM(I369:I373)</f>
        <v>24600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25" thickTop="1" thickBot="1">
      <c r="A375" s="31"/>
      <c r="B375" s="2"/>
      <c r="C375" s="2"/>
      <c r="D375" s="2"/>
      <c r="E375" s="4"/>
      <c r="F375" s="31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0" t="s">
        <v>0</v>
      </c>
      <c r="B376" s="21" t="s">
        <v>35</v>
      </c>
      <c r="C376" s="21" t="s">
        <v>62</v>
      </c>
      <c r="D376" s="9">
        <v>46026</v>
      </c>
      <c r="E376" s="4"/>
      <c r="F376" s="20" t="s">
        <v>0</v>
      </c>
      <c r="G376" s="21" t="s">
        <v>109</v>
      </c>
      <c r="H376" s="21" t="s">
        <v>134</v>
      </c>
      <c r="I376" s="9">
        <v>46026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0" t="s">
        <v>6</v>
      </c>
      <c r="B377" s="21" t="s">
        <v>7</v>
      </c>
      <c r="C377" s="21" t="s">
        <v>8</v>
      </c>
      <c r="D377" s="21" t="s">
        <v>9</v>
      </c>
      <c r="E377" s="4"/>
      <c r="F377" s="20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31">
        <v>9</v>
      </c>
      <c r="B378" s="21">
        <v>500000</v>
      </c>
      <c r="C378" s="21">
        <f>VLOOKUP(A378&amp;"|"&amp;B378,$O$3:$P$17,2,FALSE)</f>
        <v>2000</v>
      </c>
      <c r="D378" s="21">
        <f>VLOOKUP(A378&amp;"|"&amp;B378,$Q$3:$R$17,2,FALSE)</f>
        <v>23000</v>
      </c>
      <c r="E378" s="4"/>
      <c r="F378" s="57">
        <v>9</v>
      </c>
      <c r="G378" s="21">
        <v>500000</v>
      </c>
      <c r="H378" s="21">
        <f>VLOOKUP(F378&amp;"|"&amp;G378,$O$3:$P$17,2,FALSE)</f>
        <v>2000</v>
      </c>
      <c r="I378" s="21">
        <f>VLOOKUP(F378&amp;"|"&amp;G378,$Q$3:$R$17,2,FALSE)</f>
        <v>23000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0"/>
      <c r="B379" s="21"/>
      <c r="C379" s="21"/>
      <c r="D379" s="21"/>
      <c r="E379" s="4"/>
      <c r="F379" s="20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0"/>
      <c r="B380" s="21"/>
      <c r="C380" s="21"/>
      <c r="D380" s="21"/>
      <c r="E380" s="4"/>
      <c r="F380" s="20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0"/>
      <c r="B381" s="21"/>
      <c r="C381" s="21"/>
      <c r="D381" s="21"/>
      <c r="E381" s="4"/>
      <c r="F381" s="20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0"/>
      <c r="B382" s="21"/>
      <c r="C382" s="21"/>
      <c r="D382" s="21"/>
      <c r="E382" s="4"/>
      <c r="F382" s="20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0" t="s">
        <v>16</v>
      </c>
      <c r="B383" s="21"/>
      <c r="C383" s="21"/>
      <c r="D383" s="21">
        <f>SUM(D378:D382)</f>
        <v>23000</v>
      </c>
      <c r="E383" s="4"/>
      <c r="F383" s="36" t="s">
        <v>16</v>
      </c>
      <c r="G383" s="37"/>
      <c r="H383" s="38"/>
      <c r="I383" s="21">
        <f>SUM(I378:I382)</f>
        <v>23000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25" thickTop="1" thickBot="1">
      <c r="A384" s="31"/>
      <c r="B384" s="2"/>
      <c r="C384" s="2"/>
      <c r="D384" s="2"/>
      <c r="E384" s="4"/>
      <c r="F384" s="31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0" t="s">
        <v>0</v>
      </c>
      <c r="B385" s="21" t="s">
        <v>128</v>
      </c>
      <c r="C385" s="21" t="s">
        <v>134</v>
      </c>
      <c r="D385" s="9">
        <v>46026</v>
      </c>
      <c r="E385" s="4"/>
      <c r="F385" s="20" t="s">
        <v>0</v>
      </c>
      <c r="G385" s="21" t="s">
        <v>135</v>
      </c>
      <c r="H385" s="21" t="s">
        <v>136</v>
      </c>
      <c r="I385" s="9">
        <v>46026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0" t="s">
        <v>6</v>
      </c>
      <c r="B386" s="21" t="s">
        <v>7</v>
      </c>
      <c r="C386" s="21" t="s">
        <v>8</v>
      </c>
      <c r="D386" s="21" t="s">
        <v>9</v>
      </c>
      <c r="E386" s="4"/>
      <c r="F386" s="20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31">
        <v>20</v>
      </c>
      <c r="B387" s="21">
        <v>1000000</v>
      </c>
      <c r="C387" s="21">
        <f>VLOOKUP(A387&amp;"|"&amp;B387,$O$3:$P$16,2,FALSE)</f>
        <v>0</v>
      </c>
      <c r="D387" s="21">
        <f>VLOOKUP(A387&amp;"|"&amp;B387,$Q$3:$R$16,2,FALSE)</f>
        <v>50000</v>
      </c>
      <c r="E387" s="4"/>
      <c r="F387" s="57">
        <v>14</v>
      </c>
      <c r="G387" s="21">
        <v>500000</v>
      </c>
      <c r="H387" s="21">
        <f>VLOOKUP(F387&amp;"|"&amp;G387,$O$3:$P$16,2,FALSE)</f>
        <v>900</v>
      </c>
      <c r="I387" s="21">
        <f>VLOOKUP(F387&amp;"|"&amp;G387,$Q$3:$R$16,2,FALSE)</f>
        <v>24100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31">
        <v>20.100000000000001</v>
      </c>
      <c r="B388" s="21">
        <v>1000000</v>
      </c>
      <c r="C388" s="21">
        <f>VLOOKUP(A388&amp;"|"&amp;B388,$O$3:$P$16,2,FALSE)</f>
        <v>0</v>
      </c>
      <c r="D388" s="21">
        <f>VLOOKUP(A388&amp;"|"&amp;B388,$Q$3:$R$16,2,FALSE)</f>
        <v>50000</v>
      </c>
      <c r="E388" s="4"/>
      <c r="F388" s="20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0"/>
      <c r="B389" s="21"/>
      <c r="C389" s="21"/>
      <c r="D389" s="21"/>
      <c r="E389" s="4"/>
      <c r="F389" s="20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0"/>
      <c r="B390" s="21"/>
      <c r="C390" s="21"/>
      <c r="D390" s="21"/>
      <c r="E390" s="4"/>
      <c r="F390" s="20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0"/>
      <c r="B391" s="21"/>
      <c r="C391" s="21"/>
      <c r="D391" s="21"/>
      <c r="E391" s="4"/>
      <c r="F391" s="20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62" t="s">
        <v>49</v>
      </c>
      <c r="B392" s="53"/>
      <c r="C392" s="54"/>
      <c r="D392" s="21">
        <f>SUM(D387:D391)</f>
        <v>100000</v>
      </c>
      <c r="E392" s="4"/>
      <c r="F392" s="36" t="s">
        <v>16</v>
      </c>
      <c r="G392" s="37"/>
      <c r="H392" s="38"/>
      <c r="I392" s="21">
        <f>SUM(I387:I391)</f>
        <v>24100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31"/>
      <c r="B393" s="2"/>
      <c r="C393" s="2"/>
      <c r="D393" s="10"/>
      <c r="E393" s="4"/>
      <c r="F393" s="31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0" t="s">
        <v>0</v>
      </c>
      <c r="B394" s="21" t="s">
        <v>137</v>
      </c>
      <c r="C394" s="21" t="s">
        <v>138</v>
      </c>
      <c r="D394" s="9">
        <v>46026</v>
      </c>
      <c r="E394" s="4"/>
      <c r="F394" s="20" t="s">
        <v>0</v>
      </c>
      <c r="G394" s="21" t="s">
        <v>139</v>
      </c>
      <c r="H394" s="21" t="s">
        <v>140</v>
      </c>
      <c r="I394" s="9">
        <v>46026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0" t="s">
        <v>6</v>
      </c>
      <c r="B395" s="21" t="s">
        <v>7</v>
      </c>
      <c r="C395" s="21" t="s">
        <v>8</v>
      </c>
      <c r="D395" s="21" t="s">
        <v>9</v>
      </c>
      <c r="E395" s="4"/>
      <c r="F395" s="20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31">
        <v>20</v>
      </c>
      <c r="B396" s="21">
        <v>1000000</v>
      </c>
      <c r="C396" s="21">
        <f>VLOOKUP(A396&amp;"|"&amp;B396,$O$3:$P$16,2,FALSE)</f>
        <v>0</v>
      </c>
      <c r="D396" s="21">
        <f>VLOOKUP(A396&amp;"|"&amp;B396,$Q$3:$R$16,2,FALSE)</f>
        <v>50000</v>
      </c>
      <c r="E396" s="4"/>
      <c r="F396" s="57">
        <v>9</v>
      </c>
      <c r="G396" s="21">
        <v>1000000</v>
      </c>
      <c r="H396" s="21">
        <f>VLOOKUP(F396&amp;"|"&amp;G396,$O$3:$P$16,2,FALSE)</f>
        <v>3250</v>
      </c>
      <c r="I396" s="21">
        <f>VLOOKUP(F396&amp;"|"&amp;G396,$Q$3:$R$16,2,FALSE)</f>
        <v>46750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0"/>
      <c r="B397" s="21"/>
      <c r="C397" s="21"/>
      <c r="D397" s="21"/>
      <c r="E397" s="4"/>
      <c r="F397" s="20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0"/>
      <c r="B398" s="21"/>
      <c r="C398" s="21"/>
      <c r="D398" s="21"/>
      <c r="E398" s="4"/>
      <c r="F398" s="20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0"/>
      <c r="B399" s="21"/>
      <c r="C399" s="21"/>
      <c r="D399" s="21"/>
      <c r="E399" s="4"/>
      <c r="F399" s="20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0"/>
      <c r="B400" s="21"/>
      <c r="C400" s="21"/>
      <c r="D400" s="21"/>
      <c r="E400" s="4"/>
      <c r="F400" s="20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62" t="s">
        <v>49</v>
      </c>
      <c r="B401" s="53"/>
      <c r="C401" s="54"/>
      <c r="D401" s="21">
        <f>SUM(D396:D400)</f>
        <v>50000</v>
      </c>
      <c r="E401" s="4"/>
      <c r="F401" s="36" t="s">
        <v>16</v>
      </c>
      <c r="G401" s="37"/>
      <c r="H401" s="38"/>
      <c r="I401" s="21">
        <f>SUM(I396:I400)</f>
        <v>46750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31"/>
      <c r="B402" s="2"/>
      <c r="C402" s="2"/>
      <c r="D402" s="2"/>
      <c r="E402" s="4"/>
      <c r="F402" s="43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1" t="s">
        <v>0</v>
      </c>
      <c r="B403" s="12" t="s">
        <v>141</v>
      </c>
      <c r="C403" s="12" t="s">
        <v>142</v>
      </c>
      <c r="D403" s="9">
        <v>46026</v>
      </c>
      <c r="E403" s="4"/>
      <c r="F403" s="20" t="s">
        <v>0</v>
      </c>
      <c r="G403" s="21" t="s">
        <v>143</v>
      </c>
      <c r="H403" s="21" t="s">
        <v>144</v>
      </c>
      <c r="I403" s="9">
        <v>46026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0" t="s">
        <v>6</v>
      </c>
      <c r="B404" s="21" t="s">
        <v>7</v>
      </c>
      <c r="C404" s="21" t="s">
        <v>8</v>
      </c>
      <c r="D404" s="21" t="s">
        <v>9</v>
      </c>
      <c r="E404" s="4"/>
      <c r="F404" s="20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31">
        <v>20.100000000000001</v>
      </c>
      <c r="B405" s="21">
        <v>1000000</v>
      </c>
      <c r="C405" s="21">
        <f>VLOOKUP(A405&amp;"|"&amp;B405,$O$3:$P$16,2,FALSE)</f>
        <v>0</v>
      </c>
      <c r="D405" s="21">
        <f>VLOOKUP(A405&amp;"|"&amp;B405,$Q$3:$R$16,2,FALSE)</f>
        <v>50000</v>
      </c>
      <c r="E405" s="4"/>
      <c r="F405" s="57">
        <v>20</v>
      </c>
      <c r="G405" s="21">
        <v>500000</v>
      </c>
      <c r="H405" s="21">
        <f>VLOOKUP(F405&amp;"|"&amp;G405,$O$3:$P$16,2,FALSE)</f>
        <v>0</v>
      </c>
      <c r="I405" s="21">
        <f>VLOOKUP(F405&amp;"|"&amp;G405,$Q$3:$R$16,2,FALSE)</f>
        <v>25000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0"/>
      <c r="B406" s="21"/>
      <c r="C406" s="21"/>
      <c r="D406" s="21"/>
      <c r="E406" s="4"/>
      <c r="F406" s="57">
        <v>4</v>
      </c>
      <c r="G406" s="21">
        <v>500000</v>
      </c>
      <c r="H406" s="21">
        <f>VLOOKUP(F406&amp;"|"&amp;G406,$O$3:$P$16,2,FALSE)</f>
        <v>3250</v>
      </c>
      <c r="I406" s="21">
        <f>VLOOKUP(F406&amp;"|"&amp;G406,$Q$3:$R$16,2,FALSE)</f>
        <v>21750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0"/>
      <c r="B407" s="21"/>
      <c r="C407" s="21"/>
      <c r="D407" s="21"/>
      <c r="E407" s="4"/>
      <c r="F407" s="20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0"/>
      <c r="B408" s="21"/>
      <c r="C408" s="21"/>
      <c r="D408" s="21"/>
      <c r="E408" s="4"/>
      <c r="F408" s="20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0"/>
      <c r="B409" s="21"/>
      <c r="C409" s="21"/>
      <c r="D409" s="21"/>
      <c r="E409" s="4"/>
      <c r="F409" s="20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62" t="s">
        <v>49</v>
      </c>
      <c r="B410" s="53"/>
      <c r="C410" s="54"/>
      <c r="D410" s="21">
        <f>SUM(D405:D409)</f>
        <v>50000</v>
      </c>
      <c r="E410" s="4"/>
      <c r="F410" s="36" t="s">
        <v>16</v>
      </c>
      <c r="G410" s="37"/>
      <c r="H410" s="38"/>
      <c r="I410" s="21">
        <f>SUM(I405:I409)</f>
        <v>46750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25" thickTop="1" thickBot="1">
      <c r="A411" s="31"/>
      <c r="B411" s="2"/>
      <c r="C411" s="2"/>
      <c r="D411" s="2"/>
      <c r="E411" s="4"/>
      <c r="F411" s="31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1" t="s">
        <v>0</v>
      </c>
      <c r="B412" s="12" t="s">
        <v>145</v>
      </c>
      <c r="C412" s="12" t="s">
        <v>43</v>
      </c>
      <c r="D412" s="9">
        <v>46026</v>
      </c>
      <c r="E412" s="4"/>
      <c r="F412" s="20" t="s">
        <v>0</v>
      </c>
      <c r="G412" s="21" t="s">
        <v>146</v>
      </c>
      <c r="H412" s="21" t="s">
        <v>147</v>
      </c>
      <c r="I412" s="9">
        <v>46026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0" t="s">
        <v>6</v>
      </c>
      <c r="B413" s="21" t="s">
        <v>7</v>
      </c>
      <c r="C413" s="21" t="s">
        <v>8</v>
      </c>
      <c r="D413" s="21" t="s">
        <v>9</v>
      </c>
      <c r="E413" s="4"/>
      <c r="F413" s="20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0">
        <v>9</v>
      </c>
      <c r="B414" s="21">
        <v>500000</v>
      </c>
      <c r="C414" s="21">
        <f>VLOOKUP(A414&amp;"|"&amp;B414,$O$3:$P$17,2,FALSE)</f>
        <v>2000</v>
      </c>
      <c r="D414" s="21">
        <f>VLOOKUP(A414&amp;"|"&amp;B414,$Q$3:$R$17,2,FALSE)</f>
        <v>23000</v>
      </c>
      <c r="E414" s="4"/>
      <c r="F414" s="57">
        <v>4</v>
      </c>
      <c r="G414" s="21">
        <v>1000000</v>
      </c>
      <c r="H414" s="21">
        <f>VLOOKUP(F414&amp;"|"&amp;G414,$O$3:$P$16,2,FALSE)</f>
        <v>7750</v>
      </c>
      <c r="I414" s="21">
        <f>VLOOKUP(F414&amp;"|"&amp;G414,$Q$3:$R$16,2,FALSE)</f>
        <v>42250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0"/>
      <c r="B415" s="21"/>
      <c r="C415" s="21"/>
      <c r="D415" s="21"/>
      <c r="E415" s="4"/>
      <c r="F415" s="20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0"/>
      <c r="B416" s="21"/>
      <c r="C416" s="21"/>
      <c r="D416" s="21"/>
      <c r="E416" s="4"/>
      <c r="F416" s="20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0"/>
      <c r="B417" s="21"/>
      <c r="C417" s="21"/>
      <c r="D417" s="21"/>
      <c r="E417" s="4"/>
      <c r="F417" s="20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0"/>
      <c r="B418" s="21"/>
      <c r="C418" s="21"/>
      <c r="D418" s="21"/>
      <c r="E418" s="4"/>
      <c r="F418" s="20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62" t="s">
        <v>49</v>
      </c>
      <c r="B419" s="53"/>
      <c r="C419" s="54"/>
      <c r="D419" s="21">
        <f>SUM(D414:D418)</f>
        <v>23000</v>
      </c>
      <c r="E419" s="4"/>
      <c r="F419" s="36" t="s">
        <v>16</v>
      </c>
      <c r="G419" s="37"/>
      <c r="H419" s="38"/>
      <c r="I419" s="21">
        <f>SUM(I414:I418)</f>
        <v>42250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25" thickTop="1" thickBot="1">
      <c r="A420" s="31"/>
      <c r="B420" s="2"/>
      <c r="C420" s="2"/>
      <c r="D420" s="2"/>
      <c r="E420" s="4"/>
      <c r="F420" s="31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1" t="s">
        <v>0</v>
      </c>
      <c r="B421" s="12" t="s">
        <v>148</v>
      </c>
      <c r="C421" s="12" t="s">
        <v>62</v>
      </c>
      <c r="D421" s="9">
        <v>46026</v>
      </c>
      <c r="E421" s="4"/>
      <c r="F421" s="11" t="s">
        <v>0</v>
      </c>
      <c r="G421" s="12" t="s">
        <v>33</v>
      </c>
      <c r="H421" s="12" t="s">
        <v>76</v>
      </c>
      <c r="I421" s="9">
        <v>46026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0" t="s">
        <v>6</v>
      </c>
      <c r="B422" s="21" t="s">
        <v>7</v>
      </c>
      <c r="C422" s="21" t="s">
        <v>8</v>
      </c>
      <c r="D422" s="21" t="s">
        <v>9</v>
      </c>
      <c r="E422" s="4"/>
      <c r="F422" s="20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31">
        <v>9</v>
      </c>
      <c r="B423" s="21">
        <v>1000000</v>
      </c>
      <c r="C423" s="21">
        <f>VLOOKUP(A423&amp;"|"&amp;B423,$O$3:$P$17,2,FALSE)</f>
        <v>3250</v>
      </c>
      <c r="D423" s="21">
        <f>VLOOKUP(A423&amp;"|"&amp;B423,$Q$3:$R$17,2,FALSE)</f>
        <v>46750</v>
      </c>
      <c r="E423" s="4"/>
      <c r="F423" s="57">
        <v>9</v>
      </c>
      <c r="G423" s="21">
        <v>2000000</v>
      </c>
      <c r="H423" s="21">
        <f>VLOOKUP(F423&amp;"|"&amp;G423,$O$3:$P$16,2,FALSE)</f>
        <v>7000</v>
      </c>
      <c r="I423" s="21">
        <f>VLOOKUP(F423&amp;"|"&amp;G423,$Q$3:$R$16,2,FALSE)</f>
        <v>93000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0"/>
      <c r="B424" s="21"/>
      <c r="C424" s="21"/>
      <c r="D424" s="21"/>
      <c r="E424" s="4"/>
      <c r="F424" s="20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0"/>
      <c r="B425" s="21"/>
      <c r="C425" s="21"/>
      <c r="D425" s="21"/>
      <c r="E425" s="4"/>
      <c r="F425" s="20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0"/>
      <c r="B426" s="21"/>
      <c r="C426" s="21"/>
      <c r="D426" s="21"/>
      <c r="E426" s="4"/>
      <c r="F426" s="20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0"/>
      <c r="B427" s="21"/>
      <c r="C427" s="21"/>
      <c r="D427" s="21"/>
      <c r="E427" s="4"/>
      <c r="F427" s="20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62" t="s">
        <v>49</v>
      </c>
      <c r="B428" s="53"/>
      <c r="C428" s="54"/>
      <c r="D428" s="21">
        <f>SUM(D423:D427)</f>
        <v>46750</v>
      </c>
      <c r="E428" s="4"/>
      <c r="F428" s="59" t="s">
        <v>49</v>
      </c>
      <c r="G428" s="53"/>
      <c r="H428" s="54"/>
      <c r="I428" s="21">
        <f>SUM(I423:I427)</f>
        <v>93000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25" thickTop="1" thickBot="1">
      <c r="A429" s="31"/>
      <c r="B429" s="2"/>
      <c r="C429" s="2"/>
      <c r="D429" s="2"/>
      <c r="E429" s="4"/>
      <c r="F429" s="31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1" t="s">
        <v>0</v>
      </c>
      <c r="B430" s="12" t="s">
        <v>149</v>
      </c>
      <c r="C430" s="12" t="s">
        <v>24</v>
      </c>
      <c r="D430" s="9">
        <v>46026</v>
      </c>
      <c r="E430" s="4"/>
      <c r="F430" s="11" t="s">
        <v>0</v>
      </c>
      <c r="G430" s="12" t="s">
        <v>57</v>
      </c>
      <c r="H430" s="12" t="s">
        <v>150</v>
      </c>
      <c r="I430" s="9">
        <v>46026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0" t="s">
        <v>6</v>
      </c>
      <c r="B431" s="21" t="s">
        <v>7</v>
      </c>
      <c r="C431" s="21" t="s">
        <v>8</v>
      </c>
      <c r="D431" s="21" t="s">
        <v>9</v>
      </c>
      <c r="E431" s="4"/>
      <c r="F431" s="20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31">
        <v>9</v>
      </c>
      <c r="B432" s="21">
        <v>1000000</v>
      </c>
      <c r="C432" s="21">
        <f>VLOOKUP(A432&amp;"|"&amp;B432,$O$3:$P$16,2,FALSE)</f>
        <v>3250</v>
      </c>
      <c r="D432" s="21">
        <f>VLOOKUP(A432&amp;"|"&amp;B432,$Q$3:$R$16,2,FALSE)</f>
        <v>46750</v>
      </c>
      <c r="E432" s="4"/>
      <c r="F432" s="57">
        <v>9</v>
      </c>
      <c r="G432" s="21">
        <v>1000000</v>
      </c>
      <c r="H432" s="21">
        <f>VLOOKUP(F432&amp;"|"&amp;G432,$O$3:$P$16,2,FALSE)</f>
        <v>3250</v>
      </c>
      <c r="I432" s="21">
        <f>VLOOKUP(F432&amp;"|"&amp;G432,$Q$3:$R$16,2,FALSE)</f>
        <v>46750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0"/>
      <c r="B433" s="21"/>
      <c r="C433" s="21"/>
      <c r="D433" s="21"/>
      <c r="E433" s="4"/>
      <c r="F433" s="20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0"/>
      <c r="B434" s="21"/>
      <c r="C434" s="21"/>
      <c r="D434" s="21"/>
      <c r="E434" s="4"/>
      <c r="F434" s="20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0"/>
      <c r="B435" s="21"/>
      <c r="C435" s="21"/>
      <c r="D435" s="21"/>
      <c r="E435" s="4"/>
      <c r="F435" s="20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0"/>
      <c r="B436" s="21"/>
      <c r="C436" s="21"/>
      <c r="D436" s="21"/>
      <c r="E436" s="4"/>
      <c r="F436" s="20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62" t="s">
        <v>49</v>
      </c>
      <c r="B437" s="53"/>
      <c r="C437" s="54"/>
      <c r="D437" s="21">
        <f>SUM(D432:D436)</f>
        <v>46750</v>
      </c>
      <c r="E437" s="4"/>
      <c r="F437" s="59" t="s">
        <v>49</v>
      </c>
      <c r="G437" s="53"/>
      <c r="H437" s="54"/>
      <c r="I437" s="21">
        <f>SUM(I432:I436)</f>
        <v>46750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31"/>
      <c r="B438" s="6"/>
      <c r="C438" s="2"/>
      <c r="D438" s="10"/>
      <c r="E438" s="4"/>
      <c r="F438" s="31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1" t="s">
        <v>0</v>
      </c>
      <c r="B439" s="12" t="s">
        <v>151</v>
      </c>
      <c r="C439" s="12" t="s">
        <v>43</v>
      </c>
      <c r="D439" s="9">
        <v>46026</v>
      </c>
      <c r="E439" s="4"/>
      <c r="F439" s="11" t="s">
        <v>0</v>
      </c>
      <c r="G439" s="12" t="s">
        <v>152</v>
      </c>
      <c r="H439" s="12" t="s">
        <v>43</v>
      </c>
      <c r="I439" s="9">
        <v>46026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0" t="s">
        <v>6</v>
      </c>
      <c r="B440" s="21" t="s">
        <v>7</v>
      </c>
      <c r="C440" s="21" t="s">
        <v>8</v>
      </c>
      <c r="D440" s="21" t="s">
        <v>9</v>
      </c>
      <c r="E440" s="4"/>
      <c r="F440" s="20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31">
        <v>4</v>
      </c>
      <c r="B441" s="21">
        <v>500000</v>
      </c>
      <c r="C441" s="21">
        <f>VLOOKUP(A441&amp;"|"&amp;B441,$O$3:$P$16,2,FALSE)</f>
        <v>3250</v>
      </c>
      <c r="D441" s="21">
        <f>VLOOKUP(A441&amp;"|"&amp;B441,$Q$3:$R$16,2,FALSE)</f>
        <v>21750</v>
      </c>
      <c r="E441" s="4"/>
      <c r="F441" s="57">
        <v>9</v>
      </c>
      <c r="G441" s="21">
        <v>2000000</v>
      </c>
      <c r="H441" s="21">
        <f>VLOOKUP(F441&amp;"|"&amp;G441,$O$3:$P$16,2,FALSE)</f>
        <v>7000</v>
      </c>
      <c r="I441" s="21">
        <f>VLOOKUP(F441&amp;"|"&amp;G441,$Q$3:$R$16,2,FALSE)</f>
        <v>93000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0"/>
      <c r="B442" s="21"/>
      <c r="C442" s="21"/>
      <c r="D442" s="21"/>
      <c r="E442" s="4"/>
      <c r="F442" s="20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0"/>
      <c r="B443" s="21"/>
      <c r="C443" s="21"/>
      <c r="D443" s="21"/>
      <c r="E443" s="4"/>
      <c r="F443" s="20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0"/>
      <c r="B444" s="21"/>
      <c r="C444" s="21"/>
      <c r="D444" s="21"/>
      <c r="E444" s="4"/>
      <c r="F444" s="20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0"/>
      <c r="B445" s="21"/>
      <c r="C445" s="21"/>
      <c r="D445" s="21"/>
      <c r="E445" s="4"/>
      <c r="F445" s="20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62" t="s">
        <v>49</v>
      </c>
      <c r="B446" s="53"/>
      <c r="C446" s="54"/>
      <c r="D446" s="21">
        <f>SUM(D441:D445)</f>
        <v>21750</v>
      </c>
      <c r="E446" s="4"/>
      <c r="F446" s="59" t="s">
        <v>49</v>
      </c>
      <c r="G446" s="53"/>
      <c r="H446" s="54"/>
      <c r="I446" s="21">
        <f>SUM(I441:I445)</f>
        <v>93000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31"/>
      <c r="B447" s="2"/>
      <c r="C447" s="2"/>
      <c r="D447" s="2"/>
      <c r="E447" s="4"/>
      <c r="F447" s="31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1" t="s">
        <v>0</v>
      </c>
      <c r="B448" s="12" t="s">
        <v>128</v>
      </c>
      <c r="C448" s="12" t="s">
        <v>101</v>
      </c>
      <c r="D448" s="9">
        <v>46026</v>
      </c>
      <c r="E448" s="4"/>
      <c r="F448" s="11" t="s">
        <v>0</v>
      </c>
      <c r="G448" s="12" t="s">
        <v>153</v>
      </c>
      <c r="H448" s="12" t="s">
        <v>101</v>
      </c>
      <c r="I448" s="9">
        <v>46026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0" t="s">
        <v>6</v>
      </c>
      <c r="B449" s="21" t="s">
        <v>7</v>
      </c>
      <c r="C449" s="21" t="s">
        <v>8</v>
      </c>
      <c r="D449" s="21" t="s">
        <v>9</v>
      </c>
      <c r="E449" s="4"/>
      <c r="F449" s="20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31">
        <v>4</v>
      </c>
      <c r="B450" s="21">
        <v>1000000</v>
      </c>
      <c r="C450" s="21">
        <f>VLOOKUP(A450&amp;"|"&amp;B450,$O$3:$P$16,2,FALSE)</f>
        <v>7750</v>
      </c>
      <c r="D450" s="21">
        <f>VLOOKUP(A450&amp;"|"&amp;B450,$Q$3:$R$16,2,FALSE)</f>
        <v>42250</v>
      </c>
      <c r="E450" s="4"/>
      <c r="F450" s="57">
        <v>4.0999999999999996</v>
      </c>
      <c r="G450" s="21">
        <v>1000000</v>
      </c>
      <c r="H450" s="21">
        <f>VLOOKUP(F450&amp;"|"&amp;G450,$O$3:$P$19,2,FALSE)</f>
        <v>7700</v>
      </c>
      <c r="I450" s="21">
        <f>VLOOKUP(F450&amp;"|"&amp;G450,$Q$3:$R$19,2,FALSE)</f>
        <v>42300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0"/>
      <c r="B451" s="21"/>
      <c r="C451" s="21"/>
      <c r="D451" s="21"/>
      <c r="E451" s="4"/>
      <c r="F451" s="20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0"/>
      <c r="B452" s="21"/>
      <c r="C452" s="21"/>
      <c r="D452" s="21"/>
      <c r="E452" s="4"/>
      <c r="F452" s="20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0"/>
      <c r="B453" s="21"/>
      <c r="C453" s="21"/>
      <c r="D453" s="21"/>
      <c r="E453" s="4"/>
      <c r="F453" s="20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0"/>
      <c r="B454" s="21"/>
      <c r="C454" s="21"/>
      <c r="D454" s="21"/>
      <c r="E454" s="4"/>
      <c r="F454" s="20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62" t="s">
        <v>49</v>
      </c>
      <c r="B455" s="53"/>
      <c r="C455" s="54"/>
      <c r="D455" s="21">
        <f>SUM(D450:D454)</f>
        <v>42250</v>
      </c>
      <c r="E455" s="4"/>
      <c r="F455" s="59" t="s">
        <v>49</v>
      </c>
      <c r="G455" s="53"/>
      <c r="H455" s="54"/>
      <c r="I455" s="21">
        <f>SUM(I450:I454)</f>
        <v>42300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25" thickTop="1" thickBot="1">
      <c r="A456" s="31"/>
      <c r="B456" s="2"/>
      <c r="C456" s="2"/>
      <c r="D456" s="2"/>
      <c r="E456" s="4"/>
      <c r="F456" s="31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1" t="s">
        <v>0</v>
      </c>
      <c r="B457" s="12" t="s">
        <v>35</v>
      </c>
      <c r="C457" s="12" t="s">
        <v>154</v>
      </c>
      <c r="D457" s="9">
        <v>46026</v>
      </c>
      <c r="E457" s="4"/>
      <c r="F457" s="11" t="s">
        <v>0</v>
      </c>
      <c r="G457" s="12" t="s">
        <v>155</v>
      </c>
      <c r="H457" s="12" t="s">
        <v>156</v>
      </c>
      <c r="I457" s="9">
        <v>46026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0" t="s">
        <v>6</v>
      </c>
      <c r="B458" s="21" t="s">
        <v>7</v>
      </c>
      <c r="C458" s="21" t="s">
        <v>8</v>
      </c>
      <c r="D458" s="21" t="s">
        <v>9</v>
      </c>
      <c r="E458" s="4"/>
      <c r="F458" s="20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31">
        <v>20</v>
      </c>
      <c r="B459" s="21">
        <v>500000</v>
      </c>
      <c r="C459" s="21">
        <f>VLOOKUP(A459&amp;"|"&amp;B459,$O$3:$P$16,2,FALSE)</f>
        <v>0</v>
      </c>
      <c r="D459" s="21">
        <f>VLOOKUP(A459&amp;"|"&amp;B459,$Q$3:$R$16,2,FALSE)</f>
        <v>25000</v>
      </c>
      <c r="E459" s="4"/>
      <c r="F459" s="57">
        <v>9</v>
      </c>
      <c r="G459" s="21">
        <v>1000000</v>
      </c>
      <c r="H459" s="21">
        <f>VLOOKUP(F459&amp;"|"&amp;G459,$O$3:$P$17,2,FALSE)</f>
        <v>3250</v>
      </c>
      <c r="I459" s="21">
        <f>VLOOKUP(F459&amp;"|"&amp;G459,$Q$3:$R$17,2,FALSE)</f>
        <v>46750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31">
        <v>9</v>
      </c>
      <c r="B460" s="21">
        <v>1000000</v>
      </c>
      <c r="C460" s="21">
        <f>VLOOKUP(A460&amp;"|"&amp;B460,$O$3:$P$16,2,FALSE)</f>
        <v>3250</v>
      </c>
      <c r="D460" s="21">
        <f>VLOOKUP(A460&amp;"|"&amp;B460,$Q$3:$R$16,2,FALSE)</f>
        <v>46750</v>
      </c>
      <c r="E460" s="4"/>
      <c r="F460" s="20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0"/>
      <c r="B461" s="21"/>
      <c r="C461" s="21"/>
      <c r="D461" s="21"/>
      <c r="E461" s="4"/>
      <c r="F461" s="20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0"/>
      <c r="B462" s="21"/>
      <c r="C462" s="21"/>
      <c r="D462" s="21"/>
      <c r="E462" s="4"/>
      <c r="F462" s="20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0"/>
      <c r="B463" s="21"/>
      <c r="C463" s="21"/>
      <c r="D463" s="21"/>
      <c r="E463" s="4"/>
      <c r="F463" s="20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62" t="s">
        <v>49</v>
      </c>
      <c r="B464" s="53"/>
      <c r="C464" s="54"/>
      <c r="D464" s="21">
        <f>SUM(D459:D463)</f>
        <v>71750</v>
      </c>
      <c r="E464" s="4"/>
      <c r="F464" s="59" t="s">
        <v>49</v>
      </c>
      <c r="G464" s="53"/>
      <c r="H464" s="54"/>
      <c r="I464" s="21">
        <f>SUM(I459:I463)</f>
        <v>46750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25" thickTop="1" thickBot="1">
      <c r="A465" s="31"/>
      <c r="B465" s="2"/>
      <c r="C465" s="2"/>
      <c r="D465" s="2"/>
      <c r="E465" s="4"/>
      <c r="F465" s="31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1" t="s">
        <v>0</v>
      </c>
      <c r="B466" s="12" t="s">
        <v>157</v>
      </c>
      <c r="C466" s="12" t="s">
        <v>48</v>
      </c>
      <c r="D466" s="9">
        <v>46026</v>
      </c>
      <c r="E466" s="4"/>
      <c r="F466" s="11" t="s">
        <v>0</v>
      </c>
      <c r="G466" s="12" t="s">
        <v>59</v>
      </c>
      <c r="H466" s="12" t="s">
        <v>158</v>
      </c>
      <c r="I466" s="9">
        <v>46026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0" t="s">
        <v>6</v>
      </c>
      <c r="B467" s="21" t="s">
        <v>7</v>
      </c>
      <c r="C467" s="21" t="s">
        <v>8</v>
      </c>
      <c r="D467" s="21" t="s">
        <v>9</v>
      </c>
      <c r="E467" s="4"/>
      <c r="F467" s="20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31">
        <v>20</v>
      </c>
      <c r="B468" s="21">
        <v>1000000</v>
      </c>
      <c r="C468" s="21">
        <f>VLOOKUP(A468&amp;"|"&amp;B468,$O$3:$P$16,2,FALSE)</f>
        <v>0</v>
      </c>
      <c r="D468" s="21">
        <f>VLOOKUP(A468&amp;"|"&amp;B468,$Q$3:$R$16,2,FALSE)</f>
        <v>50000</v>
      </c>
      <c r="E468" s="4"/>
      <c r="F468" s="57">
        <v>20</v>
      </c>
      <c r="G468" s="21">
        <v>1000000</v>
      </c>
      <c r="H468" s="21">
        <f>VLOOKUP(F468&amp;"|"&amp;G468,$O$3:$P$16,2,FALSE)</f>
        <v>0</v>
      </c>
      <c r="I468" s="21">
        <f>VLOOKUP(F468&amp;"|"&amp;G468,$Q$3:$R$16,2,FALSE)</f>
        <v>50000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31">
        <v>4</v>
      </c>
      <c r="B469" s="21">
        <v>1000000</v>
      </c>
      <c r="C469" s="21">
        <f>VLOOKUP(A469&amp;"|"&amp;B469,$O$3:$P$17,2,FALSE)</f>
        <v>7750</v>
      </c>
      <c r="D469" s="21">
        <f>VLOOKUP(A469&amp;"|"&amp;B469,$Q$3:$R$17,2,FALSE)</f>
        <v>42250</v>
      </c>
      <c r="E469" s="4"/>
      <c r="F469" s="20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0"/>
      <c r="B470" s="21"/>
      <c r="C470" s="21"/>
      <c r="D470" s="21"/>
      <c r="E470" s="4"/>
      <c r="F470" s="20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0"/>
      <c r="B471" s="21"/>
      <c r="C471" s="21"/>
      <c r="D471" s="21"/>
      <c r="E471" s="4"/>
      <c r="F471" s="20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0"/>
      <c r="B472" s="21"/>
      <c r="C472" s="21"/>
      <c r="D472" s="21"/>
      <c r="E472" s="4"/>
      <c r="F472" s="20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62" t="s">
        <v>49</v>
      </c>
      <c r="B473" s="53"/>
      <c r="C473" s="54"/>
      <c r="D473" s="21">
        <f>SUM(D468:D472)</f>
        <v>92250</v>
      </c>
      <c r="E473" s="4"/>
      <c r="F473" s="59" t="s">
        <v>49</v>
      </c>
      <c r="G473" s="53"/>
      <c r="H473" s="54"/>
      <c r="I473" s="21">
        <f>SUM(I468:I472)</f>
        <v>50000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25" thickTop="1" thickBot="1">
      <c r="A474" s="31"/>
      <c r="B474" s="2"/>
      <c r="C474" s="2"/>
      <c r="D474" s="2"/>
      <c r="E474" s="4"/>
      <c r="F474" s="31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1" t="s">
        <v>0</v>
      </c>
      <c r="B475" s="12" t="s">
        <v>66</v>
      </c>
      <c r="C475" s="12" t="s">
        <v>43</v>
      </c>
      <c r="D475" s="9">
        <v>46026</v>
      </c>
      <c r="E475" s="4"/>
      <c r="F475" s="11" t="s">
        <v>0</v>
      </c>
      <c r="G475" s="12" t="s">
        <v>159</v>
      </c>
      <c r="H475" s="12" t="s">
        <v>41</v>
      </c>
      <c r="I475" s="9">
        <v>46026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0" t="s">
        <v>6</v>
      </c>
      <c r="B476" s="21" t="s">
        <v>7</v>
      </c>
      <c r="C476" s="21" t="s">
        <v>8</v>
      </c>
      <c r="D476" s="21" t="s">
        <v>9</v>
      </c>
      <c r="E476" s="4"/>
      <c r="F476" s="20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31">
        <v>20</v>
      </c>
      <c r="B477" s="21">
        <v>500000</v>
      </c>
      <c r="C477" s="21">
        <f>VLOOKUP(A477&amp;"|"&amp;B477,$O$3:$P$16,2,FALSE)</f>
        <v>0</v>
      </c>
      <c r="D477" s="21">
        <f>VLOOKUP(A477&amp;"|"&amp;B477,$Q$3:$R$16,2,FALSE)</f>
        <v>25000</v>
      </c>
      <c r="E477" s="4"/>
      <c r="F477" s="57">
        <v>4</v>
      </c>
      <c r="G477" s="21">
        <v>500000</v>
      </c>
      <c r="H477" s="21">
        <f>VLOOKUP(F477&amp;"|"&amp;G477,$O$3:$P$16,2,FALSE)</f>
        <v>3250</v>
      </c>
      <c r="I477" s="21">
        <f>VLOOKUP(F477&amp;"|"&amp;G477,$Q$3:$R$16,2,FALSE)</f>
        <v>21750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0"/>
      <c r="B478" s="21"/>
      <c r="C478" s="21"/>
      <c r="D478" s="21"/>
      <c r="E478" s="4"/>
      <c r="F478" s="20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0"/>
      <c r="B479" s="21"/>
      <c r="C479" s="21"/>
      <c r="D479" s="21"/>
      <c r="E479" s="4"/>
      <c r="F479" s="20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0"/>
      <c r="B480" s="21"/>
      <c r="C480" s="21"/>
      <c r="D480" s="21"/>
      <c r="E480" s="4"/>
      <c r="F480" s="20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0"/>
      <c r="B481" s="21"/>
      <c r="C481" s="21"/>
      <c r="D481" s="21"/>
      <c r="E481" s="4"/>
      <c r="F481" s="20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62" t="s">
        <v>49</v>
      </c>
      <c r="B482" s="53"/>
      <c r="C482" s="54"/>
      <c r="D482" s="21">
        <f>SUM(D477:D481)</f>
        <v>25000</v>
      </c>
      <c r="E482" s="4"/>
      <c r="F482" s="59" t="s">
        <v>49</v>
      </c>
      <c r="G482" s="53"/>
      <c r="H482" s="54"/>
      <c r="I482" s="21">
        <f>SUM(I477:I481)</f>
        <v>21750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31"/>
      <c r="B483" s="6"/>
      <c r="C483" s="2"/>
      <c r="D483" s="10"/>
      <c r="E483" s="4"/>
      <c r="F483" s="31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1" t="s">
        <v>0</v>
      </c>
      <c r="B484" s="12" t="s">
        <v>160</v>
      </c>
      <c r="C484" s="12" t="s">
        <v>43</v>
      </c>
      <c r="D484" s="9">
        <v>46026</v>
      </c>
      <c r="E484" s="4"/>
      <c r="F484" s="11" t="s">
        <v>0</v>
      </c>
      <c r="G484" s="12" t="s">
        <v>44</v>
      </c>
      <c r="H484" s="12" t="s">
        <v>43</v>
      </c>
      <c r="I484" s="9">
        <v>46026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0" t="s">
        <v>6</v>
      </c>
      <c r="B485" s="21" t="s">
        <v>7</v>
      </c>
      <c r="C485" s="21" t="s">
        <v>8</v>
      </c>
      <c r="D485" s="21" t="s">
        <v>9</v>
      </c>
      <c r="E485" s="4"/>
      <c r="F485" s="20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31">
        <v>17</v>
      </c>
      <c r="B486" s="21">
        <v>500000</v>
      </c>
      <c r="C486" s="21">
        <f>VLOOKUP(A486&amp;"|"&amp;B486,$O$3:$P$16,2,FALSE)</f>
        <v>400</v>
      </c>
      <c r="D486" s="21">
        <f>VLOOKUP(A486&amp;"|"&amp;B486,$Q$3:$R$16,2,FALSE)</f>
        <v>24600</v>
      </c>
      <c r="E486" s="4"/>
      <c r="F486" s="57">
        <v>9</v>
      </c>
      <c r="G486" s="21">
        <v>500000</v>
      </c>
      <c r="H486" s="21">
        <f>VLOOKUP(F486&amp;"|"&amp;G486,$O$3:$P$16,2,FALSE)</f>
        <v>2000</v>
      </c>
      <c r="I486" s="21">
        <f>VLOOKUP(F486&amp;"|"&amp;G486,$Q$3:$R$16,2,FALSE)</f>
        <v>23000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31">
        <v>17</v>
      </c>
      <c r="B487" s="21">
        <v>500000</v>
      </c>
      <c r="C487" s="21">
        <f>VLOOKUP(A487&amp;"|"&amp;B487,$O$3:$P$16,2,FALSE)</f>
        <v>400</v>
      </c>
      <c r="D487" s="21">
        <f>VLOOKUP(A487&amp;"|"&amp;B487,$Q$3:$R$16,2,FALSE)</f>
        <v>24600</v>
      </c>
      <c r="E487" s="4"/>
      <c r="F487" s="20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0"/>
      <c r="B488" s="21"/>
      <c r="C488" s="21"/>
      <c r="D488" s="21"/>
      <c r="E488" s="4"/>
      <c r="F488" s="20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0"/>
      <c r="B489" s="21"/>
      <c r="C489" s="21"/>
      <c r="D489" s="21"/>
      <c r="E489" s="4"/>
      <c r="F489" s="20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0"/>
      <c r="B490" s="21"/>
      <c r="C490" s="21"/>
      <c r="D490" s="21"/>
      <c r="E490" s="4"/>
      <c r="F490" s="20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62" t="s">
        <v>49</v>
      </c>
      <c r="B491" s="53"/>
      <c r="C491" s="54"/>
      <c r="D491" s="21">
        <f>SUM(D486:D490)</f>
        <v>49200</v>
      </c>
      <c r="E491" s="4"/>
      <c r="F491" s="59" t="s">
        <v>49</v>
      </c>
      <c r="G491" s="53"/>
      <c r="H491" s="54"/>
      <c r="I491" s="21">
        <f>SUM(I486:I490)</f>
        <v>23000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25" thickTop="1" thickBot="1">
      <c r="A492" s="31"/>
      <c r="B492" s="2"/>
      <c r="C492" s="2"/>
      <c r="D492" s="2"/>
      <c r="E492" s="4"/>
      <c r="F492" s="31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1" t="s">
        <v>0</v>
      </c>
      <c r="B493" s="12" t="s">
        <v>161</v>
      </c>
      <c r="C493" s="12" t="s">
        <v>43</v>
      </c>
      <c r="D493" s="9">
        <v>46026</v>
      </c>
      <c r="E493" s="4"/>
      <c r="F493" s="11" t="s">
        <v>0</v>
      </c>
      <c r="G493" s="12" t="s">
        <v>162</v>
      </c>
      <c r="H493" s="12" t="s">
        <v>163</v>
      </c>
      <c r="I493" s="9">
        <v>46026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0" t="s">
        <v>6</v>
      </c>
      <c r="B494" s="21" t="s">
        <v>7</v>
      </c>
      <c r="C494" s="21" t="s">
        <v>8</v>
      </c>
      <c r="D494" s="21" t="s">
        <v>9</v>
      </c>
      <c r="E494" s="4"/>
      <c r="F494" s="20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31">
        <v>14</v>
      </c>
      <c r="B495" s="21">
        <v>500000</v>
      </c>
      <c r="C495" s="21">
        <f>VLOOKUP(A495&amp;"|"&amp;B495,$O$3:$P$16,2,FALSE)</f>
        <v>900</v>
      </c>
      <c r="D495" s="21">
        <f>VLOOKUP(A495&amp;"|"&amp;B495,$Q$3:$R$16,2,FALSE)</f>
        <v>24100</v>
      </c>
      <c r="E495" s="4"/>
      <c r="F495" s="57">
        <v>14</v>
      </c>
      <c r="G495" s="21">
        <v>500000</v>
      </c>
      <c r="H495" s="21">
        <f>VLOOKUP(F495&amp;"|"&amp;G495,$O$3:$P$16,2,FALSE)</f>
        <v>900</v>
      </c>
      <c r="I495" s="21">
        <f>VLOOKUP(F495&amp;"|"&amp;G495,$Q$3:$R$16,2,FALSE)</f>
        <v>24100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0"/>
      <c r="B496" s="21"/>
      <c r="C496" s="21"/>
      <c r="D496" s="21"/>
      <c r="E496" s="4"/>
      <c r="F496" s="57">
        <v>14</v>
      </c>
      <c r="G496" s="21">
        <v>500000</v>
      </c>
      <c r="H496" s="21">
        <f>VLOOKUP(F496&amp;"|"&amp;G496,$O$3:$P$16,2,FALSE)</f>
        <v>900</v>
      </c>
      <c r="I496" s="21">
        <f>VLOOKUP(F496&amp;"|"&amp;G496,$Q$3:$R$16,2,FALSE)</f>
        <v>24100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0"/>
      <c r="B497" s="21"/>
      <c r="C497" s="21"/>
      <c r="D497" s="21"/>
      <c r="E497" s="4"/>
      <c r="F497" s="57">
        <v>9</v>
      </c>
      <c r="G497" s="21">
        <v>500000</v>
      </c>
      <c r="H497" s="21">
        <f>VLOOKUP(F497&amp;"|"&amp;G497,$O$3:$P$17,2,FALSE)</f>
        <v>2000</v>
      </c>
      <c r="I497" s="21">
        <f>VLOOKUP(F497&amp;"|"&amp;G497,$Q$3:$R$17,2,FALSE)</f>
        <v>23000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0"/>
      <c r="B498" s="21"/>
      <c r="C498" s="21"/>
      <c r="D498" s="21"/>
      <c r="E498" s="4"/>
      <c r="F498" s="57">
        <v>4</v>
      </c>
      <c r="G498" s="21">
        <v>1000000</v>
      </c>
      <c r="H498" s="21">
        <f>VLOOKUP(F498&amp;"|"&amp;G498,$O$3:$P$17,2,FALSE)</f>
        <v>7750</v>
      </c>
      <c r="I498" s="21">
        <f>VLOOKUP(F498&amp;"|"&amp;G498,$Q$3:$R$17,2,FALSE)</f>
        <v>42250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0"/>
      <c r="B499" s="21"/>
      <c r="C499" s="21"/>
      <c r="D499" s="21"/>
      <c r="E499" s="4"/>
      <c r="F499" s="20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62" t="s">
        <v>49</v>
      </c>
      <c r="B500" s="53"/>
      <c r="C500" s="54"/>
      <c r="D500" s="21">
        <f>SUM(D495:D499)</f>
        <v>24100</v>
      </c>
      <c r="E500" s="4"/>
      <c r="F500" s="59" t="s">
        <v>49</v>
      </c>
      <c r="G500" s="53"/>
      <c r="H500" s="54"/>
      <c r="I500" s="21">
        <f>SUM(I495:I499)</f>
        <v>113450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2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1" t="s">
        <v>0</v>
      </c>
      <c r="B502" s="12" t="s">
        <v>164</v>
      </c>
      <c r="C502" s="12" t="s">
        <v>165</v>
      </c>
      <c r="D502" s="9">
        <v>46026</v>
      </c>
      <c r="E502" s="4"/>
      <c r="F502" s="11" t="s">
        <v>3</v>
      </c>
      <c r="G502" s="12" t="s">
        <v>166</v>
      </c>
      <c r="H502" s="12" t="s">
        <v>167</v>
      </c>
      <c r="I502" s="9">
        <v>46026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0" t="s">
        <v>6</v>
      </c>
      <c r="B503" s="21" t="s">
        <v>7</v>
      </c>
      <c r="C503" s="21" t="s">
        <v>8</v>
      </c>
      <c r="D503" s="21" t="s">
        <v>9</v>
      </c>
      <c r="E503" s="4"/>
      <c r="F503" s="20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31">
        <v>9</v>
      </c>
      <c r="B504" s="21">
        <v>2000000</v>
      </c>
      <c r="C504" s="21">
        <f>VLOOKUP(A504&amp;"|"&amp;B504,$O$3:$P$16,2,FALSE)</f>
        <v>7000</v>
      </c>
      <c r="D504" s="21">
        <f>VLOOKUP(A504&amp;"|"&amp;B504,$Q$3:$R$16,2,FALSE)</f>
        <v>93000</v>
      </c>
      <c r="E504" s="4"/>
      <c r="F504" s="57">
        <v>9</v>
      </c>
      <c r="G504" s="21">
        <v>500000</v>
      </c>
      <c r="H504" s="21">
        <f>VLOOKUP(F504&amp;"|"&amp;G504,$O$3:$P$17,2,FALSE)</f>
        <v>2000</v>
      </c>
      <c r="I504" s="21">
        <f>VLOOKUP(F504&amp;"|"&amp;G504,$Q$3:$R$17,2,FALSE)</f>
        <v>23000</v>
      </c>
    </row>
    <row r="505" spans="1:26" ht="20.25" thickTop="1" thickBot="1">
      <c r="A505" s="20"/>
      <c r="B505" s="21"/>
      <c r="C505" s="21"/>
      <c r="D505" s="21"/>
      <c r="E505" s="4"/>
      <c r="F505" s="20"/>
      <c r="G505" s="21"/>
      <c r="H505" s="21"/>
      <c r="I505" s="21"/>
    </row>
    <row r="506" spans="1:26" ht="20.25" thickTop="1" thickBot="1">
      <c r="A506" s="20"/>
      <c r="B506" s="21"/>
      <c r="C506" s="21"/>
      <c r="D506" s="21"/>
      <c r="E506" s="4"/>
      <c r="F506" s="20"/>
      <c r="G506" s="21"/>
      <c r="H506" s="21"/>
      <c r="I506" s="21"/>
    </row>
    <row r="507" spans="1:26" ht="20.25" thickTop="1" thickBot="1">
      <c r="A507" s="20"/>
      <c r="B507" s="21"/>
      <c r="C507" s="21"/>
      <c r="D507" s="21"/>
      <c r="E507" s="4"/>
      <c r="F507" s="20"/>
      <c r="G507" s="21"/>
      <c r="H507" s="21"/>
      <c r="I507" s="21"/>
    </row>
    <row r="508" spans="1:26" ht="20.25" thickTop="1" thickBot="1">
      <c r="A508" s="20"/>
      <c r="B508" s="21"/>
      <c r="C508" s="21"/>
      <c r="D508" s="21"/>
      <c r="E508" s="4"/>
      <c r="F508" s="20"/>
      <c r="G508" s="21"/>
      <c r="H508" s="21"/>
      <c r="I508" s="21"/>
    </row>
    <row r="509" spans="1:26" ht="20.25" thickTop="1" thickBot="1">
      <c r="A509" s="62" t="s">
        <v>49</v>
      </c>
      <c r="B509" s="53"/>
      <c r="C509" s="54"/>
      <c r="D509" s="21">
        <f>SUM(D504:D508)</f>
        <v>93000</v>
      </c>
      <c r="E509" s="4"/>
      <c r="F509" s="62" t="s">
        <v>49</v>
      </c>
      <c r="G509" s="53"/>
      <c r="H509" s="54"/>
      <c r="I509" s="21">
        <f>SUM(I504:I508)</f>
        <v>23000</v>
      </c>
    </row>
    <row r="510" spans="1:26" ht="17.25" thickTop="1" thickBot="1"/>
    <row r="511" spans="1:26" ht="20.25" thickTop="1" thickBot="1">
      <c r="A511" s="11" t="s">
        <v>0</v>
      </c>
      <c r="B511" s="12" t="s">
        <v>146</v>
      </c>
      <c r="C511" s="12" t="s">
        <v>38</v>
      </c>
      <c r="D511" s="9">
        <v>46026</v>
      </c>
      <c r="E511" s="4"/>
      <c r="F511" s="11" t="s">
        <v>3</v>
      </c>
      <c r="G511" s="12" t="s">
        <v>57</v>
      </c>
      <c r="H511" s="12" t="s">
        <v>168</v>
      </c>
      <c r="I511" s="9">
        <v>46026</v>
      </c>
    </row>
    <row r="512" spans="1:26" ht="20.25" thickTop="1" thickBot="1">
      <c r="A512" s="20" t="s">
        <v>6</v>
      </c>
      <c r="B512" s="21" t="s">
        <v>7</v>
      </c>
      <c r="C512" s="21" t="s">
        <v>8</v>
      </c>
      <c r="D512" s="21" t="s">
        <v>9</v>
      </c>
      <c r="E512" s="4"/>
      <c r="F512" s="20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31">
        <v>9</v>
      </c>
      <c r="B513" s="21">
        <v>500000</v>
      </c>
      <c r="C513" s="21">
        <f>VLOOKUP(A513&amp;"|"&amp;B513,$O$3:$P$17,2,FALSE)</f>
        <v>2000</v>
      </c>
      <c r="D513" s="21">
        <f>VLOOKUP(A513&amp;"|"&amp;B513,$Q$3:$R$17,2,FALSE)</f>
        <v>23000</v>
      </c>
      <c r="E513" s="4"/>
      <c r="F513" s="57">
        <v>9</v>
      </c>
      <c r="G513" s="21">
        <v>500000</v>
      </c>
      <c r="H513" s="21">
        <f>VLOOKUP(F513&amp;"|"&amp;G513,$O$3:$P$17,2,FALSE)</f>
        <v>2000</v>
      </c>
      <c r="I513" s="21">
        <f>VLOOKUP(F513&amp;"|"&amp;G513,$Q$3:$R$17,2,FALSE)</f>
        <v>23000</v>
      </c>
    </row>
    <row r="514" spans="1:9" ht="20.25" thickTop="1" thickBot="1">
      <c r="A514" s="20"/>
      <c r="B514" s="21"/>
      <c r="C514" s="21"/>
      <c r="D514" s="21"/>
      <c r="E514" s="4"/>
      <c r="F514" s="20"/>
      <c r="G514" s="21"/>
      <c r="H514" s="21"/>
      <c r="I514" s="21"/>
    </row>
    <row r="515" spans="1:9" ht="20.25" thickTop="1" thickBot="1">
      <c r="A515" s="20"/>
      <c r="B515" s="21"/>
      <c r="C515" s="21"/>
      <c r="D515" s="21"/>
      <c r="E515" s="4"/>
      <c r="F515" s="20"/>
      <c r="G515" s="21"/>
      <c r="H515" s="21"/>
      <c r="I515" s="21"/>
    </row>
    <row r="516" spans="1:9" ht="20.25" thickTop="1" thickBot="1">
      <c r="A516" s="20"/>
      <c r="B516" s="21"/>
      <c r="C516" s="21"/>
      <c r="D516" s="21"/>
      <c r="E516" s="4"/>
      <c r="F516" s="20"/>
      <c r="G516" s="21"/>
      <c r="H516" s="21"/>
      <c r="I516" s="21"/>
    </row>
    <row r="517" spans="1:9" ht="20.25" thickTop="1" thickBot="1">
      <c r="A517" s="20"/>
      <c r="B517" s="21"/>
      <c r="C517" s="21"/>
      <c r="D517" s="21"/>
      <c r="E517" s="4"/>
      <c r="F517" s="20"/>
      <c r="G517" s="21"/>
      <c r="H517" s="21"/>
      <c r="I517" s="21"/>
    </row>
    <row r="518" spans="1:9" ht="20.25" thickTop="1" thickBot="1">
      <c r="A518" s="62" t="s">
        <v>49</v>
      </c>
      <c r="B518" s="53"/>
      <c r="C518" s="54"/>
      <c r="D518" s="21">
        <f>SUM(D513:D517)</f>
        <v>23000</v>
      </c>
      <c r="E518" s="4"/>
      <c r="F518" s="59" t="s">
        <v>25</v>
      </c>
      <c r="G518" s="53"/>
      <c r="H518" s="54"/>
      <c r="I518" s="21">
        <f>SUM(I513:I517)</f>
        <v>23000</v>
      </c>
    </row>
    <row r="519" spans="1:9" ht="17.25" thickTop="1" thickBot="1"/>
    <row r="520" spans="1:9" ht="20.25" thickTop="1" thickBot="1">
      <c r="A520" s="11" t="s">
        <v>3</v>
      </c>
      <c r="B520" s="12" t="s">
        <v>169</v>
      </c>
      <c r="C520" s="12" t="s">
        <v>170</v>
      </c>
      <c r="D520" s="9">
        <v>46026</v>
      </c>
      <c r="F520" s="11" t="s">
        <v>3</v>
      </c>
      <c r="G520" s="12" t="s">
        <v>171</v>
      </c>
      <c r="H520" s="12" t="s">
        <v>172</v>
      </c>
      <c r="I520" s="9">
        <v>46026</v>
      </c>
    </row>
    <row r="521" spans="1:9" ht="20.25" thickTop="1" thickBot="1">
      <c r="A521" s="20" t="s">
        <v>6</v>
      </c>
      <c r="B521" s="21" t="s">
        <v>7</v>
      </c>
      <c r="C521" s="21" t="s">
        <v>8</v>
      </c>
      <c r="D521" s="21" t="s">
        <v>9</v>
      </c>
      <c r="F521" s="20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31">
        <v>20</v>
      </c>
      <c r="B522" s="21">
        <v>500000</v>
      </c>
      <c r="C522" s="21">
        <f>VLOOKUP(A522&amp;"|"&amp;B522,$O$3:$P$17,2,FALSE)</f>
        <v>0</v>
      </c>
      <c r="D522" s="21">
        <f>VLOOKUP(A522&amp;"|"&amp;B522,$Q$3:$R$17,2,FALSE)</f>
        <v>25000</v>
      </c>
      <c r="F522" s="57">
        <v>9</v>
      </c>
      <c r="G522" s="21">
        <v>1000000</v>
      </c>
      <c r="H522" s="21">
        <f>VLOOKUP(F522&amp;"|"&amp;G522,$O$3:$P$17,2,FALSE)</f>
        <v>3250</v>
      </c>
      <c r="I522" s="21">
        <f>VLOOKUP(F522&amp;"|"&amp;G522,$Q$3:$R$17,2,FALSE)</f>
        <v>46750</v>
      </c>
    </row>
    <row r="523" spans="1:9" ht="20.25" thickTop="1" thickBot="1">
      <c r="A523" s="20"/>
      <c r="B523" s="21"/>
      <c r="C523" s="21"/>
      <c r="D523" s="21"/>
      <c r="F523" s="57">
        <v>9</v>
      </c>
      <c r="G523" s="21">
        <v>1000000</v>
      </c>
      <c r="H523" s="21">
        <f>VLOOKUP(F523&amp;"|"&amp;G523,$O$3:$P$17,2,FALSE)</f>
        <v>3250</v>
      </c>
      <c r="I523" s="21">
        <f>VLOOKUP(F523&amp;"|"&amp;G523,$Q$3:$R$17,2,FALSE)</f>
        <v>46750</v>
      </c>
    </row>
    <row r="524" spans="1:9" ht="20.25" thickTop="1" thickBot="1">
      <c r="A524" s="20"/>
      <c r="B524" s="21"/>
      <c r="C524" s="21"/>
      <c r="D524" s="21"/>
      <c r="F524" s="20"/>
      <c r="G524" s="21"/>
      <c r="H524" s="21"/>
      <c r="I524" s="21"/>
    </row>
    <row r="525" spans="1:9" ht="20.25" thickTop="1" thickBot="1">
      <c r="A525" s="20"/>
      <c r="B525" s="21"/>
      <c r="C525" s="21"/>
      <c r="D525" s="21"/>
      <c r="F525" s="20"/>
      <c r="G525" s="21"/>
      <c r="H525" s="21"/>
      <c r="I525" s="21"/>
    </row>
    <row r="526" spans="1:9" ht="20.25" thickTop="1" thickBot="1">
      <c r="A526" s="20"/>
      <c r="B526" s="21"/>
      <c r="C526" s="21"/>
      <c r="D526" s="21"/>
      <c r="F526" s="20"/>
      <c r="G526" s="21"/>
      <c r="H526" s="21"/>
      <c r="I526" s="21"/>
    </row>
    <row r="527" spans="1:9" ht="20.25" thickTop="1" thickBot="1">
      <c r="A527" s="62" t="s">
        <v>49</v>
      </c>
      <c r="B527" s="53"/>
      <c r="C527" s="54"/>
      <c r="D527" s="21">
        <f>SUM(D522:D526)</f>
        <v>25000</v>
      </c>
      <c r="F527" s="59" t="s">
        <v>25</v>
      </c>
      <c r="G527" s="53"/>
      <c r="H527" s="54"/>
      <c r="I527" s="21">
        <f>SUM(I522:I526)</f>
        <v>93500</v>
      </c>
    </row>
    <row r="528" spans="1:9" ht="17.25" thickTop="1" thickBot="1"/>
    <row r="529" spans="1:9" ht="20.25" thickTop="1" thickBot="1">
      <c r="A529" s="11" t="s">
        <v>3</v>
      </c>
      <c r="B529" s="12" t="s">
        <v>61</v>
      </c>
      <c r="C529" s="12" t="s">
        <v>173</v>
      </c>
      <c r="D529" s="9">
        <v>46026</v>
      </c>
      <c r="F529" s="11" t="s">
        <v>3</v>
      </c>
      <c r="G529" s="12" t="s">
        <v>174</v>
      </c>
      <c r="H529" s="12" t="s">
        <v>175</v>
      </c>
      <c r="I529" s="9">
        <v>46026</v>
      </c>
    </row>
    <row r="530" spans="1:9" ht="20.25" thickTop="1" thickBot="1">
      <c r="A530" s="20" t="s">
        <v>6</v>
      </c>
      <c r="B530" s="21" t="s">
        <v>7</v>
      </c>
      <c r="C530" s="21" t="s">
        <v>8</v>
      </c>
      <c r="D530" s="21" t="s">
        <v>9</v>
      </c>
      <c r="F530" s="20" t="s">
        <v>6</v>
      </c>
      <c r="G530" s="21" t="s">
        <v>7</v>
      </c>
      <c r="H530" s="21" t="s">
        <v>8</v>
      </c>
      <c r="I530" s="21" t="s">
        <v>9</v>
      </c>
    </row>
    <row r="531" spans="1:9" ht="20.25" thickTop="1" thickBot="1">
      <c r="A531" s="31">
        <v>4</v>
      </c>
      <c r="B531" s="21">
        <v>1000000</v>
      </c>
      <c r="C531" s="21">
        <f>VLOOKUP(A531&amp;"|"&amp;B531,$O$3:$P$17,2,FALSE)</f>
        <v>7750</v>
      </c>
      <c r="D531" s="21">
        <f>VLOOKUP(A531&amp;"|"&amp;B531,$Q$3:$R$17,2,FALSE)</f>
        <v>42250</v>
      </c>
      <c r="F531" s="57">
        <v>9</v>
      </c>
      <c r="G531" s="21">
        <v>2000000</v>
      </c>
      <c r="H531" s="21">
        <f>VLOOKUP(F531&amp;"|"&amp;G531,$O$3:$P$17,2,FALSE)</f>
        <v>7000</v>
      </c>
      <c r="I531" s="21">
        <f>VLOOKUP(F531&amp;"|"&amp;G531,$Q$3:$R$17,2,FALSE)</f>
        <v>93000</v>
      </c>
    </row>
    <row r="532" spans="1:9" ht="20.25" thickTop="1" thickBot="1">
      <c r="A532" s="31">
        <v>4.0999999999999996</v>
      </c>
      <c r="B532" s="21">
        <v>1000000</v>
      </c>
      <c r="C532" s="21">
        <f>VLOOKUP(A532&amp;"|"&amp;B532,$O$3:$P$17,2,FALSE)</f>
        <v>7700</v>
      </c>
      <c r="D532" s="21">
        <f>VLOOKUP(A532&amp;"|"&amp;B532,$Q$3:$R$17,2,FALSE)</f>
        <v>42300</v>
      </c>
      <c r="F532" s="20"/>
      <c r="G532" s="21"/>
      <c r="H532" s="21"/>
      <c r="I532" s="21"/>
    </row>
    <row r="533" spans="1:9" ht="20.25" thickTop="1" thickBot="1">
      <c r="A533" s="20"/>
      <c r="B533" s="21"/>
      <c r="C533" s="21"/>
      <c r="D533" s="21"/>
      <c r="F533" s="20"/>
      <c r="G533" s="21"/>
      <c r="H533" s="21"/>
      <c r="I533" s="21"/>
    </row>
    <row r="534" spans="1:9" ht="20.25" thickTop="1" thickBot="1">
      <c r="A534" s="20"/>
      <c r="B534" s="21"/>
      <c r="C534" s="21"/>
      <c r="D534" s="21"/>
      <c r="F534" s="20"/>
      <c r="G534" s="21"/>
      <c r="H534" s="21"/>
      <c r="I534" s="21"/>
    </row>
    <row r="535" spans="1:9" ht="20.25" thickTop="1" thickBot="1">
      <c r="A535" s="20"/>
      <c r="B535" s="21"/>
      <c r="C535" s="21"/>
      <c r="D535" s="21"/>
      <c r="F535" s="20"/>
      <c r="G535" s="21"/>
      <c r="H535" s="21"/>
      <c r="I535" s="21"/>
    </row>
    <row r="536" spans="1:9" ht="20.25" thickTop="1" thickBot="1">
      <c r="A536" s="62" t="s">
        <v>49</v>
      </c>
      <c r="B536" s="53"/>
      <c r="C536" s="54"/>
      <c r="D536" s="21">
        <f>SUM(D531:D535)</f>
        <v>84550</v>
      </c>
      <c r="F536" s="62" t="s">
        <v>49</v>
      </c>
      <c r="G536" s="53"/>
      <c r="H536" s="54"/>
      <c r="I536" s="21">
        <f>SUM(I531:I535)</f>
        <v>93000</v>
      </c>
    </row>
    <row r="537" spans="1:9" ht="17.25" thickTop="1" thickBot="1"/>
    <row r="538" spans="1:9" ht="20.25" thickTop="1" thickBot="1">
      <c r="A538" s="63" t="s">
        <v>3</v>
      </c>
      <c r="B538" s="64" t="s">
        <v>176</v>
      </c>
      <c r="C538" s="64" t="s">
        <v>173</v>
      </c>
      <c r="D538" s="65">
        <v>46026</v>
      </c>
      <c r="E538" s="18"/>
      <c r="F538" s="63" t="s">
        <v>3</v>
      </c>
      <c r="G538" s="64" t="s">
        <v>1</v>
      </c>
      <c r="H538" s="64" t="s">
        <v>173</v>
      </c>
      <c r="I538" s="65">
        <v>46026</v>
      </c>
    </row>
    <row r="539" spans="1:9" ht="20.25" thickTop="1" thickBot="1">
      <c r="A539" s="66" t="s">
        <v>6</v>
      </c>
      <c r="B539" s="67" t="s">
        <v>7</v>
      </c>
      <c r="C539" s="67" t="s">
        <v>8</v>
      </c>
      <c r="D539" s="67" t="s">
        <v>9</v>
      </c>
      <c r="E539" s="18"/>
      <c r="F539" s="66" t="s">
        <v>6</v>
      </c>
      <c r="G539" s="67" t="s">
        <v>7</v>
      </c>
      <c r="H539" s="67" t="s">
        <v>8</v>
      </c>
      <c r="I539" s="67" t="s">
        <v>9</v>
      </c>
    </row>
    <row r="540" spans="1:9" ht="20.25" thickTop="1" thickBot="1">
      <c r="A540" s="68">
        <v>4.0999999999999996</v>
      </c>
      <c r="B540" s="67">
        <v>1000000</v>
      </c>
      <c r="C540" s="67">
        <f>VLOOKUP(A540&amp;"|"&amp;B540,$O$3:$P$17,2,FALSE)</f>
        <v>7700</v>
      </c>
      <c r="D540" s="67">
        <f>VLOOKUP(A540&amp;"|"&amp;B540,$Q$3:$R$17,2,FALSE)</f>
        <v>42300</v>
      </c>
      <c r="E540" s="18"/>
      <c r="F540" s="69">
        <v>4</v>
      </c>
      <c r="G540" s="67">
        <v>1000000</v>
      </c>
      <c r="H540" s="67">
        <f>VLOOKUP(F540&amp;"|"&amp;G540,$O$3:$P$17,2,FALSE)</f>
        <v>7750</v>
      </c>
      <c r="I540" s="67">
        <f>VLOOKUP(F540&amp;"|"&amp;G540,$Q$3:$R$17,2,FALSE)</f>
        <v>42250</v>
      </c>
    </row>
    <row r="541" spans="1:9" ht="20.25" thickTop="1" thickBot="1">
      <c r="A541" s="66"/>
      <c r="B541" s="67"/>
      <c r="C541" s="67"/>
      <c r="D541" s="67"/>
      <c r="E541" s="18"/>
      <c r="F541" s="69">
        <v>4.0999999999999996</v>
      </c>
      <c r="G541" s="67">
        <v>1000000</v>
      </c>
      <c r="H541" s="67">
        <f>VLOOKUP(F541&amp;"|"&amp;G541,$O$3:$P$17,2,FALSE)</f>
        <v>7700</v>
      </c>
      <c r="I541" s="67">
        <f>VLOOKUP(F541&amp;"|"&amp;G541,$Q$3:$R$17,2,FALSE)</f>
        <v>42300</v>
      </c>
    </row>
    <row r="542" spans="1:9" ht="20.25" thickTop="1" thickBot="1">
      <c r="A542" s="66"/>
      <c r="B542" s="67"/>
      <c r="C542" s="67"/>
      <c r="D542" s="67"/>
      <c r="E542" s="18"/>
      <c r="F542" s="66"/>
      <c r="G542" s="67"/>
      <c r="H542" s="67"/>
      <c r="I542" s="67"/>
    </row>
    <row r="543" spans="1:9" ht="20.25" thickTop="1" thickBot="1">
      <c r="A543" s="66"/>
      <c r="B543" s="67"/>
      <c r="C543" s="67"/>
      <c r="D543" s="67"/>
      <c r="E543" s="18"/>
      <c r="F543" s="66"/>
      <c r="G543" s="67"/>
      <c r="H543" s="67"/>
      <c r="I543" s="67"/>
    </row>
    <row r="544" spans="1:9" ht="20.25" thickTop="1" thickBot="1">
      <c r="A544" s="66"/>
      <c r="B544" s="67"/>
      <c r="C544" s="67"/>
      <c r="D544" s="67"/>
      <c r="E544" s="18"/>
      <c r="F544" s="66"/>
      <c r="G544" s="67"/>
      <c r="H544" s="67"/>
      <c r="I544" s="67"/>
    </row>
    <row r="545" spans="1:9" ht="20.25" thickTop="1" thickBot="1">
      <c r="A545" s="72" t="s">
        <v>49</v>
      </c>
      <c r="B545" s="70"/>
      <c r="C545" s="71"/>
      <c r="D545" s="67">
        <f>SUM(D540:D544)</f>
        <v>42300</v>
      </c>
      <c r="E545" s="18"/>
      <c r="F545" s="72" t="s">
        <v>49</v>
      </c>
      <c r="G545" s="70"/>
      <c r="H545" s="71"/>
      <c r="I545" s="67">
        <f>SUM(I540:I544)</f>
        <v>84550</v>
      </c>
    </row>
    <row r="546" spans="1:9" ht="17.25" thickTop="1" thickBot="1">
      <c r="A546" s="68"/>
      <c r="B546" s="18"/>
      <c r="C546" s="18"/>
      <c r="D546" s="18"/>
      <c r="E546" s="18"/>
      <c r="F546" s="69"/>
      <c r="G546" s="18"/>
      <c r="H546" s="18"/>
      <c r="I546" s="18"/>
    </row>
    <row r="547" spans="1:9" ht="20.25" thickTop="1" thickBot="1">
      <c r="A547" s="63" t="s">
        <v>3</v>
      </c>
      <c r="B547" s="64" t="s">
        <v>177</v>
      </c>
      <c r="C547" s="64" t="s">
        <v>178</v>
      </c>
      <c r="D547" s="65">
        <v>46026</v>
      </c>
      <c r="E547" s="18"/>
      <c r="F547" s="63" t="s">
        <v>3</v>
      </c>
      <c r="G547" s="64" t="s">
        <v>73</v>
      </c>
      <c r="H547" s="64" t="s">
        <v>48</v>
      </c>
      <c r="I547" s="65">
        <v>46026</v>
      </c>
    </row>
    <row r="548" spans="1:9" ht="20.25" thickTop="1" thickBot="1">
      <c r="A548" s="66" t="s">
        <v>6</v>
      </c>
      <c r="B548" s="67" t="s">
        <v>7</v>
      </c>
      <c r="C548" s="67" t="s">
        <v>8</v>
      </c>
      <c r="D548" s="67" t="s">
        <v>9</v>
      </c>
      <c r="E548" s="18"/>
      <c r="F548" s="66" t="s">
        <v>6</v>
      </c>
      <c r="G548" s="67" t="s">
        <v>7</v>
      </c>
      <c r="H548" s="67" t="s">
        <v>8</v>
      </c>
      <c r="I548" s="67" t="s">
        <v>9</v>
      </c>
    </row>
    <row r="549" spans="1:9" ht="20.25" thickTop="1" thickBot="1">
      <c r="A549" s="68">
        <v>4.0999999999999996</v>
      </c>
      <c r="B549" s="67">
        <v>1000000</v>
      </c>
      <c r="C549" s="67">
        <f>VLOOKUP(A549&amp;"|"&amp;B549,$O$3:$P$17,2,FALSE)</f>
        <v>7700</v>
      </c>
      <c r="D549" s="67">
        <f>VLOOKUP(A549&amp;"|"&amp;B549,$Q$3:$R$17,2,FALSE)</f>
        <v>42300</v>
      </c>
      <c r="E549" s="18"/>
      <c r="F549" s="69">
        <v>4.0999999999999996</v>
      </c>
      <c r="G549" s="67">
        <v>1000000</v>
      </c>
      <c r="H549" s="67">
        <f>VLOOKUP(F549&amp;"|"&amp;G549,$O$3:$P$17,2,FALSE)</f>
        <v>7700</v>
      </c>
      <c r="I549" s="67">
        <f>VLOOKUP(F549&amp;"|"&amp;G549,$Q$3:$R$17,2,FALSE)</f>
        <v>42300</v>
      </c>
    </row>
    <row r="550" spans="1:9" ht="20.25" thickTop="1" thickBot="1">
      <c r="A550" s="66"/>
      <c r="B550" s="67"/>
      <c r="C550" s="67"/>
      <c r="D550" s="67"/>
      <c r="E550" s="18"/>
      <c r="F550" s="66"/>
      <c r="G550" s="67"/>
      <c r="H550" s="67"/>
      <c r="I550" s="67"/>
    </row>
    <row r="551" spans="1:9" ht="20.25" thickTop="1" thickBot="1">
      <c r="A551" s="66"/>
      <c r="B551" s="67"/>
      <c r="C551" s="67"/>
      <c r="D551" s="67"/>
      <c r="E551" s="18"/>
      <c r="F551" s="66"/>
      <c r="G551" s="67"/>
      <c r="H551" s="67"/>
      <c r="I551" s="67"/>
    </row>
    <row r="552" spans="1:9" ht="20.25" thickTop="1" thickBot="1">
      <c r="A552" s="66"/>
      <c r="B552" s="67"/>
      <c r="C552" s="67"/>
      <c r="D552" s="67"/>
      <c r="E552" s="18"/>
      <c r="F552" s="66"/>
      <c r="G552" s="67"/>
      <c r="H552" s="67"/>
      <c r="I552" s="67"/>
    </row>
    <row r="553" spans="1:9" ht="20.25" thickTop="1" thickBot="1">
      <c r="A553" s="66"/>
      <c r="B553" s="67"/>
      <c r="C553" s="67"/>
      <c r="D553" s="67"/>
      <c r="E553" s="18"/>
      <c r="F553" s="66"/>
      <c r="G553" s="67"/>
      <c r="H553" s="67"/>
      <c r="I553" s="67"/>
    </row>
    <row r="554" spans="1:9" ht="20.25" thickTop="1" thickBot="1">
      <c r="A554" s="72" t="s">
        <v>49</v>
      </c>
      <c r="B554" s="70"/>
      <c r="C554" s="71"/>
      <c r="D554" s="67">
        <f>SUM(D549:D553)</f>
        <v>42300</v>
      </c>
      <c r="E554" s="18"/>
      <c r="F554" s="72" t="s">
        <v>49</v>
      </c>
      <c r="G554" s="70"/>
      <c r="H554" s="71"/>
      <c r="I554" s="67">
        <f>SUM(I549:I553)</f>
        <v>42300</v>
      </c>
    </row>
    <row r="555" spans="1:9" ht="17.25" thickTop="1" thickBot="1">
      <c r="A555" s="68"/>
      <c r="B555" s="18"/>
      <c r="C555" s="18"/>
      <c r="D555" s="18"/>
      <c r="E555" s="18"/>
      <c r="F555" s="69"/>
      <c r="G555" s="18"/>
      <c r="H555" s="18"/>
      <c r="I555" s="18"/>
    </row>
    <row r="556" spans="1:9" ht="20.25" thickTop="1" thickBot="1">
      <c r="A556" s="63" t="s">
        <v>3</v>
      </c>
      <c r="B556" s="64" t="s">
        <v>124</v>
      </c>
      <c r="C556" s="64" t="s">
        <v>24</v>
      </c>
      <c r="D556" s="65">
        <v>46026</v>
      </c>
      <c r="E556" s="18"/>
      <c r="F556" s="63" t="s">
        <v>3</v>
      </c>
      <c r="G556" s="64" t="s">
        <v>73</v>
      </c>
      <c r="H556" s="64" t="s">
        <v>179</v>
      </c>
      <c r="I556" s="65">
        <v>46026</v>
      </c>
    </row>
    <row r="557" spans="1:9" ht="20.25" thickTop="1" thickBot="1">
      <c r="A557" s="66" t="s">
        <v>6</v>
      </c>
      <c r="B557" s="67" t="s">
        <v>7</v>
      </c>
      <c r="C557" s="67" t="s">
        <v>8</v>
      </c>
      <c r="D557" s="67" t="s">
        <v>9</v>
      </c>
      <c r="E557" s="18"/>
      <c r="F557" s="66" t="s">
        <v>6</v>
      </c>
      <c r="G557" s="67" t="s">
        <v>7</v>
      </c>
      <c r="H557" s="67" t="s">
        <v>8</v>
      </c>
      <c r="I557" s="67" t="s">
        <v>9</v>
      </c>
    </row>
    <row r="558" spans="1:9" ht="20.25" thickTop="1" thickBot="1">
      <c r="A558" s="68">
        <v>4.0999999999999996</v>
      </c>
      <c r="B558" s="67">
        <v>1000000</v>
      </c>
      <c r="C558" s="67">
        <f>VLOOKUP(A558&amp;"|"&amp;B558,$O$3:$P$17,2,FALSE)</f>
        <v>7700</v>
      </c>
      <c r="D558" s="67">
        <f>VLOOKUP(A558&amp;"|"&amp;B558,$Q$3:$R$17,2,FALSE)</f>
        <v>42300</v>
      </c>
      <c r="E558" s="18"/>
      <c r="F558" s="69">
        <v>4</v>
      </c>
      <c r="G558" s="67">
        <v>500000</v>
      </c>
      <c r="H558" s="67">
        <f>VLOOKUP(F558&amp;"|"&amp;G558,$O$3:$P$17,2,FALSE)</f>
        <v>3250</v>
      </c>
      <c r="I558" s="67">
        <f>VLOOKUP(F558&amp;"|"&amp;G558,$Q$3:$R$17,2,FALSE)</f>
        <v>21750</v>
      </c>
    </row>
    <row r="559" spans="1:9" ht="20.25" thickTop="1" thickBot="1">
      <c r="A559" s="66"/>
      <c r="B559" s="67"/>
      <c r="C559" s="67"/>
      <c r="D559" s="67"/>
      <c r="E559" s="18"/>
      <c r="F559" s="66"/>
      <c r="G559" s="67"/>
      <c r="H559" s="67"/>
      <c r="I559" s="67"/>
    </row>
    <row r="560" spans="1:9" ht="20.25" thickTop="1" thickBot="1">
      <c r="A560" s="66"/>
      <c r="B560" s="67"/>
      <c r="C560" s="67"/>
      <c r="D560" s="67"/>
      <c r="E560" s="18"/>
      <c r="F560" s="66"/>
      <c r="G560" s="67"/>
      <c r="H560" s="67"/>
      <c r="I560" s="67"/>
    </row>
    <row r="561" spans="1:9" ht="20.25" thickTop="1" thickBot="1">
      <c r="A561" s="66"/>
      <c r="B561" s="67"/>
      <c r="C561" s="67"/>
      <c r="D561" s="67"/>
      <c r="E561" s="18"/>
      <c r="F561" s="66"/>
      <c r="G561" s="67"/>
      <c r="H561" s="67"/>
      <c r="I561" s="67"/>
    </row>
    <row r="562" spans="1:9" ht="20.25" thickTop="1" thickBot="1">
      <c r="A562" s="66"/>
      <c r="B562" s="67"/>
      <c r="C562" s="67"/>
      <c r="D562" s="67"/>
      <c r="E562" s="18"/>
      <c r="F562" s="66"/>
      <c r="G562" s="67"/>
      <c r="H562" s="67"/>
      <c r="I562" s="67"/>
    </row>
    <row r="563" spans="1:9" ht="20.25" thickTop="1" thickBot="1">
      <c r="A563" s="72" t="s">
        <v>49</v>
      </c>
      <c r="B563" s="70"/>
      <c r="C563" s="71"/>
      <c r="D563" s="67">
        <f>SUM(D558:D562)</f>
        <v>42300</v>
      </c>
      <c r="E563" s="18"/>
      <c r="F563" s="72" t="s">
        <v>49</v>
      </c>
      <c r="G563" s="70"/>
      <c r="H563" s="71"/>
      <c r="I563" s="67">
        <f>SUM(I558:I562)</f>
        <v>21750</v>
      </c>
    </row>
    <row r="564" spans="1:9" ht="17.25" thickTop="1" thickBot="1">
      <c r="A564" s="68"/>
      <c r="B564" s="18"/>
      <c r="C564" s="18"/>
      <c r="D564" s="18"/>
      <c r="E564" s="18"/>
      <c r="F564" s="69"/>
      <c r="G564" s="18"/>
      <c r="H564" s="18"/>
      <c r="I564" s="18"/>
    </row>
    <row r="565" spans="1:9" ht="20.25" thickTop="1" thickBot="1">
      <c r="A565" s="63" t="s">
        <v>3</v>
      </c>
      <c r="B565" s="64" t="s">
        <v>180</v>
      </c>
      <c r="C565" s="64" t="s">
        <v>181</v>
      </c>
      <c r="D565" s="65">
        <v>46026</v>
      </c>
      <c r="E565" s="18"/>
      <c r="F565" s="63" t="s">
        <v>3</v>
      </c>
      <c r="G565" s="64" t="s">
        <v>61</v>
      </c>
      <c r="H565" s="64" t="s">
        <v>39</v>
      </c>
      <c r="I565" s="65">
        <v>46026</v>
      </c>
    </row>
    <row r="566" spans="1:9" ht="20.25" thickTop="1" thickBot="1">
      <c r="A566" s="66" t="s">
        <v>6</v>
      </c>
      <c r="B566" s="67" t="s">
        <v>7</v>
      </c>
      <c r="C566" s="67" t="s">
        <v>8</v>
      </c>
      <c r="D566" s="67" t="s">
        <v>9</v>
      </c>
      <c r="E566" s="18"/>
      <c r="F566" s="66" t="s">
        <v>6</v>
      </c>
      <c r="G566" s="67" t="s">
        <v>7</v>
      </c>
      <c r="H566" s="67" t="s">
        <v>8</v>
      </c>
      <c r="I566" s="67" t="s">
        <v>9</v>
      </c>
    </row>
    <row r="567" spans="1:9" ht="20.25" thickTop="1" thickBot="1">
      <c r="A567" s="68">
        <v>4</v>
      </c>
      <c r="B567" s="67">
        <v>500000</v>
      </c>
      <c r="C567" s="67">
        <f>VLOOKUP(A567&amp;"|"&amp;B567,$O$3:$P$17,2,FALSE)</f>
        <v>3250</v>
      </c>
      <c r="D567" s="67">
        <f>VLOOKUP(A567&amp;"|"&amp;B567,$Q$3:$R$17,2,FALSE)</f>
        <v>21750</v>
      </c>
      <c r="E567" s="18"/>
      <c r="F567" s="69">
        <v>4</v>
      </c>
      <c r="G567" s="67">
        <v>500000</v>
      </c>
      <c r="H567" s="67">
        <f>VLOOKUP(F567&amp;"|"&amp;G567,$O$3:$P$17,2,FALSE)</f>
        <v>3250</v>
      </c>
      <c r="I567" s="67">
        <f>VLOOKUP(F567&amp;"|"&amp;G567,$Q$3:$R$17,2,FALSE)</f>
        <v>21750</v>
      </c>
    </row>
    <row r="568" spans="1:9" ht="20.25" thickTop="1" thickBot="1">
      <c r="A568" s="66"/>
      <c r="B568" s="67"/>
      <c r="C568" s="67"/>
      <c r="D568" s="67"/>
      <c r="E568" s="18"/>
      <c r="F568" s="66"/>
      <c r="G568" s="67"/>
      <c r="H568" s="67"/>
      <c r="I568" s="67"/>
    </row>
    <row r="569" spans="1:9" ht="20.25" thickTop="1" thickBot="1">
      <c r="A569" s="66"/>
      <c r="B569" s="67"/>
      <c r="C569" s="67"/>
      <c r="D569" s="67"/>
      <c r="E569" s="18"/>
      <c r="F569" s="66"/>
      <c r="G569" s="67"/>
      <c r="H569" s="67"/>
      <c r="I569" s="67"/>
    </row>
    <row r="570" spans="1:9" ht="20.25" thickTop="1" thickBot="1">
      <c r="A570" s="66"/>
      <c r="B570" s="67"/>
      <c r="C570" s="67"/>
      <c r="D570" s="67"/>
      <c r="E570" s="18"/>
      <c r="F570" s="66"/>
      <c r="G570" s="67"/>
      <c r="H570" s="67"/>
      <c r="I570" s="67"/>
    </row>
    <row r="571" spans="1:9" ht="20.25" thickTop="1" thickBot="1">
      <c r="A571" s="66"/>
      <c r="B571" s="67"/>
      <c r="C571" s="67"/>
      <c r="D571" s="67"/>
      <c r="E571" s="18"/>
      <c r="F571" s="66"/>
      <c r="G571" s="67"/>
      <c r="H571" s="67"/>
      <c r="I571" s="67"/>
    </row>
    <row r="572" spans="1:9" ht="20.25" thickTop="1" thickBot="1">
      <c r="A572" s="72" t="s">
        <v>49</v>
      </c>
      <c r="B572" s="70"/>
      <c r="C572" s="71"/>
      <c r="D572" s="67">
        <f>SUM(D567:D571)</f>
        <v>21750</v>
      </c>
      <c r="E572" s="18"/>
      <c r="F572" s="72" t="s">
        <v>49</v>
      </c>
      <c r="G572" s="70"/>
      <c r="H572" s="71"/>
      <c r="I572" s="67">
        <f>SUM(I567:I571)</f>
        <v>21750</v>
      </c>
    </row>
    <row r="573" spans="1:9" ht="16.5" thickTop="1">
      <c r="A573" s="68"/>
      <c r="B573" s="18"/>
      <c r="C573" s="18"/>
      <c r="D573" s="18"/>
      <c r="E573" s="18"/>
      <c r="F573" s="69"/>
      <c r="G573" s="18"/>
      <c r="H573" s="18"/>
      <c r="I573" s="18"/>
    </row>
    <row r="574" spans="1:9">
      <c r="A574" s="18"/>
      <c r="B574" s="69"/>
      <c r="C574" s="18"/>
      <c r="D574" s="18"/>
      <c r="E574" s="18"/>
      <c r="F574"/>
    </row>
    <row r="575" spans="1:9">
      <c r="A575" s="18"/>
      <c r="B575" s="69"/>
      <c r="C575" s="18"/>
      <c r="D575" s="18"/>
      <c r="E575" s="18"/>
      <c r="F575"/>
    </row>
    <row r="576" spans="1:9">
      <c r="A576" s="18"/>
      <c r="B576" s="69"/>
      <c r="C576" s="18"/>
      <c r="D576" s="18"/>
      <c r="E576" s="18"/>
      <c r="F576"/>
    </row>
    <row r="577" spans="1:6">
      <c r="A577" s="18"/>
      <c r="B577" s="69"/>
      <c r="C577" s="18"/>
      <c r="D577" s="18"/>
      <c r="E577" s="18"/>
      <c r="F577"/>
    </row>
    <row r="578" spans="1:6">
      <c r="A578" s="18"/>
      <c r="B578" s="69"/>
      <c r="C578" s="18"/>
      <c r="D578" s="18"/>
      <c r="E578" s="18"/>
      <c r="F578"/>
    </row>
    <row r="579" spans="1:6">
      <c r="A579" s="18"/>
      <c r="B579" s="69"/>
      <c r="C579" s="18"/>
      <c r="D579" s="18"/>
      <c r="E579" s="18"/>
      <c r="F579"/>
    </row>
    <row r="580" spans="1:6">
      <c r="A580" s="18"/>
      <c r="B580" s="69"/>
      <c r="C580" s="18"/>
      <c r="D580" s="18"/>
      <c r="E580" s="18"/>
      <c r="F580"/>
    </row>
    <row r="581" spans="1:6">
      <c r="A581" s="18"/>
      <c r="B581" s="69"/>
      <c r="C581" s="18"/>
      <c r="D581" s="18"/>
      <c r="E581" s="18"/>
      <c r="F58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A8BD1-EE3C-468F-ABA7-C5364E3C2EC4}">
  <dimension ref="A1:Z581"/>
  <sheetViews>
    <sheetView workbookViewId="0">
      <selection sqref="A1:XFD1048576"/>
    </sheetView>
  </sheetViews>
  <sheetFormatPr defaultRowHeight="15.75"/>
  <cols>
    <col min="1" max="1" width="9.140625" style="60"/>
    <col min="2" max="2" width="27" customWidth="1"/>
    <col min="3" max="3" width="17.7109375" customWidth="1"/>
    <col min="4" max="4" width="13.42578125" customWidth="1"/>
    <col min="5" max="5" width="2.5703125" customWidth="1"/>
    <col min="6" max="6" width="9.140625" style="26"/>
    <col min="7" max="7" width="22.42578125" customWidth="1"/>
    <col min="8" max="8" width="16.5703125" customWidth="1"/>
    <col min="9" max="9" width="24.28515625" customWidth="1"/>
    <col min="10" max="10" width="1.85546875" customWidth="1"/>
    <col min="11" max="11" width="1.140625" customWidth="1"/>
    <col min="12" max="12" width="8.140625" customWidth="1"/>
    <col min="13" max="13" width="11.28515625" customWidth="1"/>
    <col min="14" max="14" width="11.5703125" customWidth="1"/>
    <col min="15" max="15" width="11.28515625" customWidth="1"/>
    <col min="16" max="16" width="12.85546875" customWidth="1"/>
    <col min="17" max="17" width="13.28515625" customWidth="1"/>
    <col min="18" max="18" width="13.7109375" customWidth="1"/>
    <col min="19" max="19" width="1.42578125" customWidth="1"/>
    <col min="20" max="20" width="11.5703125" customWidth="1"/>
    <col min="21" max="21" width="15.28515625" customWidth="1"/>
    <col min="22" max="22" width="13.42578125" customWidth="1"/>
    <col min="23" max="23" width="1.42578125" customWidth="1"/>
    <col min="24" max="24" width="11.7109375" customWidth="1"/>
    <col min="25" max="25" width="15.28515625" customWidth="1"/>
    <col min="26" max="26" width="15.42578125" customWidth="1"/>
  </cols>
  <sheetData>
    <row r="1" spans="1:26" ht="20.25" thickTop="1" thickBot="1">
      <c r="A1" s="7" t="s">
        <v>0</v>
      </c>
      <c r="B1" s="8" t="s">
        <v>1</v>
      </c>
      <c r="C1" s="8" t="s">
        <v>2</v>
      </c>
      <c r="D1" s="9">
        <v>45998</v>
      </c>
      <c r="E1" s="10"/>
      <c r="F1" s="11" t="s">
        <v>3</v>
      </c>
      <c r="G1" s="12" t="s">
        <v>4</v>
      </c>
      <c r="H1" s="12" t="s">
        <v>5</v>
      </c>
      <c r="I1" s="9">
        <v>45998</v>
      </c>
      <c r="J1" s="13"/>
      <c r="L1" s="1"/>
      <c r="M1" s="1"/>
      <c r="N1" s="14"/>
      <c r="O1" s="15"/>
      <c r="P1" s="16"/>
      <c r="Q1" s="15"/>
      <c r="R1" s="17"/>
      <c r="S1" s="1"/>
      <c r="T1" s="18"/>
      <c r="U1" s="18"/>
      <c r="V1" s="19" t="s">
        <v>183</v>
      </c>
      <c r="W1" s="18"/>
      <c r="X1" s="18"/>
      <c r="Y1" s="18"/>
      <c r="Z1" s="18"/>
    </row>
    <row r="2" spans="1:26" ht="25.5" customHeight="1" thickTop="1" thickBot="1">
      <c r="A2" s="7" t="s">
        <v>6</v>
      </c>
      <c r="B2" s="8" t="s">
        <v>7</v>
      </c>
      <c r="C2" s="8" t="s">
        <v>8</v>
      </c>
      <c r="D2" s="8" t="s">
        <v>9</v>
      </c>
      <c r="E2" s="10"/>
      <c r="F2" s="20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25" t="s">
        <v>13</v>
      </c>
      <c r="U2" s="25" t="s">
        <v>14</v>
      </c>
      <c r="V2" s="25" t="s">
        <v>15</v>
      </c>
      <c r="W2" s="18"/>
      <c r="X2" s="25" t="s">
        <v>13</v>
      </c>
      <c r="Y2" s="25" t="s">
        <v>3</v>
      </c>
      <c r="Z2" s="25" t="s">
        <v>15</v>
      </c>
    </row>
    <row r="3" spans="1:26" ht="20.25" thickTop="1" thickBot="1">
      <c r="A3" s="7">
        <v>19</v>
      </c>
      <c r="B3" s="8">
        <v>1000000</v>
      </c>
      <c r="C3" s="8">
        <f>VLOOKUP(A3&amp;"|"&amp;B3,$O$3:$P$16,2,FALSE)</f>
        <v>200</v>
      </c>
      <c r="D3" s="8">
        <f>VLOOKUP(A3&amp;"|"&amp;B3,$Q$3:$R$16,2,FALSE)</f>
        <v>49800</v>
      </c>
      <c r="E3" s="10"/>
      <c r="F3" s="26">
        <v>19</v>
      </c>
      <c r="G3" s="21">
        <v>500000</v>
      </c>
      <c r="H3" s="21">
        <f>VLOOKUP(F3&amp;"|"&amp;G3,$O$3:$P$19,2,FALSE)</f>
        <v>50</v>
      </c>
      <c r="I3" s="21">
        <f>VLOOKUP(F3&amp;"|"&amp;G3,$Q$3:$R$19,2,FALSE)</f>
        <v>24950</v>
      </c>
      <c r="J3" s="13"/>
      <c r="K3" s="1"/>
      <c r="L3" s="27">
        <v>13</v>
      </c>
      <c r="M3" s="28">
        <v>500000</v>
      </c>
      <c r="N3" s="28">
        <v>23000</v>
      </c>
      <c r="O3" s="28" t="str">
        <f t="shared" ref="O3:O18" si="0">L3&amp;"|"&amp;M3</f>
        <v>13|500000</v>
      </c>
      <c r="P3" s="28">
        <f t="shared" ref="P3:P18" si="1">N3/20</f>
        <v>1150</v>
      </c>
      <c r="Q3" s="28" t="str">
        <f t="shared" ref="Q3:Q18" si="2">L3&amp;"|"&amp;M3</f>
        <v>13|500000</v>
      </c>
      <c r="R3" s="29">
        <f t="shared" ref="R3:R18" si="3">(M3-N3)/20</f>
        <v>23850</v>
      </c>
      <c r="S3" s="1"/>
      <c r="T3" s="30">
        <f>D8</f>
        <v>72450</v>
      </c>
      <c r="U3" s="30" t="str">
        <f>B1</f>
        <v>SOHANJI</v>
      </c>
      <c r="V3" s="30" t="str">
        <f>C1</f>
        <v>ALWN.CO</v>
      </c>
      <c r="W3" s="18"/>
      <c r="X3" s="30">
        <f>I8</f>
        <v>24950</v>
      </c>
      <c r="Y3" s="30" t="str">
        <f>G1</f>
        <v>SURESH</v>
      </c>
      <c r="Z3" s="30" t="str">
        <f>H1</f>
        <v>JODHPUR</v>
      </c>
    </row>
    <row r="4" spans="1:26" ht="20.25" thickTop="1" thickBot="1">
      <c r="A4" s="31">
        <v>8</v>
      </c>
      <c r="B4" s="8">
        <v>500000</v>
      </c>
      <c r="C4" s="8">
        <f>VLOOKUP(A4&amp;"|"&amp;B4,$O$3:$P$16,2,FALSE)</f>
        <v>2350</v>
      </c>
      <c r="D4" s="8">
        <f>VLOOKUP(A4&amp;"|"&amp;B4,$Q$3:$R$16,2,FALSE)</f>
        <v>22650</v>
      </c>
      <c r="E4" s="10"/>
      <c r="F4" s="20"/>
      <c r="G4" s="21"/>
      <c r="H4" s="21"/>
      <c r="I4" s="21"/>
      <c r="J4" s="13"/>
      <c r="K4" s="1"/>
      <c r="L4" s="27">
        <v>13</v>
      </c>
      <c r="M4" s="28">
        <v>250000</v>
      </c>
      <c r="N4" s="32">
        <v>11500</v>
      </c>
      <c r="O4" s="28" t="str">
        <f t="shared" si="0"/>
        <v>13|250000</v>
      </c>
      <c r="P4" s="28">
        <f t="shared" si="1"/>
        <v>575</v>
      </c>
      <c r="Q4" s="28" t="str">
        <f t="shared" si="2"/>
        <v>13|250000</v>
      </c>
      <c r="R4" s="29">
        <f t="shared" si="3"/>
        <v>11925</v>
      </c>
      <c r="S4" s="1"/>
      <c r="T4" s="30">
        <f>D17</f>
        <v>24950</v>
      </c>
      <c r="U4" s="30" t="str">
        <f>B10</f>
        <v>JIVARAMJI</v>
      </c>
      <c r="V4" s="30" t="str">
        <f>C10</f>
        <v>YAMJAL</v>
      </c>
      <c r="W4" s="18"/>
      <c r="X4" s="30">
        <f>I17</f>
        <v>24950</v>
      </c>
      <c r="Y4" s="30" t="str">
        <f>G10</f>
        <v>BHAWARJI</v>
      </c>
      <c r="Z4" s="30" t="str">
        <f>H10</f>
        <v>BAJPLY</v>
      </c>
    </row>
    <row r="5" spans="1:26" ht="20.25" thickTop="1" thickBot="1">
      <c r="A5" s="7"/>
      <c r="B5" s="8"/>
      <c r="C5" s="8"/>
      <c r="D5" s="8"/>
      <c r="E5" s="10"/>
      <c r="F5" s="20"/>
      <c r="G5" s="21"/>
      <c r="H5" s="21"/>
      <c r="I5" s="21"/>
      <c r="J5" s="13"/>
      <c r="K5" s="1"/>
      <c r="L5" s="27">
        <v>8</v>
      </c>
      <c r="M5" s="27">
        <v>2000000</v>
      </c>
      <c r="N5" s="27">
        <v>150000</v>
      </c>
      <c r="O5" s="32" t="str">
        <f t="shared" si="0"/>
        <v>8|2000000</v>
      </c>
      <c r="P5" s="28">
        <f t="shared" si="1"/>
        <v>7500</v>
      </c>
      <c r="Q5" s="32" t="str">
        <f t="shared" si="2"/>
        <v>8|2000000</v>
      </c>
      <c r="R5" s="29">
        <f t="shared" si="3"/>
        <v>92500</v>
      </c>
      <c r="S5" s="1"/>
      <c r="T5" s="30">
        <f>D26</f>
        <v>142300</v>
      </c>
      <c r="U5" s="30" t="str">
        <f>B19</f>
        <v>MANGILALJI</v>
      </c>
      <c r="V5" s="30" t="str">
        <f>C19</f>
        <v>BOLARAM</v>
      </c>
      <c r="W5" s="18"/>
      <c r="X5" s="30">
        <f>I26</f>
        <v>149600</v>
      </c>
      <c r="Y5" s="30" t="str">
        <f>G19</f>
        <v>NETHIRAMJI</v>
      </c>
      <c r="Z5" s="30" t="str">
        <f>H19</f>
        <v>RAMARAM</v>
      </c>
    </row>
    <row r="6" spans="1:26" ht="20.25" thickTop="1" thickBot="1">
      <c r="A6" s="7"/>
      <c r="B6" s="8"/>
      <c r="C6" s="8"/>
      <c r="D6" s="8"/>
      <c r="E6" s="10"/>
      <c r="F6" s="20"/>
      <c r="G6" s="21"/>
      <c r="H6" s="21"/>
      <c r="I6" s="21"/>
      <c r="J6" s="13"/>
      <c r="K6" s="1"/>
      <c r="L6" s="27">
        <v>8</v>
      </c>
      <c r="M6" s="32">
        <v>500000</v>
      </c>
      <c r="N6" s="32">
        <v>47000</v>
      </c>
      <c r="O6" s="32" t="str">
        <f t="shared" si="0"/>
        <v>8|500000</v>
      </c>
      <c r="P6" s="28">
        <f t="shared" si="1"/>
        <v>2350</v>
      </c>
      <c r="Q6" s="32" t="str">
        <f t="shared" si="2"/>
        <v>8|500000</v>
      </c>
      <c r="R6" s="29">
        <f t="shared" si="3"/>
        <v>22650</v>
      </c>
      <c r="S6" s="1"/>
      <c r="T6" s="30">
        <f>D35</f>
        <v>148500</v>
      </c>
      <c r="U6" s="30" t="str">
        <f>B28</f>
        <v>KISHANJI</v>
      </c>
      <c r="V6" s="30" t="str">
        <f>C28</f>
        <v>KAMAN</v>
      </c>
      <c r="W6" s="18"/>
      <c r="X6" s="30">
        <f>I35</f>
        <v>22650</v>
      </c>
      <c r="Y6" s="30" t="str">
        <f>G28</f>
        <v>TARARAMJI</v>
      </c>
      <c r="Z6" s="30" t="str">
        <f>H28</f>
        <v>PRGATI NG</v>
      </c>
    </row>
    <row r="7" spans="1:26" ht="20.25" thickTop="1" thickBot="1">
      <c r="A7" s="7"/>
      <c r="B7" s="8"/>
      <c r="C7" s="8"/>
      <c r="D7" s="8"/>
      <c r="E7" s="10"/>
      <c r="F7" s="20"/>
      <c r="G7" s="21"/>
      <c r="H7" s="21"/>
      <c r="I7" s="21"/>
      <c r="J7" s="13"/>
      <c r="K7" s="1"/>
      <c r="L7" s="27">
        <v>19.100000000000001</v>
      </c>
      <c r="M7" s="32">
        <v>500000</v>
      </c>
      <c r="N7" s="32">
        <v>1000</v>
      </c>
      <c r="O7" s="32" t="str">
        <f t="shared" si="0"/>
        <v>19.1|500000</v>
      </c>
      <c r="P7" s="28">
        <f t="shared" si="1"/>
        <v>50</v>
      </c>
      <c r="Q7" s="28" t="str">
        <f t="shared" si="2"/>
        <v>19.1|500000</v>
      </c>
      <c r="R7" s="29">
        <f t="shared" si="3"/>
        <v>24950</v>
      </c>
      <c r="S7" s="1"/>
      <c r="T7" s="30">
        <f>D44</f>
        <v>24400</v>
      </c>
      <c r="U7" s="30" t="str">
        <f>B37</f>
        <v>BHONARAMJI</v>
      </c>
      <c r="V7" s="30" t="str">
        <f>C37</f>
        <v>G.MAISAMA</v>
      </c>
      <c r="W7" s="18"/>
      <c r="X7" s="30">
        <f>I44</f>
        <v>142400</v>
      </c>
      <c r="Y7" s="30" t="str">
        <f>G37</f>
        <v>SESHARAMJI</v>
      </c>
      <c r="Z7" s="30" t="str">
        <f>H37</f>
        <v>MEDCHAL</v>
      </c>
    </row>
    <row r="8" spans="1:26" ht="20.25" thickTop="1" thickBot="1">
      <c r="A8" s="33" t="s">
        <v>16</v>
      </c>
      <c r="B8" s="34"/>
      <c r="C8" s="35"/>
      <c r="D8" s="8">
        <f>SUM(D3:D7)</f>
        <v>72450</v>
      </c>
      <c r="E8" s="10"/>
      <c r="F8" s="36" t="s">
        <v>16</v>
      </c>
      <c r="G8" s="37"/>
      <c r="H8" s="38"/>
      <c r="I8" s="21">
        <f>SUM(I3:I7)</f>
        <v>24950</v>
      </c>
      <c r="J8" s="13"/>
      <c r="K8" s="1"/>
      <c r="L8" s="27">
        <v>19</v>
      </c>
      <c r="M8" s="32">
        <v>1000000</v>
      </c>
      <c r="N8" s="32">
        <v>4000</v>
      </c>
      <c r="O8" s="32" t="str">
        <f t="shared" si="0"/>
        <v>19|1000000</v>
      </c>
      <c r="P8" s="28">
        <f t="shared" si="1"/>
        <v>200</v>
      </c>
      <c r="Q8" s="32" t="str">
        <f t="shared" si="2"/>
        <v>19|1000000</v>
      </c>
      <c r="R8" s="29">
        <f t="shared" si="3"/>
        <v>49800</v>
      </c>
      <c r="S8" s="1"/>
      <c r="T8" s="30">
        <f>D53</f>
        <v>24950</v>
      </c>
      <c r="U8" s="30" t="str">
        <f>B46</f>
        <v>RAMESHJI</v>
      </c>
      <c r="V8" s="30" t="str">
        <f>C46</f>
        <v>HITECH</v>
      </c>
      <c r="W8" s="18"/>
      <c r="X8" s="30">
        <f>I53</f>
        <v>45850</v>
      </c>
      <c r="Y8" s="30" t="str">
        <f>G46</f>
        <v>CHANDUJI</v>
      </c>
      <c r="Z8" s="30" t="str">
        <f>H46</f>
        <v>KAMMAN</v>
      </c>
    </row>
    <row r="9" spans="1:26" ht="20.25" thickTop="1" thickBot="1">
      <c r="A9" s="39"/>
      <c r="B9" s="40"/>
      <c r="C9" s="41"/>
      <c r="D9" s="41"/>
      <c r="E9" s="42"/>
      <c r="F9" s="43"/>
      <c r="G9" s="42"/>
      <c r="H9" s="42"/>
      <c r="I9" s="42"/>
      <c r="J9" s="13"/>
      <c r="K9" s="1"/>
      <c r="L9" s="27">
        <v>19.100000000000001</v>
      </c>
      <c r="M9" s="32">
        <v>1000000</v>
      </c>
      <c r="N9" s="32">
        <v>2000</v>
      </c>
      <c r="O9" s="32" t="str">
        <f t="shared" si="0"/>
        <v>19.1|1000000</v>
      </c>
      <c r="P9" s="28">
        <f t="shared" si="1"/>
        <v>100</v>
      </c>
      <c r="Q9" s="32" t="str">
        <f t="shared" si="2"/>
        <v>19.1|1000000</v>
      </c>
      <c r="R9" s="29">
        <f t="shared" si="3"/>
        <v>49900</v>
      </c>
      <c r="S9" s="1"/>
      <c r="T9" s="30">
        <f>D62</f>
        <v>92100</v>
      </c>
      <c r="U9" s="30" t="str">
        <f>B55</f>
        <v>SOHANJI</v>
      </c>
      <c r="V9" s="30" t="str">
        <f>C55</f>
        <v>KOTLAPUR</v>
      </c>
      <c r="W9" s="18"/>
      <c r="X9" s="30">
        <f>I62</f>
        <v>65100</v>
      </c>
      <c r="Y9" s="30" t="str">
        <f>G55</f>
        <v>DEEPAKJI</v>
      </c>
      <c r="Z9" s="30" t="str">
        <f>H55</f>
        <v>SUCHITRA</v>
      </c>
    </row>
    <row r="10" spans="1:26" ht="20.25" thickTop="1" thickBot="1">
      <c r="A10" s="20" t="s">
        <v>0</v>
      </c>
      <c r="B10" s="21" t="s">
        <v>17</v>
      </c>
      <c r="C10" s="21" t="s">
        <v>18</v>
      </c>
      <c r="D10" s="9">
        <v>45998</v>
      </c>
      <c r="E10" s="10"/>
      <c r="F10" s="20" t="s">
        <v>0</v>
      </c>
      <c r="G10" s="21" t="s">
        <v>19</v>
      </c>
      <c r="H10" s="21" t="s">
        <v>20</v>
      </c>
      <c r="I10" s="9">
        <v>45998</v>
      </c>
      <c r="J10" s="44"/>
      <c r="K10" s="1"/>
      <c r="L10" s="27">
        <v>16</v>
      </c>
      <c r="M10" s="32">
        <v>500000</v>
      </c>
      <c r="N10" s="32">
        <v>13000</v>
      </c>
      <c r="O10" s="32" t="str">
        <f t="shared" si="0"/>
        <v>16|500000</v>
      </c>
      <c r="P10" s="28">
        <f t="shared" si="1"/>
        <v>650</v>
      </c>
      <c r="Q10" s="32" t="str">
        <f t="shared" si="2"/>
        <v>16|500000</v>
      </c>
      <c r="R10" s="29">
        <f t="shared" si="3"/>
        <v>24350</v>
      </c>
      <c r="S10" s="1"/>
      <c r="T10" s="30">
        <f>D71</f>
        <v>117450</v>
      </c>
      <c r="U10" s="30" t="str">
        <f>B64</f>
        <v>KUNARAMJI</v>
      </c>
      <c r="V10" s="30" t="str">
        <f>C64</f>
        <v>GANDHI NGR</v>
      </c>
      <c r="W10" s="18"/>
      <c r="X10" s="30">
        <f>I71</f>
        <v>47600</v>
      </c>
      <c r="Y10" s="30" t="str">
        <f>G64</f>
        <v>CHENARAMJI</v>
      </c>
      <c r="Z10" s="30" t="str">
        <f>H64</f>
        <v>CHINTAL</v>
      </c>
    </row>
    <row r="11" spans="1:26" ht="20.25" thickTop="1" thickBot="1">
      <c r="A11" s="20" t="s">
        <v>6</v>
      </c>
      <c r="B11" s="21" t="s">
        <v>7</v>
      </c>
      <c r="C11" s="21" t="s">
        <v>8</v>
      </c>
      <c r="D11" s="21" t="s">
        <v>9</v>
      </c>
      <c r="E11" s="10"/>
      <c r="F11" s="20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27">
        <v>3</v>
      </c>
      <c r="M11" s="32">
        <v>500000</v>
      </c>
      <c r="N11" s="32">
        <v>70000</v>
      </c>
      <c r="O11" s="32" t="str">
        <f t="shared" si="0"/>
        <v>3|500000</v>
      </c>
      <c r="P11" s="28">
        <f t="shared" si="1"/>
        <v>3500</v>
      </c>
      <c r="Q11" s="32" t="str">
        <f t="shared" si="2"/>
        <v>3|500000</v>
      </c>
      <c r="R11" s="29">
        <f t="shared" si="3"/>
        <v>21500</v>
      </c>
      <c r="S11" s="1"/>
      <c r="T11" s="30">
        <f>D85</f>
        <v>390150</v>
      </c>
      <c r="U11" s="30" t="str">
        <f>B73</f>
        <v>MATAJI</v>
      </c>
      <c r="V11" s="30" t="str">
        <f>C73</f>
        <v>G.R</v>
      </c>
      <c r="W11" s="18"/>
      <c r="X11" s="30">
        <f>I85</f>
        <v>387800</v>
      </c>
      <c r="Y11" s="30" t="str">
        <f>G73</f>
        <v>MATAJI</v>
      </c>
      <c r="Z11" s="30" t="str">
        <f>H73</f>
        <v>J.E.W</v>
      </c>
    </row>
    <row r="12" spans="1:26" ht="20.25" thickTop="1" thickBot="1">
      <c r="A12" s="31">
        <v>19</v>
      </c>
      <c r="B12" s="21">
        <v>500000</v>
      </c>
      <c r="C12" s="21">
        <f>VLOOKUP(A12&amp;"|"&amp;B12,$O$3:$P$16,2,FALSE)</f>
        <v>50</v>
      </c>
      <c r="D12" s="21">
        <f>VLOOKUP(A12&amp;"|"&amp;B12,$Q$3:$R$16,2,FALSE)</f>
        <v>24950</v>
      </c>
      <c r="E12" s="10"/>
      <c r="F12" s="26">
        <v>19</v>
      </c>
      <c r="G12" s="21">
        <v>500000</v>
      </c>
      <c r="H12" s="21">
        <f>VLOOKUP(F12&amp;"|"&amp;G12,$O$3:$P$16,2,FALSE)</f>
        <v>50</v>
      </c>
      <c r="I12" s="21">
        <f>VLOOKUP(F12&amp;"|"&amp;G12,$Q$3:$R$16,2,FALSE)</f>
        <v>24950</v>
      </c>
      <c r="J12" s="13"/>
      <c r="K12" s="1"/>
      <c r="L12" s="27">
        <v>3</v>
      </c>
      <c r="M12" s="32">
        <v>1000000</v>
      </c>
      <c r="N12" s="32">
        <v>156000</v>
      </c>
      <c r="O12" s="32" t="str">
        <f t="shared" si="0"/>
        <v>3|1000000</v>
      </c>
      <c r="P12" s="28">
        <f t="shared" si="1"/>
        <v>7800</v>
      </c>
      <c r="Q12" s="32" t="str">
        <f t="shared" si="2"/>
        <v>3|1000000</v>
      </c>
      <c r="R12" s="29">
        <f t="shared" si="3"/>
        <v>42200</v>
      </c>
      <c r="S12" s="1"/>
      <c r="T12" s="30">
        <f>D94</f>
        <v>277100</v>
      </c>
      <c r="U12" s="30" t="str">
        <f>B87</f>
        <v>MOHANLALJI</v>
      </c>
      <c r="V12" s="30" t="str">
        <f>C87</f>
        <v>SNT.NAGAR</v>
      </c>
      <c r="W12" s="18"/>
      <c r="X12" s="30">
        <f>I94</f>
        <v>24950</v>
      </c>
      <c r="Y12" s="30" t="str">
        <f>G87</f>
        <v>SUNILJI</v>
      </c>
      <c r="Z12" s="30" t="str">
        <f>H87</f>
        <v>S.P</v>
      </c>
    </row>
    <row r="13" spans="1:26" ht="20.25" thickTop="1" thickBot="1">
      <c r="A13" s="20"/>
      <c r="B13" s="21"/>
      <c r="C13" s="21"/>
      <c r="D13" s="21"/>
      <c r="E13" s="10"/>
      <c r="F13" s="20"/>
      <c r="G13" s="21"/>
      <c r="H13" s="21"/>
      <c r="I13" s="21"/>
      <c r="J13" s="13"/>
      <c r="K13" s="1"/>
      <c r="L13" s="27">
        <v>3.1</v>
      </c>
      <c r="M13" s="27">
        <v>1000000</v>
      </c>
      <c r="N13" s="27">
        <v>151000</v>
      </c>
      <c r="O13" s="32" t="str">
        <f t="shared" si="0"/>
        <v>3.1|1000000</v>
      </c>
      <c r="P13" s="28">
        <f t="shared" si="1"/>
        <v>7550</v>
      </c>
      <c r="Q13" s="32" t="str">
        <f t="shared" si="2"/>
        <v>3.1|1000000</v>
      </c>
      <c r="R13" s="29">
        <f t="shared" si="3"/>
        <v>42450</v>
      </c>
      <c r="S13" s="1"/>
      <c r="T13" s="30">
        <f>D103</f>
        <v>47600</v>
      </c>
      <c r="U13" s="30" t="str">
        <f>B96</f>
        <v>PRAKASHJI</v>
      </c>
      <c r="V13" s="30" t="str">
        <f>C96</f>
        <v>KONDAPUR</v>
      </c>
      <c r="W13" s="18"/>
      <c r="X13" s="30">
        <f>I103</f>
        <v>141900</v>
      </c>
      <c r="Y13" s="30" t="str">
        <f>G96</f>
        <v>NEMARAMJI</v>
      </c>
      <c r="Z13" s="30" t="str">
        <f>H96</f>
        <v>S.R NAGAR</v>
      </c>
    </row>
    <row r="14" spans="1:26" ht="20.25" thickTop="1" thickBot="1">
      <c r="A14" s="20"/>
      <c r="B14" s="21"/>
      <c r="C14" s="21"/>
      <c r="D14" s="21"/>
      <c r="E14" s="10"/>
      <c r="F14" s="20"/>
      <c r="G14" s="21"/>
      <c r="H14" s="21"/>
      <c r="I14" s="21"/>
      <c r="J14" s="13" t="s">
        <v>182</v>
      </c>
      <c r="K14" s="1"/>
      <c r="L14" s="27">
        <v>8</v>
      </c>
      <c r="M14" s="32">
        <v>1000000</v>
      </c>
      <c r="N14" s="32">
        <v>75000</v>
      </c>
      <c r="O14" s="32" t="str">
        <f t="shared" si="0"/>
        <v>8|1000000</v>
      </c>
      <c r="P14" s="28">
        <f t="shared" si="1"/>
        <v>3750</v>
      </c>
      <c r="Q14" s="32" t="str">
        <f t="shared" si="2"/>
        <v>8|1000000</v>
      </c>
      <c r="R14" s="29">
        <f t="shared" si="3"/>
        <v>46250</v>
      </c>
      <c r="S14" s="1"/>
      <c r="T14" s="30">
        <f>D112</f>
        <v>24950</v>
      </c>
      <c r="U14" s="30" t="str">
        <f>B105</f>
        <v>NARAYANJI</v>
      </c>
      <c r="V14" s="30" t="str">
        <f>C105</f>
        <v>SHAPUR</v>
      </c>
      <c r="W14" s="18"/>
      <c r="X14" s="30">
        <f>I112</f>
        <v>167250</v>
      </c>
      <c r="Y14" s="30" t="str">
        <f>G105</f>
        <v>HIMTARAMJI</v>
      </c>
      <c r="Z14" s="30" t="str">
        <f>H105</f>
        <v>MEDCHAL</v>
      </c>
    </row>
    <row r="15" spans="1:26" ht="20.25" thickTop="1" thickBot="1">
      <c r="A15" s="20"/>
      <c r="B15" s="21"/>
      <c r="C15" s="21"/>
      <c r="D15" s="21"/>
      <c r="E15" s="10"/>
      <c r="F15" s="20"/>
      <c r="G15" s="21"/>
      <c r="H15" s="21"/>
      <c r="I15" s="21"/>
      <c r="J15" s="13"/>
      <c r="K15" s="1"/>
      <c r="L15" s="27">
        <v>19</v>
      </c>
      <c r="M15" s="32">
        <v>500000</v>
      </c>
      <c r="N15" s="32">
        <v>1000</v>
      </c>
      <c r="O15" s="32" t="str">
        <f t="shared" si="0"/>
        <v>19|500000</v>
      </c>
      <c r="P15" s="28">
        <f t="shared" si="1"/>
        <v>50</v>
      </c>
      <c r="Q15" s="32" t="str">
        <f t="shared" si="2"/>
        <v>19|500000</v>
      </c>
      <c r="R15" s="29">
        <f t="shared" si="3"/>
        <v>24950</v>
      </c>
      <c r="S15" s="1"/>
      <c r="T15" s="30">
        <f>D121</f>
        <v>115100</v>
      </c>
      <c r="U15" s="30" t="str">
        <f>B114</f>
        <v>CHENARAMJI</v>
      </c>
      <c r="V15" s="30" t="str">
        <f>C114</f>
        <v>KOTLAPUR</v>
      </c>
      <c r="W15" s="18"/>
      <c r="X15" s="30">
        <f>I121</f>
        <v>142300</v>
      </c>
      <c r="Y15" s="30" t="str">
        <f>G114</f>
        <v>GOVINDJI</v>
      </c>
      <c r="Z15" s="30" t="str">
        <f>H114</f>
        <v>MGD NAGAR</v>
      </c>
    </row>
    <row r="16" spans="1:26" ht="20.25" thickTop="1" thickBot="1">
      <c r="A16" s="20"/>
      <c r="B16" s="21"/>
      <c r="C16" s="21"/>
      <c r="D16" s="21"/>
      <c r="E16" s="2"/>
      <c r="F16" s="20"/>
      <c r="G16" s="21"/>
      <c r="H16" s="21"/>
      <c r="I16" s="21"/>
      <c r="J16" s="13"/>
      <c r="K16" s="1"/>
      <c r="L16" s="27">
        <v>8.1</v>
      </c>
      <c r="M16" s="28">
        <v>1000000</v>
      </c>
      <c r="N16" s="32">
        <v>75000</v>
      </c>
      <c r="O16" s="32" t="str">
        <f t="shared" si="0"/>
        <v>8.1|1000000</v>
      </c>
      <c r="P16" s="28">
        <f t="shared" si="1"/>
        <v>3750</v>
      </c>
      <c r="Q16" s="32" t="str">
        <f t="shared" si="2"/>
        <v>8.1|1000000</v>
      </c>
      <c r="R16" s="29">
        <f t="shared" si="3"/>
        <v>46250</v>
      </c>
      <c r="S16" s="1"/>
      <c r="T16" s="30">
        <f>D130</f>
        <v>117450</v>
      </c>
      <c r="U16" s="30" t="str">
        <f>B123</f>
        <v>NARAYANLALJI</v>
      </c>
      <c r="V16" s="30" t="str">
        <f>C123</f>
        <v>SUBASH NGR</v>
      </c>
      <c r="W16" s="18"/>
      <c r="X16" s="30">
        <f>I130</f>
        <v>161450</v>
      </c>
      <c r="Y16" s="30" t="str">
        <f>G123</f>
        <v>VAKTARAMJI</v>
      </c>
      <c r="Z16" s="30" t="str">
        <f>H123</f>
        <v>RMNTPUR</v>
      </c>
    </row>
    <row r="17" spans="1:26" ht="20.25" thickTop="1" thickBot="1">
      <c r="A17" s="36" t="s">
        <v>16</v>
      </c>
      <c r="B17" s="37"/>
      <c r="C17" s="38"/>
      <c r="D17" s="8">
        <f>SUM(D12:D16)</f>
        <v>24950</v>
      </c>
      <c r="E17" s="2"/>
      <c r="F17" s="36" t="s">
        <v>16</v>
      </c>
      <c r="G17" s="37"/>
      <c r="H17" s="38"/>
      <c r="I17" s="21">
        <f>SUM(I12:I16)</f>
        <v>24950</v>
      </c>
      <c r="J17" s="13"/>
      <c r="K17" s="1"/>
      <c r="L17" s="1"/>
      <c r="M17" s="1"/>
      <c r="N17" s="1"/>
      <c r="O17" s="45"/>
      <c r="P17" s="46"/>
      <c r="Q17" s="45"/>
      <c r="R17" s="47"/>
      <c r="S17" s="1"/>
      <c r="T17" s="30">
        <f>D139</f>
        <v>67150</v>
      </c>
      <c r="U17" s="30" t="str">
        <f>B132</f>
        <v>BHUNDARAMJI</v>
      </c>
      <c r="V17" s="30" t="str">
        <f>C132</f>
        <v>MIYAPUR</v>
      </c>
      <c r="W17" s="18"/>
      <c r="X17" s="30">
        <f>I139</f>
        <v>24950</v>
      </c>
      <c r="Y17" s="30" t="str">
        <f>G132</f>
        <v>MOHANJI</v>
      </c>
      <c r="Z17" s="30" t="str">
        <f>H132</f>
        <v>NARSAPUR</v>
      </c>
    </row>
    <row r="18" spans="1:26" ht="20.25" thickTop="1" thickBot="1">
      <c r="A18" s="31"/>
      <c r="B18" s="3"/>
      <c r="C18" s="3"/>
      <c r="D18" s="3"/>
      <c r="E18" s="3"/>
      <c r="F18" s="43"/>
      <c r="G18" s="42"/>
      <c r="H18" s="42"/>
      <c r="I18" s="42"/>
      <c r="J18" s="13"/>
      <c r="K18" s="1"/>
      <c r="L18" s="1">
        <v>19</v>
      </c>
      <c r="M18" s="1">
        <v>250000</v>
      </c>
      <c r="N18" s="1">
        <v>500</v>
      </c>
      <c r="O18" s="45" t="str">
        <f t="shared" si="0"/>
        <v>19|250000</v>
      </c>
      <c r="P18" s="46">
        <f t="shared" si="1"/>
        <v>25</v>
      </c>
      <c r="Q18" s="45" t="str">
        <f t="shared" si="2"/>
        <v>19|250000</v>
      </c>
      <c r="R18" s="47">
        <f t="shared" si="3"/>
        <v>12475</v>
      </c>
      <c r="S18" s="1"/>
      <c r="T18" s="30">
        <f>D148</f>
        <v>115350</v>
      </c>
      <c r="U18" s="30" t="str">
        <f>B141</f>
        <v>POKARJI</v>
      </c>
      <c r="V18" s="30" t="str">
        <f>C141</f>
        <v>J GUTTA</v>
      </c>
      <c r="W18" s="18"/>
      <c r="X18" s="30">
        <f>I148</f>
        <v>84650</v>
      </c>
      <c r="Y18" s="30" t="str">
        <f>G141</f>
        <v>VAJJARAMJI</v>
      </c>
      <c r="Z18" s="30" t="str">
        <f>H141</f>
        <v>RING ROAD</v>
      </c>
    </row>
    <row r="19" spans="1:26" ht="20.25" thickTop="1" thickBot="1">
      <c r="A19" s="20" t="s">
        <v>0</v>
      </c>
      <c r="B19" s="21" t="s">
        <v>21</v>
      </c>
      <c r="C19" s="21" t="s">
        <v>22</v>
      </c>
      <c r="D19" s="9">
        <v>45998</v>
      </c>
      <c r="E19" s="2"/>
      <c r="F19" s="20" t="s">
        <v>0</v>
      </c>
      <c r="G19" s="21" t="s">
        <v>23</v>
      </c>
      <c r="H19" s="21" t="s">
        <v>24</v>
      </c>
      <c r="I19" s="9">
        <v>45998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30">
        <f>D157</f>
        <v>21500</v>
      </c>
      <c r="U19" s="30" t="str">
        <f>B150</f>
        <v>UDARAMJI</v>
      </c>
      <c r="V19" s="30" t="str">
        <f>C150</f>
        <v>CHINTAL</v>
      </c>
      <c r="W19" s="18"/>
      <c r="X19" s="30">
        <f>I157</f>
        <v>91500</v>
      </c>
      <c r="Y19" s="30" t="str">
        <f>G150</f>
        <v>SUMERSINGHJI</v>
      </c>
      <c r="Z19" s="30" t="str">
        <f>H150</f>
        <v>KU PALLY</v>
      </c>
    </row>
    <row r="20" spans="1:26" ht="20.25" thickTop="1" thickBot="1">
      <c r="A20" s="20" t="s">
        <v>6</v>
      </c>
      <c r="B20" s="21" t="s">
        <v>7</v>
      </c>
      <c r="C20" s="21" t="s">
        <v>8</v>
      </c>
      <c r="D20" s="21" t="s">
        <v>9</v>
      </c>
      <c r="E20" s="2"/>
      <c r="F20" s="20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30">
        <f>D166</f>
        <v>49900</v>
      </c>
      <c r="U20" s="30" t="str">
        <f>B159</f>
        <v>HARISINGHJI</v>
      </c>
      <c r="V20" s="30" t="str">
        <f>C159</f>
        <v>RAMARAM</v>
      </c>
      <c r="W20" s="18"/>
      <c r="X20" s="30">
        <f>I166</f>
        <v>49900</v>
      </c>
      <c r="Y20" s="30" t="str">
        <f>G159</f>
        <v>MANGILALJI</v>
      </c>
      <c r="Z20" s="30" t="str">
        <f>H159</f>
        <v>MALLAPUR</v>
      </c>
    </row>
    <row r="21" spans="1:26" ht="20.25" thickTop="1" thickBot="1">
      <c r="A21" s="20">
        <v>19</v>
      </c>
      <c r="B21" s="21">
        <v>1000000</v>
      </c>
      <c r="C21" s="21">
        <f>VLOOKUP(A21&amp;"|"&amp;B21,$O$3:$P$16,2,FALSE)</f>
        <v>200</v>
      </c>
      <c r="D21" s="21">
        <f>VLOOKUP(A21&amp;"|"&amp;B21,$Q$3:$R$16,2,FALSE)</f>
        <v>49800</v>
      </c>
      <c r="E21" s="2"/>
      <c r="F21" s="26">
        <v>19</v>
      </c>
      <c r="G21" s="21">
        <v>1000000</v>
      </c>
      <c r="H21" s="21">
        <f>VLOOKUP(F21&amp;"|"&amp;G21,$O$3:$P$16,2,FALSE)</f>
        <v>200</v>
      </c>
      <c r="I21" s="21">
        <f>VLOOKUP(F21&amp;"|"&amp;G21,$Q$3:$R$16,2,FALSE)</f>
        <v>49800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572)</f>
        <v>4480800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4327250</v>
      </c>
      <c r="S21" s="1"/>
      <c r="T21" s="30">
        <f>D175</f>
        <v>142400</v>
      </c>
      <c r="U21" s="30" t="str">
        <f>B168</f>
        <v>BHORARAMJI</v>
      </c>
      <c r="V21" s="30" t="str">
        <f>C168</f>
        <v>MIYAPUR</v>
      </c>
      <c r="W21" s="18"/>
      <c r="X21" s="30">
        <f>I175</f>
        <v>73650</v>
      </c>
      <c r="Y21" s="30" t="str">
        <f>G168</f>
        <v>TARARAMJI</v>
      </c>
      <c r="Z21" s="30" t="str">
        <f>H168</f>
        <v>SURARAM</v>
      </c>
    </row>
    <row r="22" spans="1:26" ht="20.25" thickTop="1" thickBot="1">
      <c r="A22" s="20">
        <v>8</v>
      </c>
      <c r="B22" s="21">
        <v>2000000</v>
      </c>
      <c r="C22" s="21">
        <f>VLOOKUP(A22&amp;"|"&amp;B22,$O$3:$P$17,2,FALSE)</f>
        <v>7500</v>
      </c>
      <c r="D22" s="21">
        <f>VLOOKUP(A22&amp;"|"&amp;B22,$Q$3:$R$17,2,FALSE)</f>
        <v>92500</v>
      </c>
      <c r="E22" s="2"/>
      <c r="F22" s="26">
        <v>19.100000000000001</v>
      </c>
      <c r="G22" s="21">
        <v>1000000</v>
      </c>
      <c r="H22" s="21">
        <f>VLOOKUP(F22&amp;"|"&amp;G22,$O$3:$P$16,2,FALSE)</f>
        <v>100</v>
      </c>
      <c r="I22" s="21">
        <f>VLOOKUP(F22&amp;"|"&amp;G22,$Q$3:$R$16,2,FALSE)</f>
        <v>49900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30">
        <f>D184</f>
        <v>116850</v>
      </c>
      <c r="U22" s="30" t="str">
        <f>B177</f>
        <v>MADARAMJI</v>
      </c>
      <c r="V22" s="30" t="str">
        <f>C177</f>
        <v>SHAPUR</v>
      </c>
      <c r="W22" s="18"/>
      <c r="X22" s="30">
        <f>I184</f>
        <v>49900</v>
      </c>
      <c r="Y22" s="30" t="str">
        <f>G177</f>
        <v>KUKARAMJI</v>
      </c>
      <c r="Z22" s="30" t="str">
        <f>H177</f>
        <v>J GUTTA</v>
      </c>
    </row>
    <row r="23" spans="1:26" ht="20.25" thickTop="1" thickBot="1">
      <c r="A23" s="20"/>
      <c r="B23" s="21"/>
      <c r="C23" s="21"/>
      <c r="D23" s="21"/>
      <c r="E23" s="2"/>
      <c r="F23" s="26">
        <v>19.100000000000001</v>
      </c>
      <c r="G23" s="21">
        <v>1000000</v>
      </c>
      <c r="H23" s="21">
        <f>VLOOKUP(F23&amp;"|"&amp;G23,$O$3:$P$16,2,FALSE)</f>
        <v>100</v>
      </c>
      <c r="I23" s="21">
        <f>VLOOKUP(F23&amp;"|"&amp;G23,$Q$3:$R$16,2,FALSE)</f>
        <v>49900</v>
      </c>
      <c r="J23" s="1"/>
      <c r="K23" s="1"/>
      <c r="L23" s="1"/>
      <c r="M23" s="1"/>
      <c r="N23" s="1"/>
      <c r="O23" s="49">
        <f>SUM(O21,R21)</f>
        <v>8808050</v>
      </c>
      <c r="P23" s="1"/>
      <c r="Q23" s="1"/>
      <c r="R23" s="1"/>
      <c r="S23" s="1"/>
      <c r="T23" s="30">
        <f>D193</f>
        <v>92100</v>
      </c>
      <c r="U23" s="30" t="str">
        <f>B186</f>
        <v>GENARAMJI</v>
      </c>
      <c r="V23" s="30" t="str">
        <f>C186</f>
        <v>J GUTTA</v>
      </c>
      <c r="W23" s="18"/>
      <c r="X23" s="30">
        <f>I193</f>
        <v>24950</v>
      </c>
      <c r="Y23" s="30" t="str">
        <f>G186</f>
        <v>NARENDRAJI</v>
      </c>
      <c r="Z23" s="30" t="str">
        <f>H186</f>
        <v>SACHINJI</v>
      </c>
    </row>
    <row r="24" spans="1:26" ht="20.25" thickTop="1" thickBot="1">
      <c r="A24" s="20"/>
      <c r="B24" s="21"/>
      <c r="C24" s="21"/>
      <c r="D24" s="21"/>
      <c r="E24" s="2"/>
      <c r="F24" s="20"/>
      <c r="G24" s="21"/>
      <c r="H24" s="21"/>
      <c r="I24" s="21"/>
      <c r="J24" s="1"/>
      <c r="K24" s="1"/>
      <c r="L24" s="1"/>
      <c r="M24" s="1"/>
      <c r="N24" s="1" t="s">
        <v>26</v>
      </c>
      <c r="O24" s="1"/>
      <c r="P24" s="1"/>
      <c r="Q24" s="1"/>
      <c r="R24" s="1"/>
      <c r="S24" s="1"/>
      <c r="T24" s="30">
        <f>D202</f>
        <v>96150</v>
      </c>
      <c r="U24" s="30" t="str">
        <f>B195</f>
        <v>HONARAMJI</v>
      </c>
      <c r="V24" s="30" t="str">
        <f>C195</f>
        <v>RAMARAM</v>
      </c>
      <c r="W24" s="18"/>
      <c r="X24" s="30">
        <f>I202</f>
        <v>49800</v>
      </c>
      <c r="Y24" s="30" t="str">
        <f>G195</f>
        <v>MEHNDARJI</v>
      </c>
      <c r="Z24" s="30" t="str">
        <f>H195</f>
        <v>SR NGR</v>
      </c>
    </row>
    <row r="25" spans="1:26" ht="20.25" thickTop="1" thickBot="1">
      <c r="A25" s="20"/>
      <c r="B25" s="21"/>
      <c r="C25" s="21"/>
      <c r="D25" s="21"/>
      <c r="E25" s="2"/>
      <c r="F25" s="20"/>
      <c r="G25" s="21"/>
      <c r="H25" s="21"/>
      <c r="I25" s="21"/>
      <c r="J25" s="1"/>
      <c r="K25" s="1"/>
      <c r="L25" s="1"/>
      <c r="M25" s="1" t="s">
        <v>182</v>
      </c>
      <c r="N25" s="1"/>
      <c r="O25" s="49"/>
      <c r="P25" s="1"/>
      <c r="Q25" s="1"/>
      <c r="R25" s="1"/>
      <c r="S25" s="1"/>
      <c r="T25" s="30">
        <f>D211</f>
        <v>99700</v>
      </c>
      <c r="U25" s="30" t="str">
        <f>B204</f>
        <v>KAILASHJI</v>
      </c>
      <c r="V25" s="30" t="str">
        <f>C204</f>
        <v>SHIVAMPET</v>
      </c>
      <c r="W25" s="18"/>
      <c r="X25" s="30">
        <f>I211</f>
        <v>88700</v>
      </c>
      <c r="Y25" s="30" t="str">
        <f>G204</f>
        <v>SOHANJI GUJAR</v>
      </c>
      <c r="Z25" s="30" t="str">
        <f>H204</f>
        <v>R R NGR</v>
      </c>
    </row>
    <row r="26" spans="1:26" ht="20.25" thickTop="1" thickBot="1">
      <c r="A26" s="36" t="s">
        <v>16</v>
      </c>
      <c r="B26" s="37"/>
      <c r="C26" s="38"/>
      <c r="D26" s="8">
        <f>SUM(D21:D25)</f>
        <v>142300</v>
      </c>
      <c r="E26" s="2"/>
      <c r="F26" s="36" t="s">
        <v>27</v>
      </c>
      <c r="G26" s="37"/>
      <c r="H26" s="38"/>
      <c r="I26" s="21">
        <f>SUM(I21:I25)</f>
        <v>149600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30"/>
      <c r="U26" s="18"/>
      <c r="V26" s="30"/>
      <c r="W26" s="18"/>
      <c r="X26" s="30">
        <f>I220</f>
        <v>45850</v>
      </c>
      <c r="Y26" s="30" t="str">
        <f>G213</f>
        <v>RAMESHJI</v>
      </c>
      <c r="Z26" s="30" t="str">
        <f>H213</f>
        <v>RR NAGAR</v>
      </c>
    </row>
    <row r="27" spans="1:26" ht="17.25" thickTop="1" thickBot="1">
      <c r="A27" s="31"/>
      <c r="B27" s="2"/>
      <c r="C27" s="2"/>
      <c r="D27" s="2"/>
      <c r="E27" s="2"/>
      <c r="F27" s="31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30">
        <f>D229</f>
        <v>23850</v>
      </c>
      <c r="U27" s="30" t="str">
        <f>B222</f>
        <v>GENARAMJI</v>
      </c>
      <c r="V27" s="30" t="str">
        <f>C222</f>
        <v>RAMARAM</v>
      </c>
      <c r="W27" s="18"/>
      <c r="X27" s="30">
        <f>I229</f>
        <v>23850</v>
      </c>
      <c r="Y27" s="30" t="str">
        <f>G222</f>
        <v>JAGDISHJI</v>
      </c>
      <c r="Z27" s="30" t="str">
        <f>H222</f>
        <v>PPR NGR</v>
      </c>
    </row>
    <row r="28" spans="1:26" ht="20.25" thickTop="1" thickBot="1">
      <c r="A28" s="20" t="s">
        <v>0</v>
      </c>
      <c r="B28" s="21" t="s">
        <v>187</v>
      </c>
      <c r="C28" s="21" t="s">
        <v>28</v>
      </c>
      <c r="D28" s="9">
        <v>45998</v>
      </c>
      <c r="E28" s="2"/>
      <c r="F28" s="20" t="s">
        <v>0</v>
      </c>
      <c r="G28" s="21" t="s">
        <v>29</v>
      </c>
      <c r="H28" s="21" t="s">
        <v>30</v>
      </c>
      <c r="I28" s="9">
        <v>45998</v>
      </c>
      <c r="J28" s="1"/>
      <c r="K28" s="1"/>
      <c r="L28" s="1"/>
      <c r="M28" s="1"/>
      <c r="N28" s="50"/>
      <c r="O28" s="1"/>
      <c r="P28" s="1"/>
      <c r="Q28" s="1"/>
      <c r="R28" s="1"/>
      <c r="S28" s="1"/>
      <c r="T28" s="30">
        <f>D238</f>
        <v>22650</v>
      </c>
      <c r="U28" s="30" t="str">
        <f>B231</f>
        <v>BHUNDARAMJI</v>
      </c>
      <c r="V28" s="30" t="str">
        <f>C231</f>
        <v>PRAGTI NGR</v>
      </c>
      <c r="W28" s="18"/>
      <c r="X28" s="30">
        <f>I238</f>
        <v>92500</v>
      </c>
      <c r="Y28" s="30" t="str">
        <f>G231</f>
        <v>JOGARAMJI</v>
      </c>
      <c r="Z28" s="30" t="str">
        <f>H231</f>
        <v>KU PALLY</v>
      </c>
    </row>
    <row r="29" spans="1:26" ht="20.25" thickTop="1" thickBot="1">
      <c r="A29" s="20" t="s">
        <v>6</v>
      </c>
      <c r="B29" s="21" t="s">
        <v>7</v>
      </c>
      <c r="C29" s="21" t="s">
        <v>8</v>
      </c>
      <c r="D29" s="21" t="s">
        <v>9</v>
      </c>
      <c r="E29" s="2"/>
      <c r="F29" s="20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30">
        <f>D247</f>
        <v>43000</v>
      </c>
      <c r="U29" s="30" t="str">
        <f>B240</f>
        <v>RAMESHJI</v>
      </c>
      <c r="V29" s="30" t="str">
        <f>C240</f>
        <v>KONDAPUR</v>
      </c>
      <c r="W29" s="18"/>
      <c r="X29" s="30">
        <f>I247</f>
        <v>225850</v>
      </c>
      <c r="Y29" s="30" t="str">
        <f>G240</f>
        <v>MANOHARJI</v>
      </c>
      <c r="Z29" s="30" t="str">
        <f>H240</f>
        <v>PAPI REDDY</v>
      </c>
    </row>
    <row r="30" spans="1:26" ht="20.25" thickTop="1" thickBot="1">
      <c r="A30" s="31">
        <v>19.100000000000001</v>
      </c>
      <c r="B30" s="21">
        <v>1000000</v>
      </c>
      <c r="C30" s="21">
        <f>VLOOKUP(A30&amp;"|"&amp;B30,$O$3:$P$16,2,FALSE)</f>
        <v>100</v>
      </c>
      <c r="D30" s="21">
        <f>VLOOKUP(A30&amp;"|"&amp;B30,$Q$3:$R$16,2,FALSE)</f>
        <v>49900</v>
      </c>
      <c r="E30" s="2"/>
      <c r="F30" s="26">
        <v>8</v>
      </c>
      <c r="G30" s="21">
        <v>500000</v>
      </c>
      <c r="H30" s="21">
        <f>VLOOKUP(F30&amp;"|"&amp;G30,$O$3:$P$16,2,FALSE)</f>
        <v>2350</v>
      </c>
      <c r="I30" s="21">
        <f>VLOOKUP(F30&amp;"|"&amp;G30,$Q$3:$R$16,2,FALSE)</f>
        <v>22650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30">
        <f>D256</f>
        <v>84650</v>
      </c>
      <c r="U30" s="30" t="str">
        <f>B249</f>
        <v>OMJI</v>
      </c>
      <c r="V30" s="30" t="str">
        <f>C249</f>
        <v>IDPL</v>
      </c>
      <c r="W30" s="18"/>
      <c r="X30" s="30">
        <f>I256</f>
        <v>23850</v>
      </c>
      <c r="Y30" s="30" t="str">
        <f>G249</f>
        <v>KISHANJI</v>
      </c>
      <c r="Z30" s="30" t="str">
        <f>H249</f>
        <v>KAMMAN</v>
      </c>
    </row>
    <row r="31" spans="1:26" ht="20.25" thickTop="1" thickBot="1">
      <c r="A31" s="31">
        <v>16</v>
      </c>
      <c r="B31" s="21">
        <v>500000</v>
      </c>
      <c r="C31" s="21">
        <f>VLOOKUP(A31&amp;"|"&amp;B31,$O$3:$P$16,2,FALSE)</f>
        <v>650</v>
      </c>
      <c r="D31" s="21">
        <f>VLOOKUP(A31&amp;"|"&amp;B31,$Q$3:$R$16,2,FALSE)</f>
        <v>24350</v>
      </c>
      <c r="E31" s="2"/>
      <c r="F31" s="20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30">
        <f>D265</f>
        <v>71200</v>
      </c>
      <c r="U31" s="30" t="str">
        <f>B258</f>
        <v>HEMARAMJI</v>
      </c>
      <c r="V31" s="30" t="str">
        <f>C258</f>
        <v>YAMJAL</v>
      </c>
      <c r="W31" s="18"/>
      <c r="X31" s="30">
        <f>I265</f>
        <v>43000</v>
      </c>
      <c r="Y31" s="30" t="str">
        <f>G258</f>
        <v>SURENDER</v>
      </c>
      <c r="Z31" s="30" t="str">
        <f>H258</f>
        <v>P R NGR</v>
      </c>
    </row>
    <row r="32" spans="1:26" ht="20.25" thickTop="1" thickBot="1">
      <c r="A32" s="31">
        <v>16</v>
      </c>
      <c r="B32" s="21">
        <v>500000</v>
      </c>
      <c r="C32" s="21">
        <f>VLOOKUP(A32&amp;"|"&amp;B32,$O$3:$P$16,2,FALSE)</f>
        <v>650</v>
      </c>
      <c r="D32" s="21">
        <f>VLOOKUP(A32&amp;"|"&amp;B32,$Q$3:$R$16,2,FALSE)</f>
        <v>24350</v>
      </c>
      <c r="E32" s="2"/>
      <c r="F32" s="20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30">
        <f>D274</f>
        <v>22650</v>
      </c>
      <c r="U32" s="30" t="str">
        <f>B267</f>
        <v>DURGARAMJI</v>
      </c>
      <c r="V32" s="30" t="str">
        <f>C267</f>
        <v>RAMARAM</v>
      </c>
      <c r="W32" s="18"/>
      <c r="X32" s="30">
        <f>I274</f>
        <v>22650</v>
      </c>
      <c r="Y32" s="30" t="str">
        <f>G267</f>
        <v>MANGILALJI</v>
      </c>
      <c r="Z32" s="30" t="str">
        <f>H267</f>
        <v>SURARAM</v>
      </c>
    </row>
    <row r="33" spans="1:26" ht="20.25" thickTop="1" thickBot="1">
      <c r="A33" s="31">
        <v>19.100000000000001</v>
      </c>
      <c r="B33" s="21">
        <v>1000000</v>
      </c>
      <c r="C33" s="21">
        <f>VLOOKUP(A33&amp;"|"&amp;B33,$O$3:$P$16,2,FALSE)</f>
        <v>100</v>
      </c>
      <c r="D33" s="21">
        <f>VLOOKUP(A33&amp;"|"&amp;B33,$Q$3:$R$16,2,FALSE)</f>
        <v>49900</v>
      </c>
      <c r="E33" s="2"/>
      <c r="F33" s="20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30">
        <f>D284</f>
        <v>88450</v>
      </c>
      <c r="U33" s="30" t="str">
        <f>B276</f>
        <v>DHANARAMJI</v>
      </c>
      <c r="V33" s="30" t="str">
        <f>C276</f>
        <v>KAMAN</v>
      </c>
      <c r="W33" s="18"/>
      <c r="X33" s="30">
        <f>I284</f>
        <v>186550</v>
      </c>
      <c r="Y33" s="30" t="str">
        <f>G276</f>
        <v>NARAYANJI</v>
      </c>
      <c r="Z33" s="30" t="str">
        <f>H276</f>
        <v>KAMAN</v>
      </c>
    </row>
    <row r="34" spans="1:26" ht="20.25" thickTop="1" thickBot="1">
      <c r="A34" s="20"/>
      <c r="B34" s="21"/>
      <c r="C34" s="21"/>
      <c r="D34" s="21"/>
      <c r="E34" s="2"/>
      <c r="F34" s="20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30">
        <f>D293</f>
        <v>115150</v>
      </c>
      <c r="U34" s="30" t="str">
        <f>B286</f>
        <v>KHUSHVIRJI</v>
      </c>
      <c r="V34" s="30" t="str">
        <f>C286</f>
        <v>MEDCHAL</v>
      </c>
      <c r="W34" s="18"/>
      <c r="X34" s="30">
        <f>I293</f>
        <v>118800</v>
      </c>
      <c r="Y34" s="30" t="str">
        <f>G286</f>
        <v>MOHANJI</v>
      </c>
      <c r="Z34" s="30" t="str">
        <f>H286</f>
        <v>J GUTTA</v>
      </c>
    </row>
    <row r="35" spans="1:26" ht="20.25" thickTop="1" thickBot="1">
      <c r="A35" s="36" t="s">
        <v>16</v>
      </c>
      <c r="B35" s="37"/>
      <c r="C35" s="38"/>
      <c r="D35" s="8">
        <f>SUM(D30:D34)</f>
        <v>148500</v>
      </c>
      <c r="E35" s="2"/>
      <c r="F35" s="36" t="s">
        <v>16</v>
      </c>
      <c r="G35" s="37"/>
      <c r="H35" s="38"/>
      <c r="I35" s="21">
        <f>SUM(I30:I34)</f>
        <v>22650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30">
        <f>D302</f>
        <v>166650</v>
      </c>
      <c r="U35" s="30" t="str">
        <f>B295</f>
        <v>MUNJI</v>
      </c>
      <c r="V35" s="30" t="str">
        <f>C295</f>
        <v>RAMARAM</v>
      </c>
      <c r="W35" s="18"/>
      <c r="X35" s="30">
        <f>I302</f>
        <v>138750</v>
      </c>
      <c r="Y35" s="30" t="str">
        <f>G295</f>
        <v>JAIRUPRAMJI</v>
      </c>
      <c r="Z35" s="30" t="str">
        <f>H295</f>
        <v>RMTPUR</v>
      </c>
    </row>
    <row r="36" spans="1:26" ht="17.25" thickTop="1" thickBot="1">
      <c r="A36" s="31"/>
      <c r="B36" s="2"/>
      <c r="C36" s="2"/>
      <c r="D36" s="2"/>
      <c r="E36" s="2"/>
      <c r="F36" s="31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30">
        <f>D311</f>
        <v>88450</v>
      </c>
      <c r="U36" s="30" t="str">
        <f>B304</f>
        <v>RAMESHJI</v>
      </c>
      <c r="V36" s="30" t="str">
        <f>C304</f>
        <v>ALWN COL</v>
      </c>
      <c r="W36" s="18"/>
      <c r="X36" s="30">
        <f>I311</f>
        <v>46250</v>
      </c>
      <c r="Y36" s="30" t="str">
        <f>G304</f>
        <v>SURESHJI</v>
      </c>
      <c r="Z36" s="30" t="str">
        <f>H304</f>
        <v>KAMAN</v>
      </c>
    </row>
    <row r="37" spans="1:26" ht="20.25" thickTop="1" thickBot="1">
      <c r="A37" s="20" t="s">
        <v>0</v>
      </c>
      <c r="B37" s="21" t="s">
        <v>31</v>
      </c>
      <c r="C37" s="21" t="s">
        <v>32</v>
      </c>
      <c r="D37" s="9">
        <v>45998</v>
      </c>
      <c r="E37" s="2"/>
      <c r="F37" s="20" t="s">
        <v>0</v>
      </c>
      <c r="G37" s="21" t="s">
        <v>33</v>
      </c>
      <c r="H37" s="21" t="s">
        <v>34</v>
      </c>
      <c r="I37" s="9">
        <v>45998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30">
        <f>D320</f>
        <v>46500</v>
      </c>
      <c r="U37" s="30" t="str">
        <f>B313</f>
        <v>OM</v>
      </c>
      <c r="V37" s="30" t="str">
        <f>C313</f>
        <v>J GUTTA</v>
      </c>
      <c r="W37" s="18"/>
      <c r="X37" s="30">
        <f>I320</f>
        <v>24950</v>
      </c>
      <c r="Y37" s="30" t="str">
        <f>G313</f>
        <v>NARAYANJI</v>
      </c>
      <c r="Z37" s="30" t="str">
        <f>H313</f>
        <v>ALWAL</v>
      </c>
    </row>
    <row r="38" spans="1:26" ht="20.25" thickTop="1" thickBot="1">
      <c r="A38" s="20" t="s">
        <v>6</v>
      </c>
      <c r="B38" s="21" t="s">
        <v>7</v>
      </c>
      <c r="C38" s="21" t="s">
        <v>8</v>
      </c>
      <c r="D38" s="21" t="s">
        <v>9</v>
      </c>
      <c r="E38" s="2"/>
      <c r="F38" s="20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30">
        <f>D329</f>
        <v>21500</v>
      </c>
      <c r="U38" s="30" t="str">
        <f>B322</f>
        <v>BABULALJI</v>
      </c>
      <c r="V38" s="30" t="str">
        <f>C322</f>
        <v>CHILKA NGR</v>
      </c>
      <c r="W38" s="18"/>
      <c r="X38" s="30">
        <f>I329</f>
        <v>23850</v>
      </c>
      <c r="Y38" s="30" t="str">
        <f>G322</f>
        <v>CHENJI</v>
      </c>
      <c r="Z38" s="30" t="str">
        <f>H322</f>
        <v>BOLARAM</v>
      </c>
    </row>
    <row r="39" spans="1:26" ht="20.25" thickTop="1" thickBot="1">
      <c r="A39" s="31">
        <v>13</v>
      </c>
      <c r="B39" s="21">
        <v>250000</v>
      </c>
      <c r="C39" s="21">
        <f>VLOOKUP(A39&amp;"|"&amp;B39,$O$3:$P$16,2,FALSE)</f>
        <v>575</v>
      </c>
      <c r="D39" s="21">
        <f>VLOOKUP(A39&amp;"|"&amp;B39,$Q$3:$R$16,2,FALSE)</f>
        <v>11925</v>
      </c>
      <c r="E39" s="2"/>
      <c r="F39" s="26">
        <v>19.100000000000001</v>
      </c>
      <c r="G39" s="21">
        <v>1000000</v>
      </c>
      <c r="H39" s="21">
        <f>VLOOKUP(F39&amp;"|"&amp;G39,$O$3:$P$16,2,FALSE)</f>
        <v>100</v>
      </c>
      <c r="I39" s="21">
        <f>VLOOKUP(F39&amp;"|"&amp;G39,$Q$3:$R$16,2,FALSE)</f>
        <v>49900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30">
        <f>D338</f>
        <v>48200</v>
      </c>
      <c r="U39" s="30" t="str">
        <f>B331</f>
        <v>MUKESHJI</v>
      </c>
      <c r="V39" s="30" t="str">
        <f>C331</f>
        <v>RAMARAM</v>
      </c>
      <c r="W39" s="18"/>
      <c r="X39" s="30">
        <f>I338</f>
        <v>23850</v>
      </c>
      <c r="Y39" s="30" t="str">
        <f>G331</f>
        <v>MOHANJI</v>
      </c>
      <c r="Z39" s="30" t="str">
        <f>H331</f>
        <v>YAMJAL</v>
      </c>
    </row>
    <row r="40" spans="1:26" ht="20.25" thickTop="1" thickBot="1">
      <c r="A40" s="31">
        <v>19</v>
      </c>
      <c r="B40" s="21">
        <v>250000</v>
      </c>
      <c r="C40" s="21">
        <f>VLOOKUP(A40&amp;"|"&amp;B40,$O$3:$P$18,2,FALSE)</f>
        <v>25</v>
      </c>
      <c r="D40" s="21">
        <f>VLOOKUP(A40&amp;"|"&amp;B40,$Q$3:$R$18,2,FALSE)</f>
        <v>12475</v>
      </c>
      <c r="E40" s="2"/>
      <c r="F40" s="26">
        <v>8</v>
      </c>
      <c r="G40" s="21">
        <v>2000000</v>
      </c>
      <c r="H40" s="21">
        <f>VLOOKUP(F40&amp;"|"&amp;G40,$O$3:$P$16,2,FALSE)</f>
        <v>7500</v>
      </c>
      <c r="I40" s="21">
        <f>VLOOKUP(F40&amp;"|"&amp;G40,$Q$3:$R$16,2,FALSE)</f>
        <v>92500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30">
        <f>D347</f>
        <v>24350</v>
      </c>
      <c r="U40" s="30" t="str">
        <f>B340</f>
        <v>MISRILALJI</v>
      </c>
      <c r="V40" s="30" t="str">
        <f>C340</f>
        <v>MEDCHAL</v>
      </c>
      <c r="W40" s="18"/>
      <c r="X40" s="30">
        <f>I347</f>
        <v>21500</v>
      </c>
      <c r="Y40" s="30" t="str">
        <f>G340</f>
        <v>GOPJI</v>
      </c>
      <c r="Z40" s="30" t="str">
        <f>H340</f>
        <v>KOTLAPUR</v>
      </c>
    </row>
    <row r="41" spans="1:26" ht="20.25" thickTop="1" thickBot="1">
      <c r="A41" s="20"/>
      <c r="B41" s="21"/>
      <c r="C41" s="21"/>
      <c r="D41" s="21"/>
      <c r="E41" s="2"/>
      <c r="F41" s="20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30">
        <f>D356</f>
        <v>24950</v>
      </c>
      <c r="U41" s="30" t="str">
        <f>B349</f>
        <v>GOVIND</v>
      </c>
      <c r="V41" s="30" t="str">
        <f>C349</f>
        <v>PPR NGR</v>
      </c>
      <c r="W41" s="18"/>
      <c r="X41" s="30">
        <f>I356</f>
        <v>21500</v>
      </c>
      <c r="Y41" s="30" t="str">
        <f>G349</f>
        <v>NEMJI</v>
      </c>
      <c r="Z41" s="30" t="str">
        <f>H349</f>
        <v>SUCHITRA</v>
      </c>
    </row>
    <row r="42" spans="1:26" ht="20.25" thickTop="1" thickBot="1">
      <c r="A42" s="20"/>
      <c r="B42" s="21"/>
      <c r="C42" s="21"/>
      <c r="D42" s="21"/>
      <c r="E42" s="2"/>
      <c r="F42" s="20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30">
        <f>D365</f>
        <v>65100</v>
      </c>
      <c r="U42" s="30" t="str">
        <f>B358</f>
        <v>SOHANLALJI</v>
      </c>
      <c r="V42" s="30" t="str">
        <f>C358</f>
        <v>RR NGR</v>
      </c>
      <c r="W42" s="18"/>
      <c r="X42" s="30">
        <f>I365</f>
        <v>24350</v>
      </c>
      <c r="Y42" s="30" t="str">
        <f>G358</f>
        <v>HIMTARAMJI</v>
      </c>
      <c r="Z42" s="30" t="str">
        <f>H358</f>
        <v>SURARAM</v>
      </c>
    </row>
    <row r="43" spans="1:26" ht="20.25" thickTop="1" thickBot="1">
      <c r="A43" s="20"/>
      <c r="B43" s="21"/>
      <c r="C43" s="21"/>
      <c r="D43" s="21"/>
      <c r="E43" s="2"/>
      <c r="F43" s="20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30">
        <f>D374</f>
        <v>67750</v>
      </c>
      <c r="U43" s="30" t="str">
        <f>B367</f>
        <v>KISHANJI</v>
      </c>
      <c r="V43" s="30" t="str">
        <f>C367</f>
        <v>KAMAN</v>
      </c>
      <c r="W43" s="18"/>
      <c r="X43" s="30">
        <f>I374</f>
        <v>24350</v>
      </c>
      <c r="Y43" s="30" t="str">
        <f>G367</f>
        <v>CHENJI</v>
      </c>
      <c r="Z43" s="30" t="str">
        <f>H367</f>
        <v>SURARAM</v>
      </c>
    </row>
    <row r="44" spans="1:26" ht="20.25" thickTop="1" thickBot="1">
      <c r="A44" s="36" t="s">
        <v>16</v>
      </c>
      <c r="B44" s="37"/>
      <c r="C44" s="38"/>
      <c r="D44" s="8">
        <f>SUM(D39:D43)</f>
        <v>24400</v>
      </c>
      <c r="E44" s="2"/>
      <c r="F44" s="36" t="s">
        <v>16</v>
      </c>
      <c r="G44" s="37"/>
      <c r="H44" s="38"/>
      <c r="I44" s="21">
        <f>SUM(I39:I43)</f>
        <v>142400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30">
        <f>D383</f>
        <v>22650</v>
      </c>
      <c r="U44" s="30" t="str">
        <f>B376</f>
        <v>RAMESHJI</v>
      </c>
      <c r="V44" s="30" t="str">
        <f>C376</f>
        <v>SHAPUR</v>
      </c>
      <c r="W44" s="18"/>
      <c r="X44" s="30">
        <f>I383</f>
        <v>22650</v>
      </c>
      <c r="Y44" s="30" t="str">
        <f>G376</f>
        <v>OMJI</v>
      </c>
      <c r="Z44" s="30" t="str">
        <f>H376</f>
        <v>SEC</v>
      </c>
    </row>
    <row r="45" spans="1:26" ht="17.25" thickTop="1" thickBot="1">
      <c r="A45" s="31"/>
      <c r="B45" s="2"/>
      <c r="C45" s="2"/>
      <c r="D45" s="2"/>
      <c r="E45" s="2"/>
      <c r="F45" s="31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30">
        <f>D392</f>
        <v>99700</v>
      </c>
      <c r="U45" s="30" t="str">
        <f>B385</f>
        <v>MISRILALJI</v>
      </c>
      <c r="V45" s="30" t="str">
        <f>C385</f>
        <v>SEC</v>
      </c>
      <c r="W45" s="18"/>
      <c r="X45" s="30">
        <f>I392</f>
        <v>23850</v>
      </c>
      <c r="Y45" s="30" t="str">
        <f>G385</f>
        <v>MOTIJI</v>
      </c>
      <c r="Z45" s="30" t="str">
        <f>H385</f>
        <v>MUSAPET</v>
      </c>
    </row>
    <row r="46" spans="1:26" ht="20.25" thickTop="1" thickBot="1">
      <c r="A46" s="20" t="s">
        <v>0</v>
      </c>
      <c r="B46" s="21" t="s">
        <v>35</v>
      </c>
      <c r="C46" s="21" t="s">
        <v>36</v>
      </c>
      <c r="D46" s="9">
        <v>45998</v>
      </c>
      <c r="E46" s="2"/>
      <c r="F46" s="20" t="s">
        <v>0</v>
      </c>
      <c r="G46" s="21" t="s">
        <v>37</v>
      </c>
      <c r="H46" s="21" t="s">
        <v>38</v>
      </c>
      <c r="I46" s="9">
        <v>45998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30">
        <f>D401</f>
        <v>49800</v>
      </c>
      <c r="U46" s="30" t="str">
        <f>B394</f>
        <v>BAGDARAMJI</v>
      </c>
      <c r="V46" s="30" t="str">
        <f>C394</f>
        <v>GANDHINGR</v>
      </c>
      <c r="W46" s="18"/>
      <c r="X46" s="30">
        <f>I401</f>
        <v>46250</v>
      </c>
      <c r="Y46" s="30" t="str">
        <f>G394</f>
        <v>KANJI</v>
      </c>
      <c r="Z46" s="30" t="str">
        <f>H394</f>
        <v>SANGA RDY</v>
      </c>
    </row>
    <row r="47" spans="1:26" ht="20.25" thickTop="1" thickBot="1">
      <c r="A47" s="20" t="s">
        <v>6</v>
      </c>
      <c r="B47" s="21" t="s">
        <v>7</v>
      </c>
      <c r="C47" s="21" t="s">
        <v>8</v>
      </c>
      <c r="D47" s="21" t="s">
        <v>9</v>
      </c>
      <c r="E47" s="2"/>
      <c r="F47" s="20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30">
        <f>D410</f>
        <v>49900</v>
      </c>
      <c r="U47" s="18" t="str">
        <f>B403</f>
        <v>NEMARANJI</v>
      </c>
      <c r="V47" s="18" t="str">
        <f>C403</f>
        <v>INDERSUM</v>
      </c>
      <c r="W47" s="18"/>
      <c r="X47" s="30">
        <f>I410</f>
        <v>46450</v>
      </c>
      <c r="Y47" s="30" t="str">
        <f>G403</f>
        <v>BUDARAMJI</v>
      </c>
      <c r="Z47" s="30" t="str">
        <f>H403</f>
        <v>PADMA NR</v>
      </c>
    </row>
    <row r="48" spans="1:26" ht="20.25" thickTop="1" thickBot="1">
      <c r="A48" s="31">
        <v>19.100000000000001</v>
      </c>
      <c r="B48" s="21">
        <v>500000</v>
      </c>
      <c r="C48" s="21">
        <f>VLOOKUP(A48&amp;"|"&amp;B48,$O$3:$P$16,2,FALSE)</f>
        <v>50</v>
      </c>
      <c r="D48" s="21">
        <f>VLOOKUP(A48&amp;"|"&amp;B48,$Q$3:$R$16,2,FALSE)</f>
        <v>24950</v>
      </c>
      <c r="E48" s="2"/>
      <c r="F48" s="26">
        <v>16</v>
      </c>
      <c r="G48" s="21">
        <v>500000</v>
      </c>
      <c r="H48" s="21">
        <f>VLOOKUP(F48&amp;"|"&amp;G48,$O$3:$P$16,2,FALSE)</f>
        <v>650</v>
      </c>
      <c r="I48" s="21">
        <f>VLOOKUP(F48&amp;"|"&amp;G48,$Q$3:$R$16,2,FALSE)</f>
        <v>24350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30">
        <f>D419</f>
        <v>22650</v>
      </c>
      <c r="U48" s="18" t="str">
        <f>B412</f>
        <v>HEMANTJI</v>
      </c>
      <c r="V48" s="18" t="str">
        <f>C412</f>
        <v>SURARAM</v>
      </c>
      <c r="W48" s="18"/>
      <c r="X48" s="30">
        <f>I419</f>
        <v>42200</v>
      </c>
      <c r="Y48" s="30" t="str">
        <f>G412</f>
        <v>KEWALJI</v>
      </c>
      <c r="Z48" s="30" t="str">
        <f>H412</f>
        <v>GOMARAM</v>
      </c>
    </row>
    <row r="49" spans="1:26" ht="20.25" thickTop="1" thickBot="1">
      <c r="A49" s="20"/>
      <c r="B49" s="21"/>
      <c r="C49" s="21"/>
      <c r="D49" s="21"/>
      <c r="E49" s="2"/>
      <c r="F49" s="31">
        <v>3</v>
      </c>
      <c r="G49" s="21">
        <v>500000</v>
      </c>
      <c r="H49" s="21">
        <f>VLOOKUP(F49&amp;"|"&amp;G49,$O$3:$P$16,2,FALSE)</f>
        <v>3500</v>
      </c>
      <c r="I49" s="21">
        <f>VLOOKUP(F49&amp;"|"&amp;G49,$Q$3:$R$16,2,FALSE)</f>
        <v>21500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30">
        <f>D428</f>
        <v>46250</v>
      </c>
      <c r="U49" s="18" t="str">
        <f>B421</f>
        <v>RAJUJI</v>
      </c>
      <c r="V49" s="18" t="str">
        <f>C421</f>
        <v>SHAPUR</v>
      </c>
      <c r="W49" s="18"/>
      <c r="X49" s="30">
        <f>I428</f>
        <v>92500</v>
      </c>
      <c r="Y49" s="18" t="str">
        <f>G421</f>
        <v>SESHARAMJI</v>
      </c>
      <c r="Z49" s="18" t="str">
        <f>H421</f>
        <v>J GUTTA</v>
      </c>
    </row>
    <row r="50" spans="1:26" ht="20.25" thickTop="1" thickBot="1">
      <c r="A50" s="20"/>
      <c r="B50" s="21"/>
      <c r="C50" s="21"/>
      <c r="D50" s="21"/>
      <c r="E50" s="2"/>
      <c r="F50" s="20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30">
        <f>D437</f>
        <v>46250</v>
      </c>
      <c r="U50" s="18" t="str">
        <f>B430</f>
        <v>GOUTAMJI</v>
      </c>
      <c r="V50" s="18" t="str">
        <f>C430</f>
        <v>RAMARAM</v>
      </c>
      <c r="W50" s="18"/>
      <c r="X50" s="30">
        <f>I437</f>
        <v>46250</v>
      </c>
      <c r="Y50" s="18" t="str">
        <f>G430</f>
        <v>PRAKASHJI</v>
      </c>
      <c r="Z50" s="18" t="str">
        <f>H430</f>
        <v>INDARSAM</v>
      </c>
    </row>
    <row r="51" spans="1:26" ht="20.25" thickTop="1" thickBot="1">
      <c r="A51" s="20"/>
      <c r="B51" s="21"/>
      <c r="C51" s="21"/>
      <c r="D51" s="21"/>
      <c r="E51" s="2"/>
      <c r="F51" s="20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30">
        <f>D446</f>
        <v>21500</v>
      </c>
      <c r="U51" s="18" t="str">
        <f>B439</f>
        <v>BHERARAMJI</v>
      </c>
      <c r="V51" s="18" t="str">
        <f>C439</f>
        <v>SURARAM</v>
      </c>
      <c r="W51" s="18"/>
      <c r="X51" s="30">
        <f>I446</f>
        <v>92500</v>
      </c>
      <c r="Y51" s="18" t="str">
        <f>G439</f>
        <v>TARJI (R J)</v>
      </c>
      <c r="Z51" s="18" t="str">
        <f>H439</f>
        <v>SURARAM</v>
      </c>
    </row>
    <row r="52" spans="1:26" ht="20.25" thickTop="1" thickBot="1">
      <c r="A52" s="20"/>
      <c r="B52" s="21"/>
      <c r="C52" s="21"/>
      <c r="D52" s="21"/>
      <c r="E52" s="2"/>
      <c r="F52" s="20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30">
        <f>D455</f>
        <v>42200</v>
      </c>
      <c r="U52" s="18" t="str">
        <f>B448</f>
        <v>MISRILALJI</v>
      </c>
      <c r="V52" s="18" t="str">
        <f>C448</f>
        <v>GUTTA</v>
      </c>
      <c r="W52" s="18"/>
      <c r="X52" s="30">
        <f>I455</f>
        <v>42450</v>
      </c>
      <c r="Y52" s="18" t="str">
        <f>G448</f>
        <v>RAKESHDASHJI</v>
      </c>
      <c r="Z52" s="18" t="str">
        <f>H448</f>
        <v>GUTTA</v>
      </c>
    </row>
    <row r="53" spans="1:26" ht="20.25" thickTop="1" thickBot="1">
      <c r="A53" s="36" t="s">
        <v>16</v>
      </c>
      <c r="B53" s="37"/>
      <c r="C53" s="38"/>
      <c r="D53" s="8">
        <f>SUM(D48:D52)</f>
        <v>24950</v>
      </c>
      <c r="E53" s="2"/>
      <c r="F53" s="36" t="s">
        <v>16</v>
      </c>
      <c r="G53" s="37"/>
      <c r="H53" s="38"/>
      <c r="I53" s="21">
        <f>SUM(I48:I52)</f>
        <v>45850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30">
        <f>D464</f>
        <v>71200</v>
      </c>
      <c r="U53" s="18" t="str">
        <f>B457</f>
        <v>RAMESHJI</v>
      </c>
      <c r="V53" s="18" t="str">
        <f>C457</f>
        <v>BOOK GUTA</v>
      </c>
      <c r="W53" s="18"/>
      <c r="X53" s="30">
        <f>I464</f>
        <v>46250</v>
      </c>
      <c r="Y53" s="18" t="str">
        <f>G457</f>
        <v>HEERJI</v>
      </c>
      <c r="Z53" s="18" t="str">
        <f>H457</f>
        <v>HANUMAN NG</v>
      </c>
    </row>
    <row r="54" spans="1:26" ht="17.25" thickTop="1" thickBot="1">
      <c r="A54" s="31"/>
      <c r="B54" s="2"/>
      <c r="C54" s="2"/>
      <c r="D54" s="2"/>
      <c r="E54" s="2"/>
      <c r="F54" s="31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30">
        <f>D473</f>
        <v>92000</v>
      </c>
      <c r="U54" s="18" t="str">
        <f>B466</f>
        <v>VALARAMJI</v>
      </c>
      <c r="V54" s="18" t="str">
        <f>C466</f>
        <v>CHINTAL</v>
      </c>
      <c r="W54" s="18"/>
      <c r="X54" s="30">
        <f>I473</f>
        <v>49800</v>
      </c>
      <c r="Y54" s="18" t="str">
        <f>G466</f>
        <v>NEMARAMJI</v>
      </c>
      <c r="Z54" s="18" t="str">
        <f>H466</f>
        <v>KOMPALY</v>
      </c>
    </row>
    <row r="55" spans="1:26" ht="20.25" thickTop="1" thickBot="1">
      <c r="A55" s="20" t="s">
        <v>0</v>
      </c>
      <c r="B55" s="21" t="s">
        <v>1</v>
      </c>
      <c r="C55" s="21" t="s">
        <v>39</v>
      </c>
      <c r="D55" s="9">
        <v>45998</v>
      </c>
      <c r="E55" s="2"/>
      <c r="F55" s="20" t="s">
        <v>0</v>
      </c>
      <c r="G55" s="21" t="s">
        <v>40</v>
      </c>
      <c r="H55" s="21" t="s">
        <v>41</v>
      </c>
      <c r="I55" s="9">
        <v>45998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30">
        <f>D482</f>
        <v>24950</v>
      </c>
      <c r="U55" s="18" t="str">
        <f>B475</f>
        <v>NARAYANLALJI</v>
      </c>
      <c r="V55" s="18" t="str">
        <f>C475</f>
        <v>SURARAM</v>
      </c>
      <c r="W55" s="30"/>
      <c r="X55" s="30">
        <f>I482</f>
        <v>21500</v>
      </c>
      <c r="Y55" s="18" t="str">
        <f>G475</f>
        <v>ASHOKJI</v>
      </c>
      <c r="Z55" s="18" t="str">
        <f>H475</f>
        <v>SUCHITRA</v>
      </c>
    </row>
    <row r="56" spans="1:26" ht="20.25" thickTop="1" thickBot="1">
      <c r="A56" s="20" t="s">
        <v>6</v>
      </c>
      <c r="B56" s="21" t="s">
        <v>7</v>
      </c>
      <c r="C56" s="21" t="s">
        <v>8</v>
      </c>
      <c r="D56" s="21" t="s">
        <v>9</v>
      </c>
      <c r="E56" s="2"/>
      <c r="F56" s="20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30">
        <f>D491</f>
        <v>48700</v>
      </c>
      <c r="U56" s="18" t="s">
        <v>42</v>
      </c>
      <c r="V56" s="18" t="s">
        <v>43</v>
      </c>
      <c r="W56" s="18"/>
      <c r="X56" s="30">
        <f>I491</f>
        <v>22650</v>
      </c>
      <c r="Y56" s="18" t="s">
        <v>44</v>
      </c>
      <c r="Z56" s="18" t="s">
        <v>43</v>
      </c>
    </row>
    <row r="57" spans="1:26" ht="20.25" thickTop="1" thickBot="1">
      <c r="A57" s="31">
        <v>19.100000000000001</v>
      </c>
      <c r="B57" s="21">
        <v>1000000</v>
      </c>
      <c r="C57" s="21">
        <f>VLOOKUP(A57&amp;"|"&amp;B57,$O$3:$P$16,2,FALSE)</f>
        <v>100</v>
      </c>
      <c r="D57" s="21">
        <f>VLOOKUP(A57&amp;"|"&amp;B57,$Q$3:$R$16,2,FALSE)</f>
        <v>49900</v>
      </c>
      <c r="E57" s="2"/>
      <c r="F57" s="26">
        <v>3.1</v>
      </c>
      <c r="G57" s="21">
        <v>1000000</v>
      </c>
      <c r="H57" s="21">
        <f>VLOOKUP(F57&amp;"|"&amp;G57,$O$3:$P$19,2,FALSE)</f>
        <v>7550</v>
      </c>
      <c r="I57" s="21">
        <f>VLOOKUP(F57&amp;"|"&amp;G57,$Q$3:$R$19,2,FALSE)</f>
        <v>42450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30">
        <f>D500</f>
        <v>23850</v>
      </c>
      <c r="U57" s="18" t="str">
        <f>B493</f>
        <v>CHANDARAMJI</v>
      </c>
      <c r="V57" s="18" t="str">
        <f>C493</f>
        <v>SURARAM</v>
      </c>
      <c r="W57" s="18"/>
      <c r="X57" s="30">
        <f>I500</f>
        <v>112550</v>
      </c>
      <c r="Y57" s="18" t="str">
        <f>G493</f>
        <v>VINJARAMJI</v>
      </c>
      <c r="Z57" s="18" t="str">
        <f>H493</f>
        <v>R R NAGAR</v>
      </c>
    </row>
    <row r="58" spans="1:26" ht="20.25" thickTop="1" thickBot="1">
      <c r="A58" s="31">
        <v>3</v>
      </c>
      <c r="B58" s="21">
        <v>1000000</v>
      </c>
      <c r="C58" s="21">
        <f>VLOOKUP(A58&amp;"|"&amp;B58,$O$3:$P$16,2,FALSE)</f>
        <v>7800</v>
      </c>
      <c r="D58" s="21">
        <f>VLOOKUP(A58&amp;"|"&amp;B58,$Q$3:$R$16,2,FALSE)</f>
        <v>42200</v>
      </c>
      <c r="E58" s="2"/>
      <c r="F58" s="26">
        <v>8</v>
      </c>
      <c r="G58" s="21">
        <v>500000</v>
      </c>
      <c r="H58" s="21">
        <f>VLOOKUP(F58&amp;"|"&amp;G58,$O$3:$P$19,2,FALSE)</f>
        <v>2350</v>
      </c>
      <c r="I58" s="21">
        <f>VLOOKUP(F58&amp;"|"&amp;G58,$Q$3:$R$19,2,FALSE)</f>
        <v>22650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30">
        <f>D509</f>
        <v>92500</v>
      </c>
      <c r="U58" s="30" t="str">
        <f>B502</f>
        <v>CHAMPALALJI</v>
      </c>
      <c r="V58" s="18" t="str">
        <f>C502</f>
        <v>RNGRD</v>
      </c>
      <c r="W58" s="18"/>
      <c r="X58" s="30">
        <f>I509</f>
        <v>22650</v>
      </c>
      <c r="Y58" s="18" t="str">
        <f>G502</f>
        <v>VENKTESHVAR</v>
      </c>
      <c r="Z58" s="18" t="str">
        <f>H502</f>
        <v>AB CO</v>
      </c>
    </row>
    <row r="59" spans="1:26" ht="20.25" thickTop="1" thickBot="1">
      <c r="A59" s="20"/>
      <c r="B59" s="21"/>
      <c r="C59" s="21"/>
      <c r="D59" s="21"/>
      <c r="E59" s="2"/>
      <c r="F59" s="20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30">
        <f>D518</f>
        <v>22650</v>
      </c>
      <c r="U59" s="18" t="str">
        <f>B511</f>
        <v>KEWALJI</v>
      </c>
      <c r="V59" s="18" t="str">
        <f>C511</f>
        <v>KAMMAN</v>
      </c>
      <c r="W59" s="30"/>
      <c r="X59" s="30">
        <f>I518</f>
        <v>22650</v>
      </c>
      <c r="Y59" s="18" t="str">
        <f>G511</f>
        <v>PRAKASHJI</v>
      </c>
      <c r="Z59" s="18" t="str">
        <f>H511</f>
        <v>AMEENPUR</v>
      </c>
    </row>
    <row r="60" spans="1:26" ht="20.25" thickTop="1" thickBot="1">
      <c r="A60" s="20"/>
      <c r="B60" s="21"/>
      <c r="C60" s="21"/>
      <c r="D60" s="21"/>
      <c r="E60" s="2"/>
      <c r="F60" s="20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30">
        <f>D527</f>
        <v>24950</v>
      </c>
      <c r="U60" s="18" t="str">
        <f>B520</f>
        <v>NIRMALJI</v>
      </c>
      <c r="V60" s="18" t="str">
        <f>C520</f>
        <v>KKPALLY</v>
      </c>
      <c r="W60" s="18"/>
      <c r="X60" s="30">
        <f>I527</f>
        <v>92500</v>
      </c>
      <c r="Y60" s="18" t="str">
        <f>G520</f>
        <v>THANARAMJI</v>
      </c>
      <c r="Z60" s="18" t="str">
        <f>H520</f>
        <v>SRIKAKULAM B</v>
      </c>
    </row>
    <row r="61" spans="1:26" ht="20.25" thickTop="1" thickBot="1">
      <c r="A61" s="20"/>
      <c r="B61" s="21"/>
      <c r="C61" s="21"/>
      <c r="D61" s="21"/>
      <c r="E61" s="2"/>
      <c r="F61" s="20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30">
        <f>D536</f>
        <v>84650</v>
      </c>
      <c r="U61" s="18" t="str">
        <f>B529</f>
        <v>NARAYANJI</v>
      </c>
      <c r="V61" s="18" t="str">
        <f>C529</f>
        <v>RR ROAD</v>
      </c>
      <c r="W61" s="18"/>
      <c r="X61" s="30">
        <f>I536</f>
        <v>92500</v>
      </c>
      <c r="Y61" s="18" t="str">
        <f>G529</f>
        <v>PUNJI</v>
      </c>
      <c r="Z61" s="18" t="str">
        <f>H529</f>
        <v>R ROAD</v>
      </c>
    </row>
    <row r="62" spans="1:26" ht="20.25" thickTop="1" thickBot="1">
      <c r="A62" s="36" t="s">
        <v>16</v>
      </c>
      <c r="B62" s="37"/>
      <c r="C62" s="38"/>
      <c r="D62" s="8">
        <f>SUM(D57:D61)</f>
        <v>92100</v>
      </c>
      <c r="E62" s="2"/>
      <c r="F62" s="36" t="s">
        <v>16</v>
      </c>
      <c r="G62" s="37"/>
      <c r="H62" s="38"/>
      <c r="I62" s="21">
        <f>SUM(I57:I61)</f>
        <v>65100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30">
        <f>D545</f>
        <v>42450</v>
      </c>
      <c r="U62" s="30" t="str">
        <f>B538</f>
        <v xml:space="preserve">GOTAMJI </v>
      </c>
      <c r="V62" s="18" t="str">
        <f>C538</f>
        <v>RR ROAD</v>
      </c>
      <c r="W62" s="30"/>
      <c r="X62" s="30">
        <f>I545</f>
        <v>84650</v>
      </c>
      <c r="Y62" s="18" t="str">
        <f>G538</f>
        <v>SOHANJI</v>
      </c>
      <c r="Z62" s="18" t="str">
        <f>H538</f>
        <v>RR ROAD</v>
      </c>
    </row>
    <row r="63" spans="1:26" ht="20.25" thickTop="1" thickBot="1">
      <c r="A63" s="43"/>
      <c r="B63" s="10"/>
      <c r="C63" s="10"/>
      <c r="D63" s="10"/>
      <c r="E63" s="2"/>
      <c r="F63" s="43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30">
        <f>D554</f>
        <v>42450</v>
      </c>
      <c r="U63" s="18" t="str">
        <f>B547</f>
        <v>TEJAJAMJI</v>
      </c>
      <c r="V63" s="18" t="str">
        <f>C547</f>
        <v>YELMBNDA</v>
      </c>
      <c r="W63" s="18"/>
      <c r="X63" s="30">
        <f>I554</f>
        <v>42450</v>
      </c>
      <c r="Y63" s="18" t="str">
        <f>G547</f>
        <v>MOHANJI</v>
      </c>
      <c r="Z63" s="18" t="str">
        <f>H547</f>
        <v>CHINTAL</v>
      </c>
    </row>
    <row r="64" spans="1:26" ht="20.25" thickTop="1" thickBot="1">
      <c r="A64" s="11" t="s">
        <v>3</v>
      </c>
      <c r="B64" s="12" t="s">
        <v>45</v>
      </c>
      <c r="C64" s="12" t="s">
        <v>46</v>
      </c>
      <c r="D64" s="9">
        <v>45998</v>
      </c>
      <c r="E64" s="2"/>
      <c r="F64" s="20" t="s">
        <v>0</v>
      </c>
      <c r="G64" s="21" t="s">
        <v>47</v>
      </c>
      <c r="H64" s="21" t="s">
        <v>48</v>
      </c>
      <c r="I64" s="9">
        <v>45998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30">
        <f>D563</f>
        <v>42450</v>
      </c>
      <c r="U64" s="18" t="str">
        <f>B556</f>
        <v>BABULALJI</v>
      </c>
      <c r="V64" s="18" t="str">
        <f>C556</f>
        <v>RAMARAM</v>
      </c>
      <c r="W64" s="18"/>
      <c r="X64" s="30">
        <f>I563</f>
        <v>21500</v>
      </c>
      <c r="Y64" s="18" t="str">
        <f>G556</f>
        <v>MOHANJI</v>
      </c>
      <c r="Z64" s="18" t="str">
        <f>H556</f>
        <v>AMINPUR</v>
      </c>
    </row>
    <row r="65" spans="1:26" ht="20.25" thickTop="1" thickBot="1">
      <c r="A65" s="20" t="s">
        <v>6</v>
      </c>
      <c r="B65" s="21" t="s">
        <v>7</v>
      </c>
      <c r="C65" s="21" t="s">
        <v>8</v>
      </c>
      <c r="D65" s="21" t="s">
        <v>9</v>
      </c>
      <c r="E65" s="2"/>
      <c r="F65" s="20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30">
        <f>D572</f>
        <v>21500</v>
      </c>
      <c r="U65" s="18" t="str">
        <f>B565</f>
        <v>PUNAMJI</v>
      </c>
      <c r="V65" s="18" t="str">
        <f>C565</f>
        <v>BADURPLY</v>
      </c>
      <c r="W65" s="18"/>
      <c r="X65" s="30">
        <f>I572</f>
        <v>21500</v>
      </c>
      <c r="Y65" s="18" t="str">
        <f>G565</f>
        <v>NARAYANJI</v>
      </c>
      <c r="Z65" s="18" t="str">
        <f>H565</f>
        <v>KOTLAPUR</v>
      </c>
    </row>
    <row r="66" spans="1:26" ht="20.25" thickTop="1" thickBot="1">
      <c r="A66" s="31">
        <v>19.100000000000001</v>
      </c>
      <c r="B66" s="21">
        <v>500000</v>
      </c>
      <c r="C66" s="21">
        <f>VLOOKUP(A66&amp;"|"&amp;B66,$O$3:$P$17,2,FALSE)</f>
        <v>50</v>
      </c>
      <c r="D66" s="21">
        <f>VLOOKUP(A66&amp;"|"&amp;B66,$Q$3:$R$17,2,FALSE)</f>
        <v>24950</v>
      </c>
      <c r="E66" s="2"/>
      <c r="F66" s="26">
        <v>19.100000000000001</v>
      </c>
      <c r="G66" s="21">
        <v>500000</v>
      </c>
      <c r="H66" s="21">
        <f>VLOOKUP(F66&amp;"|"&amp;G66,$O$3:$P$16,2,FALSE)</f>
        <v>50</v>
      </c>
      <c r="I66" s="21">
        <f>VLOOKUP(F66&amp;"|"&amp;G66,$Q$3:$R$16,2,FALSE)</f>
        <v>24950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30"/>
      <c r="U66" s="18"/>
      <c r="V66" s="18"/>
      <c r="W66" s="18"/>
      <c r="X66" s="30"/>
      <c r="Y66" s="18"/>
      <c r="Z66" s="18"/>
    </row>
    <row r="67" spans="1:26" ht="20.25" thickTop="1" thickBot="1">
      <c r="A67" s="31">
        <v>8</v>
      </c>
      <c r="B67" s="21">
        <v>2000000</v>
      </c>
      <c r="C67" s="21">
        <f>VLOOKUP(A67&amp;"|"&amp;B67,$O$3:$P$17,2,FALSE)</f>
        <v>7500</v>
      </c>
      <c r="D67" s="21">
        <f>VLOOKUP(A67&amp;"|"&amp;B67,$Q$3:$R$17,2,FALSE)</f>
        <v>92500</v>
      </c>
      <c r="E67" s="2"/>
      <c r="F67" s="26">
        <v>8</v>
      </c>
      <c r="G67" s="21">
        <v>500000</v>
      </c>
      <c r="H67" s="21">
        <f>VLOOKUP(F67&amp;"|"&amp;G67,$O$3:$P$16,2,FALSE)</f>
        <v>2350</v>
      </c>
      <c r="I67" s="21">
        <f>VLOOKUP(F67&amp;"|"&amp;G67,$Q$3:$R$16,2,FALSE)</f>
        <v>22650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30"/>
      <c r="U67" s="18"/>
      <c r="V67" s="18"/>
      <c r="W67" s="18"/>
      <c r="X67" s="18"/>
      <c r="Y67" s="18"/>
      <c r="Z67" s="18"/>
    </row>
    <row r="68" spans="1:26" ht="20.25" thickTop="1" thickBot="1">
      <c r="A68" s="20"/>
      <c r="B68" s="21"/>
      <c r="C68" s="21"/>
      <c r="D68" s="21"/>
      <c r="E68" s="2"/>
      <c r="F68" s="20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8"/>
      <c r="U68" s="18"/>
      <c r="V68" s="18"/>
      <c r="W68" s="18"/>
      <c r="X68" s="18"/>
      <c r="Y68" s="18"/>
      <c r="Z68" s="18"/>
    </row>
    <row r="69" spans="1:26" ht="20.25" thickTop="1" thickBot="1">
      <c r="A69" s="20"/>
      <c r="B69" s="21"/>
      <c r="C69" s="21"/>
      <c r="D69" s="21"/>
      <c r="E69" s="2"/>
      <c r="F69" s="20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30">
        <f>SUM(T3:T67)</f>
        <v>4480800</v>
      </c>
      <c r="U69" s="18"/>
      <c r="V69" s="18"/>
      <c r="W69" s="18"/>
      <c r="X69" s="30">
        <f>SUM(X3:X66)</f>
        <v>4327250</v>
      </c>
      <c r="Y69" s="18"/>
      <c r="Z69" s="18"/>
    </row>
    <row r="70" spans="1:26" ht="20.25" thickTop="1" thickBot="1">
      <c r="A70" s="20"/>
      <c r="B70" s="21"/>
      <c r="C70" s="21"/>
      <c r="D70" s="21"/>
      <c r="E70" s="2"/>
      <c r="F70" s="51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8"/>
      <c r="U70" s="18"/>
      <c r="V70" s="18"/>
      <c r="W70" s="18"/>
      <c r="X70" s="18"/>
      <c r="Y70" s="18"/>
      <c r="Z70" s="18"/>
    </row>
    <row r="71" spans="1:26" ht="20.25" thickTop="1" thickBot="1">
      <c r="A71" s="62" t="s">
        <v>49</v>
      </c>
      <c r="B71" s="53"/>
      <c r="C71" s="54"/>
      <c r="D71" s="21">
        <f>SUM(D66:D70)</f>
        <v>117450</v>
      </c>
      <c r="E71" s="2"/>
      <c r="F71" s="36" t="s">
        <v>16</v>
      </c>
      <c r="G71" s="37"/>
      <c r="H71" s="38"/>
      <c r="I71" s="21">
        <f>SUM(I66:I70)</f>
        <v>47600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8"/>
      <c r="U71" s="18"/>
      <c r="V71" s="18" t="s">
        <v>25</v>
      </c>
      <c r="W71" s="55">
        <f>SUM(T69,X69)</f>
        <v>8808050</v>
      </c>
      <c r="X71" s="30">
        <f>SUM(T69,X69)</f>
        <v>8808050</v>
      </c>
      <c r="Y71" s="18"/>
      <c r="Z71" s="18"/>
    </row>
    <row r="72" spans="1:26" ht="20.25" thickTop="1" thickBot="1">
      <c r="A72" s="43"/>
      <c r="B72" s="10"/>
      <c r="C72" s="10"/>
      <c r="D72" s="10"/>
      <c r="E72" s="2"/>
      <c r="F72" s="43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0" t="s">
        <v>0</v>
      </c>
      <c r="B73" s="21" t="s">
        <v>50</v>
      </c>
      <c r="C73" s="21" t="s">
        <v>51</v>
      </c>
      <c r="D73" s="9">
        <v>45998</v>
      </c>
      <c r="E73" s="2"/>
      <c r="F73" s="20" t="s">
        <v>0</v>
      </c>
      <c r="G73" s="21" t="s">
        <v>50</v>
      </c>
      <c r="H73" s="21" t="s">
        <v>52</v>
      </c>
      <c r="I73" s="9">
        <v>45998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0" t="s">
        <v>6</v>
      </c>
      <c r="B74" s="21" t="s">
        <v>7</v>
      </c>
      <c r="C74" s="21" t="s">
        <v>8</v>
      </c>
      <c r="D74" s="21" t="s">
        <v>9</v>
      </c>
      <c r="E74" s="2"/>
      <c r="F74" s="20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31">
        <v>19</v>
      </c>
      <c r="B75" s="21">
        <v>1000000</v>
      </c>
      <c r="C75" s="21">
        <f t="shared" ref="C75:C81" si="4">VLOOKUP(A75&amp;"|"&amp;B75,$O$3:$P$16,2,FALSE)</f>
        <v>200</v>
      </c>
      <c r="D75" s="21">
        <f t="shared" ref="D75:D81" si="5">VLOOKUP(A75&amp;"|"&amp;B75,$Q$3:$R$16,2,FALSE)</f>
        <v>49800</v>
      </c>
      <c r="E75" s="2"/>
      <c r="F75" s="26">
        <v>3</v>
      </c>
      <c r="G75" s="21">
        <v>1000000</v>
      </c>
      <c r="H75" s="21">
        <f t="shared" ref="H75:H84" si="6">VLOOKUP(F75&amp;"|"&amp;G75,$O$3:$P$16,2,FALSE)</f>
        <v>7800</v>
      </c>
      <c r="I75" s="21">
        <f t="shared" ref="I75:I84" si="7">VLOOKUP(F75&amp;"|"&amp;G75,$Q$3:$R$16,2,FALSE)</f>
        <v>42200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31">
        <v>19.100000000000001</v>
      </c>
      <c r="B76" s="21">
        <v>1000000</v>
      </c>
      <c r="C76" s="21">
        <f t="shared" si="4"/>
        <v>100</v>
      </c>
      <c r="D76" s="21">
        <f t="shared" si="5"/>
        <v>49900</v>
      </c>
      <c r="E76" s="2"/>
      <c r="F76" s="26">
        <v>3</v>
      </c>
      <c r="G76" s="21">
        <v>1000000</v>
      </c>
      <c r="H76" s="21">
        <f t="shared" si="6"/>
        <v>7800</v>
      </c>
      <c r="I76" s="21">
        <f t="shared" si="7"/>
        <v>42200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31">
        <v>3</v>
      </c>
      <c r="B77" s="21">
        <v>1000000</v>
      </c>
      <c r="C77" s="21">
        <f t="shared" si="4"/>
        <v>7800</v>
      </c>
      <c r="D77" s="21">
        <f t="shared" si="5"/>
        <v>42200</v>
      </c>
      <c r="E77" s="2"/>
      <c r="F77" s="26">
        <v>3.1</v>
      </c>
      <c r="G77" s="21">
        <v>1000000</v>
      </c>
      <c r="H77" s="21">
        <f t="shared" si="6"/>
        <v>7550</v>
      </c>
      <c r="I77" s="21">
        <f t="shared" si="7"/>
        <v>42450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31">
        <v>3.1</v>
      </c>
      <c r="B78" s="21">
        <v>1000000</v>
      </c>
      <c r="C78" s="21">
        <f t="shared" si="4"/>
        <v>7550</v>
      </c>
      <c r="D78" s="21">
        <f t="shared" si="5"/>
        <v>42450</v>
      </c>
      <c r="E78" s="2"/>
      <c r="F78" s="26">
        <v>3.1</v>
      </c>
      <c r="G78" s="21">
        <v>1000000</v>
      </c>
      <c r="H78" s="21">
        <f t="shared" si="6"/>
        <v>7550</v>
      </c>
      <c r="I78" s="21">
        <f t="shared" si="7"/>
        <v>42450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31">
        <v>3.1</v>
      </c>
      <c r="B79" s="21">
        <v>1000000</v>
      </c>
      <c r="C79" s="21">
        <f t="shared" si="4"/>
        <v>7550</v>
      </c>
      <c r="D79" s="21">
        <f t="shared" si="5"/>
        <v>42450</v>
      </c>
      <c r="E79" s="2"/>
      <c r="F79" s="26">
        <v>8</v>
      </c>
      <c r="G79" s="21">
        <v>500000</v>
      </c>
      <c r="H79" s="21">
        <f t="shared" si="6"/>
        <v>2350</v>
      </c>
      <c r="I79" s="21">
        <f t="shared" si="7"/>
        <v>22650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31">
        <v>13</v>
      </c>
      <c r="B80" s="21">
        <v>250000</v>
      </c>
      <c r="C80" s="21">
        <f t="shared" si="4"/>
        <v>575</v>
      </c>
      <c r="D80" s="21">
        <f t="shared" si="5"/>
        <v>11925</v>
      </c>
      <c r="E80" s="2"/>
      <c r="F80" s="26">
        <v>19</v>
      </c>
      <c r="G80" s="21">
        <v>500000</v>
      </c>
      <c r="H80" s="21">
        <f t="shared" si="6"/>
        <v>50</v>
      </c>
      <c r="I80" s="21">
        <f t="shared" si="7"/>
        <v>24950</v>
      </c>
      <c r="J80" s="1"/>
      <c r="K80" s="1"/>
      <c r="L80" s="1"/>
      <c r="M80" s="1"/>
      <c r="N80" s="1"/>
      <c r="O80" s="56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31">
        <v>19.100000000000001</v>
      </c>
      <c r="B81" s="21">
        <v>500000</v>
      </c>
      <c r="C81" s="21">
        <f t="shared" si="4"/>
        <v>50</v>
      </c>
      <c r="D81" s="21">
        <f t="shared" si="5"/>
        <v>24950</v>
      </c>
      <c r="E81" s="2"/>
      <c r="F81" s="26">
        <v>19</v>
      </c>
      <c r="G81" s="21">
        <v>500000</v>
      </c>
      <c r="H81" s="21">
        <f t="shared" si="6"/>
        <v>50</v>
      </c>
      <c r="I81" s="21">
        <f t="shared" si="7"/>
        <v>24950</v>
      </c>
      <c r="J81" s="1"/>
      <c r="K81" s="1"/>
      <c r="L81" s="56"/>
      <c r="M81" s="56"/>
      <c r="N81" s="56"/>
      <c r="O81" s="44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31">
        <v>19</v>
      </c>
      <c r="B82" s="21">
        <v>250000</v>
      </c>
      <c r="C82" s="21">
        <f>VLOOKUP(A82&amp;"|"&amp;B82,$O$3:$P$18,2,FALSE)</f>
        <v>25</v>
      </c>
      <c r="D82" s="21">
        <f>VLOOKUP(A82&amp;"|"&amp;B82,$Q$3:$R$18,2,FALSE)</f>
        <v>12475</v>
      </c>
      <c r="E82" s="2"/>
      <c r="F82" s="26">
        <v>19</v>
      </c>
      <c r="G82" s="21">
        <v>1000000</v>
      </c>
      <c r="H82" s="21">
        <f t="shared" si="6"/>
        <v>200</v>
      </c>
      <c r="I82" s="21">
        <f t="shared" si="7"/>
        <v>49800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31">
        <v>8</v>
      </c>
      <c r="B83" s="21">
        <v>2000000</v>
      </c>
      <c r="C83" s="21">
        <f>VLOOKUP(A83&amp;"|"&amp;B83,$O$3:$P$18,2,FALSE)</f>
        <v>7500</v>
      </c>
      <c r="D83" s="21">
        <f>VLOOKUP(A83&amp;"|"&amp;B83,$Q$3:$R$18,2,FALSE)</f>
        <v>92500</v>
      </c>
      <c r="E83" s="2"/>
      <c r="F83" s="26">
        <v>19.100000000000001</v>
      </c>
      <c r="G83" s="21">
        <v>1000000</v>
      </c>
      <c r="H83" s="21">
        <f t="shared" si="6"/>
        <v>100</v>
      </c>
      <c r="I83" s="21">
        <f t="shared" si="7"/>
        <v>49900</v>
      </c>
      <c r="J83" s="1"/>
      <c r="K83" s="1"/>
      <c r="L83" s="44"/>
      <c r="M83" s="44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0">
        <v>3</v>
      </c>
      <c r="B84" s="21">
        <v>500000</v>
      </c>
      <c r="C84" s="21">
        <f>VLOOKUP(A84&amp;"|"&amp;B84,$O$3:$P$18,2,FALSE)</f>
        <v>3500</v>
      </c>
      <c r="D84" s="21">
        <f>VLOOKUP(A84&amp;"|"&amp;B84,$Q$3:$R$18,2,FALSE)</f>
        <v>21500</v>
      </c>
      <c r="E84" s="2"/>
      <c r="F84" s="26">
        <v>8</v>
      </c>
      <c r="G84" s="21">
        <v>1000000</v>
      </c>
      <c r="H84" s="21">
        <f t="shared" si="6"/>
        <v>3750</v>
      </c>
      <c r="I84" s="21">
        <f t="shared" si="7"/>
        <v>46250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31" t="s">
        <v>16</v>
      </c>
      <c r="B85" s="21"/>
      <c r="C85" s="21" t="s">
        <v>182</v>
      </c>
      <c r="D85" s="21">
        <f>SUM(D75:D84)</f>
        <v>390150</v>
      </c>
      <c r="E85" s="2"/>
      <c r="F85" s="36" t="s">
        <v>16</v>
      </c>
      <c r="G85" s="37"/>
      <c r="H85" s="38"/>
      <c r="I85" s="21">
        <f>SUM(I75:I84)</f>
        <v>387800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25" thickTop="1" thickBot="1">
      <c r="A86" s="31"/>
      <c r="B86" s="2"/>
      <c r="C86" s="2"/>
      <c r="D86" s="2"/>
      <c r="E86" s="2"/>
      <c r="F86" s="31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31" t="s">
        <v>0</v>
      </c>
      <c r="B87" s="21" t="s">
        <v>53</v>
      </c>
      <c r="C87" s="21" t="s">
        <v>54</v>
      </c>
      <c r="D87" s="9">
        <v>45998</v>
      </c>
      <c r="E87" s="2"/>
      <c r="F87" s="20" t="s">
        <v>0</v>
      </c>
      <c r="G87" s="21" t="s">
        <v>55</v>
      </c>
      <c r="H87" s="21" t="s">
        <v>56</v>
      </c>
      <c r="I87" s="9">
        <v>45998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31" t="s">
        <v>6</v>
      </c>
      <c r="B88" s="21" t="s">
        <v>7</v>
      </c>
      <c r="C88" s="21" t="s">
        <v>8</v>
      </c>
      <c r="D88" s="21" t="s">
        <v>9</v>
      </c>
      <c r="E88" s="2"/>
      <c r="F88" s="20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31">
        <v>19.100000000000001</v>
      </c>
      <c r="B89" s="21">
        <v>1000000</v>
      </c>
      <c r="C89" s="21">
        <f>VLOOKUP(A89&amp;"|"&amp;B89,$O$3:$P$18,2,FALSE)</f>
        <v>100</v>
      </c>
      <c r="D89" s="21">
        <f>VLOOKUP(A89&amp;"|"&amp;B89,$Q$3:$R$18,2,FALSE)</f>
        <v>49900</v>
      </c>
      <c r="E89" s="2"/>
      <c r="F89" s="26">
        <v>19.100000000000001</v>
      </c>
      <c r="G89" s="21">
        <v>500000</v>
      </c>
      <c r="H89" s="21">
        <f>VLOOKUP(F89&amp;"|"&amp;G89,$O$3:$P$16,2,FALSE)</f>
        <v>50</v>
      </c>
      <c r="I89" s="21">
        <f>VLOOKUP(F89&amp;"|"&amp;G89,$Q$3:$R$16,2,FALSE)</f>
        <v>24950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31">
        <v>3</v>
      </c>
      <c r="B90" s="21">
        <v>1000000</v>
      </c>
      <c r="C90" s="21">
        <f>VLOOKUP(A90&amp;"|"&amp;B90,$O$3:$P$18,2,FALSE)</f>
        <v>7800</v>
      </c>
      <c r="D90" s="21">
        <f>VLOOKUP(A90&amp;"|"&amp;B90,$Q$3:$R$18,2,FALSE)</f>
        <v>42200</v>
      </c>
      <c r="E90" s="2"/>
      <c r="F90" s="20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31">
        <v>8</v>
      </c>
      <c r="B91" s="21">
        <v>2000000</v>
      </c>
      <c r="C91" s="21">
        <f>VLOOKUP(A91&amp;"|"&amp;B91,$O$3:$P$18,2,FALSE)</f>
        <v>7500</v>
      </c>
      <c r="D91" s="21">
        <f>VLOOKUP(A91&amp;"|"&amp;B91,$Q$3:$R$18,2,FALSE)</f>
        <v>92500</v>
      </c>
      <c r="E91" s="2"/>
      <c r="F91" s="20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31">
        <v>8</v>
      </c>
      <c r="B92" s="21">
        <v>2000000</v>
      </c>
      <c r="C92" s="21">
        <f>VLOOKUP(A92&amp;"|"&amp;B92,$O$3:$P$18,2,FALSE)</f>
        <v>7500</v>
      </c>
      <c r="D92" s="21">
        <f>VLOOKUP(A92&amp;"|"&amp;B92,$Q$3:$R$18,2,FALSE)</f>
        <v>92500</v>
      </c>
      <c r="E92" s="2"/>
      <c r="F92" s="20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0"/>
      <c r="B93" s="21"/>
      <c r="C93" s="21"/>
      <c r="D93" s="21"/>
      <c r="E93" s="2"/>
      <c r="F93" s="20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0" t="s">
        <v>16</v>
      </c>
      <c r="B94" s="21"/>
      <c r="C94" s="21"/>
      <c r="D94" s="21">
        <f>SUM(D89:D93)</f>
        <v>277100</v>
      </c>
      <c r="E94" s="2"/>
      <c r="F94" s="36" t="s">
        <v>16</v>
      </c>
      <c r="G94" s="37"/>
      <c r="H94" s="38"/>
      <c r="I94" s="21">
        <f>SUM(I89:I93)</f>
        <v>24950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25" thickTop="1" thickBot="1">
      <c r="A95" s="31"/>
      <c r="B95" s="2"/>
      <c r="C95" s="2"/>
      <c r="D95" s="2"/>
      <c r="E95" s="2"/>
      <c r="F95" s="31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0" t="s">
        <v>0</v>
      </c>
      <c r="B96" s="21" t="s">
        <v>57</v>
      </c>
      <c r="C96" s="21" t="s">
        <v>58</v>
      </c>
      <c r="D96" s="9">
        <v>45998</v>
      </c>
      <c r="E96" s="2"/>
      <c r="F96" s="20" t="s">
        <v>0</v>
      </c>
      <c r="G96" s="21" t="s">
        <v>59</v>
      </c>
      <c r="H96" s="21" t="s">
        <v>60</v>
      </c>
      <c r="I96" s="9">
        <v>45998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0" t="s">
        <v>6</v>
      </c>
      <c r="B97" s="21" t="s">
        <v>7</v>
      </c>
      <c r="C97" s="21" t="s">
        <v>8</v>
      </c>
      <c r="D97" s="21" t="s">
        <v>9</v>
      </c>
      <c r="E97" s="2"/>
      <c r="F97" s="20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31">
        <v>19</v>
      </c>
      <c r="B98" s="21">
        <v>500000</v>
      </c>
      <c r="C98" s="21">
        <f>VLOOKUP(A98&amp;"|"&amp;B98,$O$3:$P$16,2,FALSE)</f>
        <v>50</v>
      </c>
      <c r="D98" s="21">
        <f>VLOOKUP(A98&amp;"|"&amp;B98,$Q$3:$R$16,2,FALSE)</f>
        <v>24950</v>
      </c>
      <c r="E98" s="2"/>
      <c r="F98" s="26">
        <v>19</v>
      </c>
      <c r="G98" s="21">
        <v>1000000</v>
      </c>
      <c r="H98" s="21">
        <f>VLOOKUP(F98&amp;"|"&amp;G98,$O$3:$P$16,2,FALSE)</f>
        <v>200</v>
      </c>
      <c r="I98" s="21">
        <f>VLOOKUP(F98&amp;"|"&amp;G98,$Q$3:$R$16,2,FALSE)</f>
        <v>49800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31">
        <v>8</v>
      </c>
      <c r="B99" s="21">
        <v>500000</v>
      </c>
      <c r="C99" s="21">
        <f>VLOOKUP(A99&amp;"|"&amp;B99,$O$3:$P$16,2,FALSE)</f>
        <v>2350</v>
      </c>
      <c r="D99" s="21">
        <f>VLOOKUP(A99&amp;"|"&amp;B99,$Q$3:$R$16,2,FALSE)</f>
        <v>22650</v>
      </c>
      <c r="E99" s="2"/>
      <c r="F99" s="26">
        <v>19.100000000000001</v>
      </c>
      <c r="G99" s="21">
        <v>1000000</v>
      </c>
      <c r="H99" s="21">
        <f>VLOOKUP(F99&amp;"|"&amp;G99,$O$3:$P$16,2,FALSE)</f>
        <v>100</v>
      </c>
      <c r="I99" s="21">
        <f>VLOOKUP(F99&amp;"|"&amp;G99,$Q$3:$R$16,2,FALSE)</f>
        <v>49900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0"/>
      <c r="B100" s="21"/>
      <c r="C100" s="21"/>
      <c r="D100" s="21"/>
      <c r="E100" s="2"/>
      <c r="F100" s="26">
        <v>3</v>
      </c>
      <c r="G100" s="21">
        <v>1000000</v>
      </c>
      <c r="H100" s="21">
        <f>VLOOKUP(F100&amp;"|"&amp;G100,$O$3:$P$16,2,FALSE)</f>
        <v>7800</v>
      </c>
      <c r="I100" s="21">
        <f>VLOOKUP(F100&amp;"|"&amp;G100,$Q$3:$R$16,2,FALSE)</f>
        <v>42200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0"/>
      <c r="B101" s="21"/>
      <c r="C101" s="21"/>
      <c r="D101" s="21"/>
      <c r="E101" s="2"/>
      <c r="F101" s="20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0"/>
      <c r="B102" s="21"/>
      <c r="C102" s="21"/>
      <c r="D102" s="21"/>
      <c r="E102" s="2"/>
      <c r="F102" s="20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0" t="s">
        <v>16</v>
      </c>
      <c r="B103" s="21"/>
      <c r="C103" s="21"/>
      <c r="D103" s="21">
        <f>SUM(D98:D102)</f>
        <v>47600</v>
      </c>
      <c r="E103" s="2"/>
      <c r="F103" s="36" t="s">
        <v>16</v>
      </c>
      <c r="G103" s="37"/>
      <c r="H103" s="38"/>
      <c r="I103" s="21">
        <f>SUM(I98:I102)</f>
        <v>141900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25" thickTop="1" thickBot="1">
      <c r="A104" s="31"/>
      <c r="B104" s="2"/>
      <c r="C104" s="2"/>
      <c r="D104" s="2"/>
      <c r="E104" s="2"/>
      <c r="F104" s="31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0" t="s">
        <v>0</v>
      </c>
      <c r="B105" s="21" t="s">
        <v>61</v>
      </c>
      <c r="C105" s="21" t="s">
        <v>62</v>
      </c>
      <c r="D105" s="9">
        <v>45998</v>
      </c>
      <c r="E105" s="2"/>
      <c r="F105" s="20" t="s">
        <v>0</v>
      </c>
      <c r="G105" s="21" t="s">
        <v>63</v>
      </c>
      <c r="H105" s="21" t="s">
        <v>34</v>
      </c>
      <c r="I105" s="9">
        <v>45998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0" t="s">
        <v>6</v>
      </c>
      <c r="B106" s="21" t="s">
        <v>7</v>
      </c>
      <c r="C106" s="21" t="s">
        <v>8</v>
      </c>
      <c r="D106" s="21" t="s">
        <v>9</v>
      </c>
      <c r="E106" s="2"/>
      <c r="F106" s="20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31">
        <v>19</v>
      </c>
      <c r="B107" s="21">
        <v>500000</v>
      </c>
      <c r="C107" s="21">
        <f>VLOOKUP(A107&amp;"|"&amp;B107,$O$3:$P$16,2,FALSE)</f>
        <v>50</v>
      </c>
      <c r="D107" s="21">
        <f>VLOOKUP(A107&amp;"|"&amp;B107,$Q$3:$R$16,2,FALSE)</f>
        <v>24950</v>
      </c>
      <c r="E107" s="2"/>
      <c r="F107" s="26">
        <v>19</v>
      </c>
      <c r="G107" s="21">
        <v>500000</v>
      </c>
      <c r="H107" s="21">
        <f>VLOOKUP(F107&amp;"|"&amp;G107,$O$3:$P$16,2,FALSE)</f>
        <v>50</v>
      </c>
      <c r="I107" s="21">
        <f>VLOOKUP(F107&amp;"|"&amp;G107,$Q$3:$R$16,2,FALSE)</f>
        <v>24950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0"/>
      <c r="B108" s="21"/>
      <c r="C108" s="21"/>
      <c r="D108" s="21"/>
      <c r="E108" s="2"/>
      <c r="F108" s="26">
        <v>19</v>
      </c>
      <c r="G108" s="21">
        <v>1000000</v>
      </c>
      <c r="H108" s="21">
        <f>VLOOKUP(F108&amp;"|"&amp;G108,$O$3:$P$16,2,FALSE)</f>
        <v>200</v>
      </c>
      <c r="I108" s="21">
        <f>VLOOKUP(F108&amp;"|"&amp;G108,$Q$3:$R$16,2,FALSE)</f>
        <v>49800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0"/>
      <c r="B109" s="21"/>
      <c r="C109" s="21"/>
      <c r="D109" s="21"/>
      <c r="E109" s="2"/>
      <c r="F109" s="26">
        <v>8</v>
      </c>
      <c r="G109" s="21">
        <v>2000000</v>
      </c>
      <c r="H109" s="21">
        <f>VLOOKUP(F109&amp;"|"&amp;G109,$O$3:$P$16,2,FALSE)</f>
        <v>7500</v>
      </c>
      <c r="I109" s="21">
        <f>VLOOKUP(F109&amp;"|"&amp;G109,$Q$3:$R$16,2,FALSE)</f>
        <v>92500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0"/>
      <c r="B110" s="21"/>
      <c r="C110" s="21"/>
      <c r="D110" s="21"/>
      <c r="E110" s="2"/>
      <c r="F110" s="20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0"/>
      <c r="B111" s="21"/>
      <c r="C111" s="21"/>
      <c r="D111" s="21"/>
      <c r="E111" s="2"/>
      <c r="F111" s="20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0" t="s">
        <v>16</v>
      </c>
      <c r="B112" s="21"/>
      <c r="C112" s="21"/>
      <c r="D112" s="21">
        <f>SUM(D107:D111)</f>
        <v>24950</v>
      </c>
      <c r="E112" s="2"/>
      <c r="F112" s="36" t="s">
        <v>16</v>
      </c>
      <c r="G112" s="37"/>
      <c r="H112" s="38"/>
      <c r="I112" s="21">
        <f>SUM(I107:I111)</f>
        <v>167250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25" thickTop="1" thickBot="1">
      <c r="A113" s="31"/>
      <c r="B113" s="2"/>
      <c r="C113" s="2"/>
      <c r="D113" s="2"/>
      <c r="E113" s="2"/>
      <c r="F113" s="31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0" t="s">
        <v>0</v>
      </c>
      <c r="B114" s="21" t="s">
        <v>47</v>
      </c>
      <c r="C114" s="21" t="s">
        <v>39</v>
      </c>
      <c r="D114" s="9">
        <v>45998</v>
      </c>
      <c r="E114" s="2"/>
      <c r="F114" s="20" t="s">
        <v>0</v>
      </c>
      <c r="G114" s="21" t="s">
        <v>64</v>
      </c>
      <c r="H114" s="21" t="s">
        <v>65</v>
      </c>
      <c r="I114" s="9">
        <v>45998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0" t="s">
        <v>6</v>
      </c>
      <c r="B115" s="21" t="s">
        <v>7</v>
      </c>
      <c r="C115" s="21" t="s">
        <v>8</v>
      </c>
      <c r="D115" s="21" t="s">
        <v>9</v>
      </c>
      <c r="E115" s="2"/>
      <c r="F115" s="20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31">
        <v>19</v>
      </c>
      <c r="B116" s="21">
        <v>500000</v>
      </c>
      <c r="C116" s="21">
        <f>VLOOKUP(A116&amp;"|"&amp;B116,$O$3:$P$16,2,FALSE)</f>
        <v>50</v>
      </c>
      <c r="D116" s="21">
        <f>VLOOKUP(A116&amp;"|"&amp;B116,$Q$3:$R$16,2,FALSE)</f>
        <v>24950</v>
      </c>
      <c r="E116" s="2"/>
      <c r="F116" s="26">
        <v>19</v>
      </c>
      <c r="G116" s="21">
        <v>1000000</v>
      </c>
      <c r="H116" s="21">
        <f>VLOOKUP(F116&amp;"|"&amp;G116,$O$3:$P$16,2,FALSE)</f>
        <v>200</v>
      </c>
      <c r="I116" s="21">
        <f>VLOOKUP(F116&amp;"|"&amp;G116,$Q$3:$R$16,2,FALSE)</f>
        <v>49800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31">
        <v>3.1</v>
      </c>
      <c r="B117" s="21">
        <v>1000000</v>
      </c>
      <c r="C117" s="21">
        <f>VLOOKUP(A117&amp;"|"&amp;B117,$O$3:$P$16,2,FALSE)</f>
        <v>7550</v>
      </c>
      <c r="D117" s="21">
        <f>VLOOKUP(A117&amp;"|"&amp;B117,$Q$3:$R$16,2,FALSE)</f>
        <v>42450</v>
      </c>
      <c r="E117" s="2"/>
      <c r="F117" s="26">
        <v>8</v>
      </c>
      <c r="G117" s="21">
        <v>2000000</v>
      </c>
      <c r="H117" s="21">
        <f>VLOOKUP(F117&amp;"|"&amp;G117,$O$3:$P$17,2,FALSE)</f>
        <v>7500</v>
      </c>
      <c r="I117" s="21">
        <f>VLOOKUP(F117&amp;"|"&amp;G117,$Q$3:$R$17,2,FALSE)</f>
        <v>92500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31">
        <v>13</v>
      </c>
      <c r="B118" s="21">
        <v>500000</v>
      </c>
      <c r="C118" s="21">
        <f>VLOOKUP(A118&amp;"|"&amp;B118,$O$3:$P$16,2,FALSE)</f>
        <v>1150</v>
      </c>
      <c r="D118" s="21">
        <f>VLOOKUP(A118&amp;"|"&amp;B118,$Q$3:$R$16,2,FALSE)</f>
        <v>23850</v>
      </c>
      <c r="E118" s="2"/>
      <c r="F118" s="20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31">
        <v>13</v>
      </c>
      <c r="B119" s="21">
        <v>500000</v>
      </c>
      <c r="C119" s="21">
        <f>VLOOKUP(A119&amp;"|"&amp;B119,$O$3:$P$16,2,FALSE)</f>
        <v>1150</v>
      </c>
      <c r="D119" s="21">
        <f>VLOOKUP(A119&amp;"|"&amp;B119,$Q$3:$R$16,2,FALSE)</f>
        <v>23850</v>
      </c>
      <c r="E119" s="2"/>
      <c r="F119" s="20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0"/>
      <c r="B120" s="21"/>
      <c r="C120" s="21"/>
      <c r="D120" s="21"/>
      <c r="E120" s="2"/>
      <c r="F120" s="20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0" t="s">
        <v>16</v>
      </c>
      <c r="B121" s="21"/>
      <c r="C121" s="21"/>
      <c r="D121" s="21">
        <f>SUM(D116:D120)</f>
        <v>115100</v>
      </c>
      <c r="E121" s="2"/>
      <c r="F121" s="36" t="s">
        <v>16</v>
      </c>
      <c r="G121" s="37"/>
      <c r="H121" s="38"/>
      <c r="I121" s="21">
        <f>SUM(I116:I120)</f>
        <v>142300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25" thickTop="1" thickBot="1">
      <c r="A122" s="31"/>
      <c r="B122" s="2"/>
      <c r="C122" s="2"/>
      <c r="D122" s="2"/>
      <c r="E122" s="2"/>
      <c r="F122" s="31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0" t="s">
        <v>0</v>
      </c>
      <c r="B123" s="21" t="s">
        <v>66</v>
      </c>
      <c r="C123" s="21" t="s">
        <v>67</v>
      </c>
      <c r="D123" s="9">
        <v>45998</v>
      </c>
      <c r="E123" s="2"/>
      <c r="F123" s="20" t="s">
        <v>0</v>
      </c>
      <c r="G123" s="21" t="s">
        <v>68</v>
      </c>
      <c r="H123" s="21" t="s">
        <v>69</v>
      </c>
      <c r="I123" s="9">
        <v>45998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0" t="s">
        <v>6</v>
      </c>
      <c r="B124" s="21" t="s">
        <v>7</v>
      </c>
      <c r="C124" s="21" t="s">
        <v>8</v>
      </c>
      <c r="D124" s="21" t="s">
        <v>9</v>
      </c>
      <c r="E124" s="2"/>
      <c r="F124" s="20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31">
        <v>19</v>
      </c>
      <c r="B125" s="21">
        <v>500000</v>
      </c>
      <c r="C125" s="21">
        <f>VLOOKUP(A125&amp;"|"&amp;B125,$O$3:$P$16,2,FALSE)</f>
        <v>50</v>
      </c>
      <c r="D125" s="21">
        <f>VLOOKUP(A125&amp;"|"&amp;B125,$Q$3:$R$16,2,FALSE)</f>
        <v>24950</v>
      </c>
      <c r="E125" s="2"/>
      <c r="F125" s="26">
        <v>19</v>
      </c>
      <c r="G125" s="21">
        <v>1000000</v>
      </c>
      <c r="H125" s="21">
        <f>VLOOKUP(F125&amp;"|"&amp;G125,$O$3:$P$16,2,FALSE)</f>
        <v>200</v>
      </c>
      <c r="I125" s="21">
        <f>VLOOKUP(F125&amp;"|"&amp;G125,$Q$3:$R$16,2,FALSE)</f>
        <v>49800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31">
        <v>8</v>
      </c>
      <c r="B126" s="21">
        <v>2000000</v>
      </c>
      <c r="C126" s="21">
        <f>VLOOKUP(A126&amp;"|"&amp;B126,$O$3:$P$16,2,FALSE)</f>
        <v>7500</v>
      </c>
      <c r="D126" s="21">
        <f>VLOOKUP(A126&amp;"|"&amp;B126,$Q$3:$R$16,2,FALSE)</f>
        <v>92500</v>
      </c>
      <c r="E126" s="2"/>
      <c r="F126" s="26">
        <v>13</v>
      </c>
      <c r="G126" s="21">
        <v>500000</v>
      </c>
      <c r="H126" s="21">
        <f>VLOOKUP(F126&amp;"|"&amp;G126,$O$3:$P$16,2,FALSE)</f>
        <v>1150</v>
      </c>
      <c r="I126" s="21">
        <f>VLOOKUP(F126&amp;"|"&amp;G126,$Q$3:$R$16,2,FALSE)</f>
        <v>23850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0"/>
      <c r="B127" s="21"/>
      <c r="C127" s="21"/>
      <c r="D127" s="21"/>
      <c r="E127" s="2"/>
      <c r="F127" s="26">
        <v>13</v>
      </c>
      <c r="G127" s="21">
        <v>500000</v>
      </c>
      <c r="H127" s="21">
        <f>VLOOKUP(F127&amp;"|"&amp;G127,$O$3:$P$16,2,FALSE)</f>
        <v>1150</v>
      </c>
      <c r="I127" s="21">
        <f>VLOOKUP(F127&amp;"|"&amp;G127,$Q$3:$R$16,2,FALSE)</f>
        <v>23850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0"/>
      <c r="B128" s="21"/>
      <c r="C128" s="21"/>
      <c r="D128" s="21"/>
      <c r="E128" s="2"/>
      <c r="F128" s="26">
        <v>3.1</v>
      </c>
      <c r="G128" s="21">
        <v>1000000</v>
      </c>
      <c r="H128" s="21">
        <f>VLOOKUP(F128&amp;"|"&amp;G128,$O$3:$P$16,2,FALSE)</f>
        <v>7550</v>
      </c>
      <c r="I128" s="21">
        <f>VLOOKUP(F128&amp;"|"&amp;G128,$Q$3:$R$16,2,FALSE)</f>
        <v>42450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0"/>
      <c r="B129" s="21"/>
      <c r="C129" s="21"/>
      <c r="D129" s="21"/>
      <c r="E129" s="2"/>
      <c r="F129" s="26">
        <v>3</v>
      </c>
      <c r="G129" s="21">
        <v>500000</v>
      </c>
      <c r="H129" s="21">
        <f>VLOOKUP(F129&amp;"|"&amp;G129,$O$3:$P$16,2,FALSE)</f>
        <v>3500</v>
      </c>
      <c r="I129" s="21">
        <f>VLOOKUP(F129&amp;"|"&amp;G129,$Q$3:$R$16,2,FALSE)</f>
        <v>21500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0" t="s">
        <v>16</v>
      </c>
      <c r="B130" s="21"/>
      <c r="C130" s="21"/>
      <c r="D130" s="21">
        <f>SUM(D125:D129)</f>
        <v>117450</v>
      </c>
      <c r="E130" s="2"/>
      <c r="F130" s="36" t="s">
        <v>16</v>
      </c>
      <c r="G130" s="37"/>
      <c r="H130" s="38"/>
      <c r="I130" s="21">
        <f>SUM(I125:I129)</f>
        <v>161450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25" thickTop="1" thickBot="1">
      <c r="A131" s="31"/>
      <c r="B131" s="2"/>
      <c r="C131" s="2"/>
      <c r="D131" s="2"/>
      <c r="E131" s="2"/>
      <c r="F131" s="31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0" t="s">
        <v>0</v>
      </c>
      <c r="B132" s="21" t="s">
        <v>71</v>
      </c>
      <c r="C132" s="21" t="s">
        <v>72</v>
      </c>
      <c r="D132" s="9">
        <v>45998</v>
      </c>
      <c r="E132" s="2"/>
      <c r="F132" s="20" t="s">
        <v>0</v>
      </c>
      <c r="G132" s="21" t="s">
        <v>73</v>
      </c>
      <c r="H132" s="21" t="s">
        <v>74</v>
      </c>
      <c r="I132" s="9">
        <v>45998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0" t="s">
        <v>6</v>
      </c>
      <c r="B133" s="21" t="s">
        <v>7</v>
      </c>
      <c r="C133" s="21" t="s">
        <v>8</v>
      </c>
      <c r="D133" s="21" t="s">
        <v>9</v>
      </c>
      <c r="E133" s="2"/>
      <c r="F133" s="20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31">
        <v>19</v>
      </c>
      <c r="B134" s="21">
        <v>500000</v>
      </c>
      <c r="C134" s="21">
        <f>VLOOKUP(A134&amp;"|"&amp;B134,$O$3:$P$16,2,FALSE)</f>
        <v>50</v>
      </c>
      <c r="D134" s="21">
        <f>VLOOKUP(A134&amp;"|"&amp;B134,$Q$3:$R$16,2,FALSE)</f>
        <v>24950</v>
      </c>
      <c r="E134" s="2"/>
      <c r="F134" s="26">
        <v>19</v>
      </c>
      <c r="G134" s="21">
        <v>500000</v>
      </c>
      <c r="H134" s="21">
        <f>VLOOKUP(F134&amp;"|"&amp;G134,$O$3:$P$16,2,FALSE)</f>
        <v>50</v>
      </c>
      <c r="I134" s="21">
        <f>VLOOKUP(F134&amp;"|"&amp;G134,$Q$3:$R$16,2,FALSE)</f>
        <v>24950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31">
        <v>3</v>
      </c>
      <c r="B135" s="21">
        <v>1000000</v>
      </c>
      <c r="C135" s="21">
        <f>VLOOKUP(A135&amp;"|"&amp;B135,$O$3:$P$16,2,FALSE)</f>
        <v>7800</v>
      </c>
      <c r="D135" s="21">
        <f>VLOOKUP(A135&amp;"|"&amp;B135,$Q$3:$R$16,2,FALSE)</f>
        <v>42200</v>
      </c>
      <c r="E135" s="2"/>
      <c r="F135" s="20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0"/>
      <c r="B136" s="21"/>
      <c r="C136" s="21"/>
      <c r="D136" s="21"/>
      <c r="E136" s="2"/>
      <c r="F136" s="20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0"/>
      <c r="B137" s="21"/>
      <c r="C137" s="21"/>
      <c r="D137" s="21"/>
      <c r="E137" s="2"/>
      <c r="F137" s="20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0"/>
      <c r="B138" s="21"/>
      <c r="C138" s="21"/>
      <c r="D138" s="21"/>
      <c r="E138" s="2"/>
      <c r="F138" s="20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0" t="s">
        <v>16</v>
      </c>
      <c r="B139" s="21"/>
      <c r="C139" s="21"/>
      <c r="D139" s="21">
        <f>SUM(D134:D138)</f>
        <v>67150</v>
      </c>
      <c r="E139" s="2"/>
      <c r="F139" s="36" t="s">
        <v>16</v>
      </c>
      <c r="G139" s="37"/>
      <c r="H139" s="38"/>
      <c r="I139" s="21">
        <f>SUM(I134:I138)</f>
        <v>24950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25" thickTop="1" thickBot="1">
      <c r="A140" s="31"/>
      <c r="B140" s="2"/>
      <c r="C140" s="2"/>
      <c r="D140" s="2"/>
      <c r="E140" s="2"/>
      <c r="F140" s="31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0" t="s">
        <v>0</v>
      </c>
      <c r="B141" s="21" t="s">
        <v>75</v>
      </c>
      <c r="C141" s="21" t="s">
        <v>76</v>
      </c>
      <c r="D141" s="9">
        <v>45998</v>
      </c>
      <c r="E141" s="2"/>
      <c r="F141" s="11" t="s">
        <v>3</v>
      </c>
      <c r="G141" s="12" t="s">
        <v>77</v>
      </c>
      <c r="H141" s="12" t="s">
        <v>78</v>
      </c>
      <c r="I141" s="9">
        <v>45998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0" t="s">
        <v>6</v>
      </c>
      <c r="B142" s="21" t="s">
        <v>7</v>
      </c>
      <c r="C142" s="21" t="s">
        <v>8</v>
      </c>
      <c r="D142" s="21" t="s">
        <v>9</v>
      </c>
      <c r="E142" s="2"/>
      <c r="F142" s="20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31">
        <v>19</v>
      </c>
      <c r="B143" s="21">
        <v>500000</v>
      </c>
      <c r="C143" s="21">
        <f>VLOOKUP(A143&amp;"|"&amp;B143,$O$3:$P$16,2,FALSE)</f>
        <v>50</v>
      </c>
      <c r="D143" s="21">
        <f>VLOOKUP(A143&amp;"|"&amp;B143,$Q$3:$R$16,2,FALSE)</f>
        <v>24950</v>
      </c>
      <c r="E143" s="2"/>
      <c r="F143" s="26">
        <v>3</v>
      </c>
      <c r="G143" s="21">
        <v>1000000</v>
      </c>
      <c r="H143" s="21">
        <f>VLOOKUP(F143&amp;"|"&amp;G143,$O$3:$P$18,2,FALSE)</f>
        <v>7800</v>
      </c>
      <c r="I143" s="21">
        <f>VLOOKUP(F143&amp;"|"&amp;G143,$Q$3:$R$17,2,FALSE)</f>
        <v>42200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31">
        <v>13</v>
      </c>
      <c r="B144" s="21">
        <v>500000</v>
      </c>
      <c r="C144" s="21">
        <f>VLOOKUP(A144&amp;"|"&amp;B144,$O$3:$P$16,2,FALSE)</f>
        <v>1150</v>
      </c>
      <c r="D144" s="21">
        <f>VLOOKUP(A144&amp;"|"&amp;B144,$Q$3:$R$16,2,FALSE)</f>
        <v>23850</v>
      </c>
      <c r="E144" s="2"/>
      <c r="F144" s="26">
        <v>3.1</v>
      </c>
      <c r="G144" s="21">
        <v>1000000</v>
      </c>
      <c r="H144" s="21">
        <f>VLOOKUP(F144&amp;"|"&amp;G144,$O$3:$P$17,2,FALSE)</f>
        <v>7550</v>
      </c>
      <c r="I144" s="21">
        <f>VLOOKUP(F144&amp;"|"&amp;G144,$Q$3:$R$17,2,FALSE)</f>
        <v>42450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31">
        <v>16</v>
      </c>
      <c r="B145" s="21">
        <v>500000</v>
      </c>
      <c r="C145" s="21">
        <f>VLOOKUP(A145&amp;"|"&amp;B145,$O$3:$P$16,2,FALSE)</f>
        <v>650</v>
      </c>
      <c r="D145" s="21">
        <f>VLOOKUP(A145&amp;"|"&amp;B145,$Q$3:$R$16,2,FALSE)</f>
        <v>24350</v>
      </c>
      <c r="E145" s="2"/>
      <c r="F145" s="20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31">
        <v>3</v>
      </c>
      <c r="B146" s="21">
        <v>1000000</v>
      </c>
      <c r="C146" s="21">
        <f>VLOOKUP(A146&amp;"|"&amp;B146,$O$3:$P$16,2,FALSE)</f>
        <v>7800</v>
      </c>
      <c r="D146" s="21">
        <f>VLOOKUP(A146&amp;"|"&amp;B146,$Q$3:$R$16,2,FALSE)</f>
        <v>42200</v>
      </c>
      <c r="E146" s="2"/>
      <c r="F146" s="20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0"/>
      <c r="B147" s="21"/>
      <c r="C147" s="21"/>
      <c r="D147" s="21"/>
      <c r="E147" s="2"/>
      <c r="F147" s="20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0" t="s">
        <v>16</v>
      </c>
      <c r="B148" s="21"/>
      <c r="C148" s="21"/>
      <c r="D148" s="21">
        <f>SUM(D143:D147)</f>
        <v>115350</v>
      </c>
      <c r="E148" s="2"/>
      <c r="F148" s="36" t="s">
        <v>16</v>
      </c>
      <c r="G148" s="37"/>
      <c r="H148" s="38"/>
      <c r="I148" s="21">
        <f>SUM(I143:I147)</f>
        <v>84650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31"/>
      <c r="B149" s="2"/>
      <c r="C149" s="2"/>
      <c r="D149" s="2"/>
      <c r="E149" s="2"/>
      <c r="F149" s="43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0" t="s">
        <v>0</v>
      </c>
      <c r="B150" s="21" t="s">
        <v>79</v>
      </c>
      <c r="C150" s="21" t="s">
        <v>48</v>
      </c>
      <c r="D150" s="9">
        <v>45998</v>
      </c>
      <c r="E150" s="2"/>
      <c r="F150" s="20" t="s">
        <v>0</v>
      </c>
      <c r="G150" s="21" t="s">
        <v>80</v>
      </c>
      <c r="H150" s="21" t="s">
        <v>81</v>
      </c>
      <c r="I150" s="9">
        <v>45998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0" t="s">
        <v>6</v>
      </c>
      <c r="B151" s="21" t="s">
        <v>7</v>
      </c>
      <c r="C151" s="21" t="s">
        <v>8</v>
      </c>
      <c r="D151" s="21" t="s">
        <v>9</v>
      </c>
      <c r="E151" s="2"/>
      <c r="F151" s="20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31">
        <v>3</v>
      </c>
      <c r="B152" s="21">
        <v>500000</v>
      </c>
      <c r="C152" s="21">
        <f>VLOOKUP(A152&amp;"|"&amp;B152,$O$3:$P$16,2,FALSE)</f>
        <v>3500</v>
      </c>
      <c r="D152" s="21">
        <f>VLOOKUP(A152&amp;"|"&amp;B152,$Q$3:$R$16,2,FALSE)</f>
        <v>21500</v>
      </c>
      <c r="E152" s="10"/>
      <c r="F152" s="26">
        <v>19</v>
      </c>
      <c r="G152" s="21">
        <v>500000</v>
      </c>
      <c r="H152" s="21">
        <f>VLOOKUP(F152&amp;"|"&amp;G152,$O$3:$P$16,2,FALSE)</f>
        <v>50</v>
      </c>
      <c r="I152" s="21">
        <f>VLOOKUP(F152&amp;"|"&amp;G152,$Q$3:$R$16,2,FALSE)</f>
        <v>24950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0"/>
      <c r="B153" s="21"/>
      <c r="C153" s="21"/>
      <c r="D153" s="21"/>
      <c r="E153" s="2"/>
      <c r="F153" s="26">
        <v>16</v>
      </c>
      <c r="G153" s="21">
        <v>500000</v>
      </c>
      <c r="H153" s="21">
        <f>VLOOKUP(F153&amp;"|"&amp;G153,$O$3:$P$16,2,FALSE)</f>
        <v>650</v>
      </c>
      <c r="I153" s="21">
        <f>VLOOKUP(F153&amp;"|"&amp;G153,$Q$3:$R$16,2,FALSE)</f>
        <v>24350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0"/>
      <c r="B154" s="21"/>
      <c r="C154" s="21"/>
      <c r="D154" s="21"/>
      <c r="E154" s="2"/>
      <c r="F154" s="26">
        <v>3</v>
      </c>
      <c r="G154" s="21">
        <v>1000000</v>
      </c>
      <c r="H154" s="21">
        <f>VLOOKUP(F154&amp;"|"&amp;G154,$O$3:$P$16,2,FALSE)</f>
        <v>7800</v>
      </c>
      <c r="I154" s="21">
        <f>VLOOKUP(F154&amp;"|"&amp;G154,$Q$3:$R$16,2,FALSE)</f>
        <v>42200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0"/>
      <c r="B155" s="21"/>
      <c r="C155" s="21"/>
      <c r="D155" s="21"/>
      <c r="E155" s="2"/>
      <c r="F155" s="20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0"/>
      <c r="B156" s="21"/>
      <c r="C156" s="21"/>
      <c r="D156" s="21"/>
      <c r="E156" s="2"/>
      <c r="F156" s="20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0" t="s">
        <v>16</v>
      </c>
      <c r="B157" s="21"/>
      <c r="C157" s="21"/>
      <c r="D157" s="21">
        <f>SUM(D152:D156)</f>
        <v>21500</v>
      </c>
      <c r="E157" s="2"/>
      <c r="F157" s="36" t="s">
        <v>16</v>
      </c>
      <c r="G157" s="37"/>
      <c r="H157" s="38"/>
      <c r="I157" s="21">
        <f>SUM(I152:I156)</f>
        <v>91500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25" thickTop="1" thickBot="1">
      <c r="A158" s="31"/>
      <c r="B158" s="2"/>
      <c r="C158" s="2"/>
      <c r="D158" s="2"/>
      <c r="E158" s="2"/>
      <c r="F158" s="31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0" t="s">
        <v>0</v>
      </c>
      <c r="B159" s="21" t="s">
        <v>82</v>
      </c>
      <c r="C159" s="21" t="s">
        <v>24</v>
      </c>
      <c r="D159" s="9">
        <v>45998</v>
      </c>
      <c r="E159" s="2"/>
      <c r="F159" s="20" t="s">
        <v>0</v>
      </c>
      <c r="G159" s="21" t="s">
        <v>21</v>
      </c>
      <c r="H159" s="21" t="s">
        <v>83</v>
      </c>
      <c r="I159" s="9">
        <v>45998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0" t="s">
        <v>6</v>
      </c>
      <c r="B160" s="21" t="s">
        <v>7</v>
      </c>
      <c r="C160" s="21" t="s">
        <v>8</v>
      </c>
      <c r="D160" s="21" t="s">
        <v>9</v>
      </c>
      <c r="E160" s="2"/>
      <c r="F160" s="20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31">
        <v>19.100000000000001</v>
      </c>
      <c r="B161" s="21">
        <v>1000000</v>
      </c>
      <c r="C161" s="21">
        <f>VLOOKUP(A161&amp;"|"&amp;B161,$O$3:$P$16,2,FALSE)</f>
        <v>100</v>
      </c>
      <c r="D161" s="21">
        <f>VLOOKUP(A161&amp;"|"&amp;B161,$Q$3:$R$16,2,FALSE)</f>
        <v>49900</v>
      </c>
      <c r="E161" s="2"/>
      <c r="F161" s="26">
        <v>19.100000000000001</v>
      </c>
      <c r="G161" s="21">
        <v>1000000</v>
      </c>
      <c r="H161" s="21">
        <f>VLOOKUP(F161&amp;"|"&amp;G161,$O$3:$P$16,2,FALSE)</f>
        <v>100</v>
      </c>
      <c r="I161" s="21">
        <f>VLOOKUP(F161&amp;"|"&amp;G161,$Q$3:$R$16,2,FALSE)</f>
        <v>49900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0"/>
      <c r="B162" s="21"/>
      <c r="C162" s="21"/>
      <c r="D162" s="21"/>
      <c r="E162" s="2"/>
      <c r="F162" s="20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0"/>
      <c r="B163" s="21"/>
      <c r="C163" s="21"/>
      <c r="D163" s="21"/>
      <c r="E163" s="2"/>
      <c r="F163" s="20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0"/>
      <c r="B164" s="21"/>
      <c r="C164" s="21"/>
      <c r="D164" s="21"/>
      <c r="E164" s="2"/>
      <c r="F164" s="20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0"/>
      <c r="B165" s="21"/>
      <c r="C165" s="21"/>
      <c r="D165" s="21"/>
      <c r="E165" s="2"/>
      <c r="F165" s="20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0" t="s">
        <v>16</v>
      </c>
      <c r="B166" s="21"/>
      <c r="C166" s="21"/>
      <c r="D166" s="21">
        <f>SUM(D161:D165)</f>
        <v>49900</v>
      </c>
      <c r="E166" s="2"/>
      <c r="F166" s="36" t="s">
        <v>16</v>
      </c>
      <c r="G166" s="37"/>
      <c r="H166" s="38"/>
      <c r="I166" s="21">
        <f>SUM(I161:I165)</f>
        <v>49900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thickTop="1" thickBot="1">
      <c r="A167" s="31"/>
      <c r="B167" s="2"/>
      <c r="C167" s="2"/>
      <c r="D167" s="2"/>
      <c r="E167" s="2"/>
      <c r="F167" s="31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0" t="s">
        <v>0</v>
      </c>
      <c r="B168" s="21" t="s">
        <v>84</v>
      </c>
      <c r="C168" s="21" t="s">
        <v>72</v>
      </c>
      <c r="D168" s="9">
        <v>45998</v>
      </c>
      <c r="E168" s="2"/>
      <c r="F168" s="20" t="s">
        <v>0</v>
      </c>
      <c r="G168" s="21" t="s">
        <v>29</v>
      </c>
      <c r="H168" s="21" t="s">
        <v>43</v>
      </c>
      <c r="I168" s="9">
        <v>45998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0" t="s">
        <v>6</v>
      </c>
      <c r="B169" s="21" t="s">
        <v>7</v>
      </c>
      <c r="C169" s="21" t="s">
        <v>8</v>
      </c>
      <c r="D169" s="21" t="s">
        <v>9</v>
      </c>
      <c r="E169" s="2"/>
      <c r="F169" s="20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31">
        <v>19.100000000000001</v>
      </c>
      <c r="B170" s="21">
        <v>1000000</v>
      </c>
      <c r="C170" s="21">
        <f>VLOOKUP(A170&amp;"|"&amp;B170,$O$3:$P$16,2,FALSE)</f>
        <v>100</v>
      </c>
      <c r="D170" s="21">
        <f>VLOOKUP(A170&amp;"|"&amp;B170,$Q$3:$R$16,2,FALSE)</f>
        <v>49900</v>
      </c>
      <c r="E170" s="2" t="s">
        <v>85</v>
      </c>
      <c r="F170" s="26">
        <v>19</v>
      </c>
      <c r="G170" s="21">
        <v>1000000</v>
      </c>
      <c r="H170" s="21">
        <f>VLOOKUP(F170&amp;"|"&amp;G170,$O$3:$P$16,2,FALSE)</f>
        <v>200</v>
      </c>
      <c r="I170" s="21">
        <f>VLOOKUP(F170&amp;"|"&amp;G170,$Q$3:$R$16,2,FALSE)</f>
        <v>49800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31">
        <v>8</v>
      </c>
      <c r="B171" s="21">
        <v>1000000</v>
      </c>
      <c r="C171" s="21">
        <f>VLOOKUP(A171&amp;"|"&amp;B171,$O$3:$P$16,2,FALSE)</f>
        <v>3750</v>
      </c>
      <c r="D171" s="21">
        <f>VLOOKUP(A171&amp;"|"&amp;B171,$Q$3:$R$16,2,FALSE)</f>
        <v>46250</v>
      </c>
      <c r="E171" s="2"/>
      <c r="F171" s="26">
        <v>13</v>
      </c>
      <c r="G171" s="21">
        <v>500000</v>
      </c>
      <c r="H171" s="21">
        <f>VLOOKUP(F171&amp;"|"&amp;G171,$O$3:$P$16,2,FALSE)</f>
        <v>1150</v>
      </c>
      <c r="I171" s="21">
        <f>VLOOKUP(F171&amp;"|"&amp;G171,$Q$3:$R$16,2,FALSE)</f>
        <v>23850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31">
        <v>8</v>
      </c>
      <c r="B172" s="21">
        <v>1000000</v>
      </c>
      <c r="C172" s="21">
        <f>VLOOKUP(A172&amp;"|"&amp;B172,$O$3:$P$16,2,FALSE)</f>
        <v>3750</v>
      </c>
      <c r="D172" s="21">
        <f>VLOOKUP(A172&amp;"|"&amp;B172,$Q$3:$R$16,2,FALSE)</f>
        <v>46250</v>
      </c>
      <c r="E172" s="2"/>
      <c r="F172" s="20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0"/>
      <c r="B173" s="21"/>
      <c r="C173" s="21"/>
      <c r="D173" s="21"/>
      <c r="E173" s="2"/>
      <c r="F173" s="20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0"/>
      <c r="B174" s="21"/>
      <c r="C174" s="21"/>
      <c r="D174" s="21"/>
      <c r="E174" s="2"/>
      <c r="F174" s="20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0" t="s">
        <v>16</v>
      </c>
      <c r="B175" s="21"/>
      <c r="C175" s="21"/>
      <c r="D175" s="21">
        <f>SUM(D170:D174)</f>
        <v>142400</v>
      </c>
      <c r="E175" s="2"/>
      <c r="F175" s="36" t="s">
        <v>16</v>
      </c>
      <c r="G175" s="37"/>
      <c r="H175" s="38"/>
      <c r="I175" s="21">
        <f>SUM(I170:I174)</f>
        <v>73650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25" thickTop="1" thickBot="1">
      <c r="A176" s="31"/>
      <c r="B176" s="2"/>
      <c r="C176" s="2"/>
      <c r="D176" s="2"/>
      <c r="E176" s="2"/>
      <c r="F176" s="31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0" t="s">
        <v>0</v>
      </c>
      <c r="B177" s="21" t="s">
        <v>86</v>
      </c>
      <c r="C177" s="21" t="s">
        <v>62</v>
      </c>
      <c r="D177" s="9">
        <v>45998</v>
      </c>
      <c r="E177" s="2"/>
      <c r="F177" s="20" t="s">
        <v>0</v>
      </c>
      <c r="G177" s="21" t="s">
        <v>87</v>
      </c>
      <c r="H177" s="21" t="s">
        <v>76</v>
      </c>
      <c r="I177" s="9">
        <v>45998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0" t="s">
        <v>6</v>
      </c>
      <c r="B178" s="21" t="s">
        <v>7</v>
      </c>
      <c r="C178" s="21" t="s">
        <v>8</v>
      </c>
      <c r="D178" s="21" t="s">
        <v>9</v>
      </c>
      <c r="E178" s="2"/>
      <c r="F178" s="20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31">
        <v>8</v>
      </c>
      <c r="B179" s="21">
        <v>2000000</v>
      </c>
      <c r="C179" s="21">
        <f>VLOOKUP(A179&amp;"|"&amp;B179,$O$3:$P$16,2,FALSE)</f>
        <v>7500</v>
      </c>
      <c r="D179" s="21">
        <f>VLOOKUP(A179&amp;"|"&amp;B179,$Q$3:$R$16,2,FALSE)</f>
        <v>92500</v>
      </c>
      <c r="E179" s="2"/>
      <c r="F179" s="26">
        <v>19.100000000000001</v>
      </c>
      <c r="G179" s="21">
        <v>1000000</v>
      </c>
      <c r="H179" s="21">
        <f>VLOOKUP(F179&amp;"|"&amp;G179,$O$3:$P$16,2,FALSE)</f>
        <v>100</v>
      </c>
      <c r="I179" s="21">
        <f>VLOOKUP(F179&amp;"|"&amp;G179,$Q$3:$R$16,2,FALSE)</f>
        <v>49900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31">
        <v>16</v>
      </c>
      <c r="B180" s="21">
        <v>500000</v>
      </c>
      <c r="C180" s="21">
        <f>VLOOKUP(A180&amp;"|"&amp;B180,$O$3:$P$16,2,FALSE)</f>
        <v>650</v>
      </c>
      <c r="D180" s="21">
        <f>VLOOKUP(A180&amp;"|"&amp;B180,$Q$3:$R$16,2,FALSE)</f>
        <v>24350</v>
      </c>
      <c r="E180" s="2"/>
      <c r="F180" s="20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0"/>
      <c r="B181" s="21"/>
      <c r="C181" s="21"/>
      <c r="D181" s="21"/>
      <c r="E181" s="2"/>
      <c r="F181" s="20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0"/>
      <c r="B182" s="21"/>
      <c r="C182" s="21"/>
      <c r="D182" s="21"/>
      <c r="E182" s="2"/>
      <c r="F182" s="20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0"/>
      <c r="B183" s="21"/>
      <c r="C183" s="21"/>
      <c r="D183" s="21"/>
      <c r="E183" s="2"/>
      <c r="F183" s="20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0" t="s">
        <v>16</v>
      </c>
      <c r="B184" s="21"/>
      <c r="C184" s="21"/>
      <c r="D184" s="21">
        <f>SUM(D179:D183)</f>
        <v>116850</v>
      </c>
      <c r="E184" s="2"/>
      <c r="F184" s="36" t="s">
        <v>16</v>
      </c>
      <c r="G184" s="37"/>
      <c r="H184" s="38"/>
      <c r="I184" s="21">
        <f>SUM(I179:I183)</f>
        <v>49900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25" thickTop="1" thickBot="1">
      <c r="A185" s="31" t="s">
        <v>182</v>
      </c>
      <c r="B185" s="2"/>
      <c r="C185" s="2"/>
      <c r="D185" s="2"/>
      <c r="E185" s="2"/>
      <c r="F185" s="31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1" t="s">
        <v>3</v>
      </c>
      <c r="B186" s="12" t="s">
        <v>88</v>
      </c>
      <c r="C186" s="12" t="s">
        <v>76</v>
      </c>
      <c r="D186" s="9">
        <v>45998</v>
      </c>
      <c r="E186" s="2"/>
      <c r="F186" s="20" t="s">
        <v>0</v>
      </c>
      <c r="G186" s="21" t="s">
        <v>89</v>
      </c>
      <c r="H186" s="21" t="s">
        <v>90</v>
      </c>
      <c r="I186" s="9">
        <v>45998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0" t="s">
        <v>91</v>
      </c>
      <c r="B187" s="21" t="s">
        <v>92</v>
      </c>
      <c r="C187" s="21" t="s">
        <v>93</v>
      </c>
      <c r="D187" s="21" t="s">
        <v>9</v>
      </c>
      <c r="E187" s="2"/>
      <c r="F187" s="20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31">
        <v>3</v>
      </c>
      <c r="B188" s="21">
        <v>1000000</v>
      </c>
      <c r="C188" s="21">
        <f>VLOOKUP(A188&amp;"|"&amp;B188,$O$3:$P$17,2,FALSE)</f>
        <v>7800</v>
      </c>
      <c r="D188" s="21">
        <f>VLOOKUP(A188&amp;"|"&amp;B188,$Q$3:$R$17,2,FALSE)</f>
        <v>42200</v>
      </c>
      <c r="E188" s="2"/>
      <c r="F188" s="26">
        <v>19.100000000000001</v>
      </c>
      <c r="G188" s="21">
        <v>500000</v>
      </c>
      <c r="H188" s="21">
        <f>VLOOKUP(F188&amp;"|"&amp;G188,$O$3:$P$16,2,FALSE)</f>
        <v>50</v>
      </c>
      <c r="I188" s="21">
        <f>VLOOKUP(F188&amp;"|"&amp;G188,$Q$3:$R$16,2,FALSE)</f>
        <v>24950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31">
        <v>19.100000000000001</v>
      </c>
      <c r="B189" s="21">
        <v>1000000</v>
      </c>
      <c r="C189" s="21">
        <f>VLOOKUP(A189&amp;"|"&amp;B189,$O$3:$P$17,2,FALSE)</f>
        <v>100</v>
      </c>
      <c r="D189" s="21">
        <f>VLOOKUP(A189&amp;"|"&amp;B189,$Q$3:$R$17,2,FALSE)</f>
        <v>49900</v>
      </c>
      <c r="E189" s="2"/>
      <c r="F189" s="20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31"/>
      <c r="B190" s="21"/>
      <c r="C190" s="21"/>
      <c r="D190" s="21"/>
      <c r="E190" s="2"/>
      <c r="F190" s="20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0"/>
      <c r="B191" s="21"/>
      <c r="C191" s="21"/>
      <c r="D191" s="21"/>
      <c r="E191" s="2"/>
      <c r="F191" s="20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0"/>
      <c r="B192" s="21"/>
      <c r="C192" s="21"/>
      <c r="D192" s="21"/>
      <c r="E192" s="2"/>
      <c r="F192" s="20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0" t="s">
        <v>16</v>
      </c>
      <c r="B193" s="21"/>
      <c r="C193" s="21"/>
      <c r="D193" s="21">
        <f>SUM(D188:D192)</f>
        <v>92100</v>
      </c>
      <c r="E193" s="2"/>
      <c r="F193" s="36" t="s">
        <v>16</v>
      </c>
      <c r="G193" s="37"/>
      <c r="H193" s="38"/>
      <c r="I193" s="21">
        <f>SUM(I188:I192)</f>
        <v>24950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25" thickTop="1" thickBot="1">
      <c r="A194" s="31"/>
      <c r="B194" s="2"/>
      <c r="C194" s="2"/>
      <c r="D194" s="2"/>
      <c r="E194" s="2"/>
      <c r="F194" s="31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0" t="s">
        <v>0</v>
      </c>
      <c r="B195" s="21" t="s">
        <v>94</v>
      </c>
      <c r="C195" s="21" t="s">
        <v>24</v>
      </c>
      <c r="D195" s="9">
        <v>45998</v>
      </c>
      <c r="E195" s="2"/>
      <c r="F195" s="20" t="s">
        <v>0</v>
      </c>
      <c r="G195" s="21" t="s">
        <v>95</v>
      </c>
      <c r="H195" s="21" t="s">
        <v>96</v>
      </c>
      <c r="I195" s="9">
        <v>45998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0" t="s">
        <v>6</v>
      </c>
      <c r="B196" s="21" t="s">
        <v>7</v>
      </c>
      <c r="C196" s="21" t="s">
        <v>8</v>
      </c>
      <c r="D196" s="21" t="s">
        <v>9</v>
      </c>
      <c r="E196" s="2"/>
      <c r="F196" s="20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31">
        <v>19.100000000000001</v>
      </c>
      <c r="B197" s="21">
        <v>1000000</v>
      </c>
      <c r="C197" s="21">
        <f>VLOOKUP(A197&amp;"|"&amp;B197,$O$3:$P$16,2,FALSE)</f>
        <v>100</v>
      </c>
      <c r="D197" s="21">
        <f>VLOOKUP(A197&amp;"|"&amp;B197,$Q$3:$R$16,2,FALSE)</f>
        <v>49900</v>
      </c>
      <c r="E197" s="2"/>
      <c r="F197" s="26">
        <v>19</v>
      </c>
      <c r="G197" s="21">
        <v>1000000</v>
      </c>
      <c r="H197" s="21">
        <f>VLOOKUP(F197&amp;"|"&amp;G197,$O$3:$P$16,2,FALSE)</f>
        <v>200</v>
      </c>
      <c r="I197" s="21">
        <f>VLOOKUP(F197&amp;"|"&amp;G197,$Q$3:$R$16,2,FALSE)</f>
        <v>49800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31">
        <v>8</v>
      </c>
      <c r="B198" s="21">
        <v>1000000</v>
      </c>
      <c r="C198" s="21">
        <f>VLOOKUP(A198&amp;"|"&amp;B198,$O$3:$P$16,2,FALSE)</f>
        <v>3750</v>
      </c>
      <c r="D198" s="21">
        <f>VLOOKUP(A198&amp;"|"&amp;B198,$Q$3:$R$16,2,FALSE)</f>
        <v>46250</v>
      </c>
      <c r="E198" s="2"/>
      <c r="F198" s="20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0"/>
      <c r="B199" s="21"/>
      <c r="C199" s="21"/>
      <c r="D199" s="21"/>
      <c r="E199" s="2"/>
      <c r="F199" s="20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0"/>
      <c r="B200" s="21"/>
      <c r="C200" s="21"/>
      <c r="D200" s="21"/>
      <c r="E200" s="2"/>
      <c r="F200" s="20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0"/>
      <c r="B201" s="21"/>
      <c r="C201" s="21"/>
      <c r="D201" s="21"/>
      <c r="E201" s="2"/>
      <c r="F201" s="20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0" t="s">
        <v>16</v>
      </c>
      <c r="B202" s="21"/>
      <c r="C202" s="21"/>
      <c r="D202" s="21">
        <f>SUM(D197:D201)</f>
        <v>96150</v>
      </c>
      <c r="E202" s="2"/>
      <c r="F202" s="36" t="s">
        <v>16</v>
      </c>
      <c r="G202" s="37"/>
      <c r="H202" s="38"/>
      <c r="I202" s="21">
        <f>SUM(I197:I201)</f>
        <v>49800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25" thickTop="1" thickBot="1">
      <c r="A203" s="31"/>
      <c r="B203" s="2"/>
      <c r="C203" s="2"/>
      <c r="D203" s="2"/>
      <c r="E203" s="2"/>
      <c r="F203" s="31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1" t="s">
        <v>3</v>
      </c>
      <c r="B204" s="12" t="s">
        <v>97</v>
      </c>
      <c r="C204" s="12" t="s">
        <v>98</v>
      </c>
      <c r="D204" s="9">
        <v>45998</v>
      </c>
      <c r="F204" s="11" t="s">
        <v>3</v>
      </c>
      <c r="G204" s="12" t="s">
        <v>99</v>
      </c>
      <c r="H204" s="12" t="s">
        <v>100</v>
      </c>
      <c r="I204" s="9">
        <v>45998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0" t="s">
        <v>6</v>
      </c>
      <c r="B205" s="21" t="s">
        <v>7</v>
      </c>
      <c r="C205" s="21" t="s">
        <v>8</v>
      </c>
      <c r="D205" s="21" t="s">
        <v>9</v>
      </c>
      <c r="F205" s="20" t="s">
        <v>6</v>
      </c>
      <c r="G205" s="21" t="s">
        <v>92</v>
      </c>
      <c r="H205" s="21" t="s">
        <v>8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31">
        <v>19</v>
      </c>
      <c r="B206" s="21">
        <v>1000000</v>
      </c>
      <c r="C206" s="21">
        <f>VLOOKUP(A206&amp;"|"&amp;B206,$O$3:$P$18,2,FALSE)</f>
        <v>200</v>
      </c>
      <c r="D206" s="21">
        <f>VLOOKUP(A206&amp;"|"&amp;B206,$Q$3:$R$17,2,FALSE)</f>
        <v>49800</v>
      </c>
      <c r="F206" s="26">
        <v>3.1</v>
      </c>
      <c r="G206" s="21">
        <v>1000000</v>
      </c>
      <c r="H206" s="21">
        <f>VLOOKUP(F206&amp;"|"&amp;G206,$O$3:$P$17,2,FALSE)</f>
        <v>7550</v>
      </c>
      <c r="I206" s="21">
        <f>VLOOKUP(F206&amp;"|"&amp;G206,$Q$3:$R$17,2,FALSE)</f>
        <v>42450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31">
        <v>19.100000000000001</v>
      </c>
      <c r="B207" s="21">
        <v>1000000</v>
      </c>
      <c r="C207" s="21">
        <f>VLOOKUP(A207&amp;"|"&amp;B207,$O$3:$P$17,2,FALSE)</f>
        <v>100</v>
      </c>
      <c r="D207" s="21">
        <f>VLOOKUP(A207&amp;"|"&amp;B207,$Q$3:$R$17,2,FALSE)</f>
        <v>49900</v>
      </c>
      <c r="F207" s="26">
        <v>8</v>
      </c>
      <c r="G207" s="21">
        <v>1000000</v>
      </c>
      <c r="H207" s="21">
        <f>VLOOKUP(F207&amp;"|"&amp;G207,$O$3:$P$17,2,FALSE)</f>
        <v>3750</v>
      </c>
      <c r="I207" s="21">
        <f>VLOOKUP(F207&amp;"|"&amp;G207,$Q$3:$R$17,2,FALSE)</f>
        <v>46250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0"/>
      <c r="B208" s="21"/>
      <c r="C208" s="21"/>
      <c r="D208" s="21"/>
      <c r="E208" s="2"/>
      <c r="F208" s="20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0"/>
      <c r="B209" s="21"/>
      <c r="C209" s="21"/>
      <c r="D209" s="21"/>
      <c r="E209" s="2"/>
      <c r="F209" s="20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0"/>
      <c r="B210" s="21"/>
      <c r="C210" s="21"/>
      <c r="D210" s="21"/>
      <c r="E210" s="2"/>
      <c r="F210" s="20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0" t="s">
        <v>16</v>
      </c>
      <c r="B211" s="21"/>
      <c r="C211" s="21"/>
      <c r="D211" s="21">
        <f>SUM(D206:D210)</f>
        <v>99700</v>
      </c>
      <c r="E211" s="2"/>
      <c r="F211" s="36" t="s">
        <v>16</v>
      </c>
      <c r="G211" s="37"/>
      <c r="H211" s="38"/>
      <c r="I211" s="21">
        <f>SUM(I206:I210)</f>
        <v>88700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25" thickTop="1" thickBot="1">
      <c r="A212" s="31"/>
      <c r="B212" s="2"/>
      <c r="C212" s="2"/>
      <c r="D212" s="2"/>
      <c r="E212" s="2"/>
      <c r="F212" s="31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0" t="s">
        <v>0</v>
      </c>
      <c r="B213" s="21"/>
      <c r="C213" s="21" t="s">
        <v>101</v>
      </c>
      <c r="D213" s="9">
        <v>45998</v>
      </c>
      <c r="E213" s="2"/>
      <c r="F213" s="20" t="s">
        <v>0</v>
      </c>
      <c r="G213" s="21" t="s">
        <v>35</v>
      </c>
      <c r="H213" s="21" t="s">
        <v>102</v>
      </c>
      <c r="I213" s="9">
        <v>45998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0" t="s">
        <v>6</v>
      </c>
      <c r="B214" s="21" t="s">
        <v>7</v>
      </c>
      <c r="C214" s="21" t="s">
        <v>8</v>
      </c>
      <c r="D214" s="21" t="s">
        <v>9</v>
      </c>
      <c r="E214" s="2"/>
      <c r="F214" s="20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31"/>
      <c r="B215" s="21"/>
      <c r="C215" s="21"/>
      <c r="D215" s="21"/>
      <c r="E215" s="2"/>
      <c r="F215" s="26">
        <v>3</v>
      </c>
      <c r="G215" s="21">
        <v>500000</v>
      </c>
      <c r="H215" s="21">
        <f>VLOOKUP(F215&amp;"|"&amp;G215,$O$3:$P$16,2,FALSE)</f>
        <v>3500</v>
      </c>
      <c r="I215" s="21">
        <f>VLOOKUP(F215&amp;"|"&amp;G215,$Q$3:$R$16,2,FALSE)</f>
        <v>21500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0"/>
      <c r="B216" s="21"/>
      <c r="C216" s="21"/>
      <c r="D216" s="21"/>
      <c r="E216" s="2"/>
      <c r="F216" s="26">
        <v>16</v>
      </c>
      <c r="G216" s="21">
        <v>500000</v>
      </c>
      <c r="H216" s="21">
        <f>VLOOKUP(F216&amp;"|"&amp;G216,$O$3:$P$16,2,FALSE)</f>
        <v>650</v>
      </c>
      <c r="I216" s="21">
        <f>VLOOKUP(F216&amp;"|"&amp;G216,$Q$3:$R$16,2,FALSE)</f>
        <v>24350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0"/>
      <c r="B217" s="21"/>
      <c r="C217" s="21"/>
      <c r="D217" s="21"/>
      <c r="E217" s="2"/>
      <c r="F217" s="20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0"/>
      <c r="B218" s="21"/>
      <c r="C218" s="21"/>
      <c r="D218" s="21"/>
      <c r="E218" s="2"/>
      <c r="F218" s="20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0"/>
      <c r="B219" s="21"/>
      <c r="C219" s="21"/>
      <c r="D219" s="21"/>
      <c r="E219" s="2"/>
      <c r="F219" s="20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0" t="s">
        <v>16</v>
      </c>
      <c r="B220" s="21"/>
      <c r="C220" s="21"/>
      <c r="D220" s="21"/>
      <c r="E220" s="2"/>
      <c r="F220" s="36" t="s">
        <v>16</v>
      </c>
      <c r="G220" s="37"/>
      <c r="H220" s="38"/>
      <c r="I220" s="21">
        <f>SUM(I215:I219)</f>
        <v>45850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25" thickTop="1" thickBot="1">
      <c r="A221" s="31"/>
      <c r="B221" s="2"/>
      <c r="C221" s="2"/>
      <c r="D221" s="2"/>
      <c r="E221" s="2"/>
      <c r="F221" s="31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0" t="s">
        <v>0</v>
      </c>
      <c r="B222" s="21" t="s">
        <v>88</v>
      </c>
      <c r="C222" s="21" t="s">
        <v>24</v>
      </c>
      <c r="D222" s="9">
        <v>45998</v>
      </c>
      <c r="E222" s="2"/>
      <c r="F222" s="20" t="s">
        <v>0</v>
      </c>
      <c r="G222" s="21" t="s">
        <v>103</v>
      </c>
      <c r="H222" s="21" t="s">
        <v>104</v>
      </c>
      <c r="I222" s="9">
        <v>45998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0" t="s">
        <v>6</v>
      </c>
      <c r="B223" s="21" t="s">
        <v>7</v>
      </c>
      <c r="C223" s="21" t="s">
        <v>8</v>
      </c>
      <c r="D223" s="21" t="s">
        <v>9</v>
      </c>
      <c r="E223" s="2"/>
      <c r="F223" s="20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31">
        <v>13</v>
      </c>
      <c r="B224" s="21">
        <v>500000</v>
      </c>
      <c r="C224" s="21">
        <f>VLOOKUP(A224&amp;"|"&amp;B224,$O$3:$P$16,2,FALSE)</f>
        <v>1150</v>
      </c>
      <c r="D224" s="21">
        <f>VLOOKUP(A224&amp;"|"&amp;B224,$Q$3:$R$16,2,FALSE)</f>
        <v>23850</v>
      </c>
      <c r="E224" s="2"/>
      <c r="F224" s="57">
        <v>13</v>
      </c>
      <c r="G224" s="21">
        <v>500000</v>
      </c>
      <c r="H224" s="21">
        <f>VLOOKUP(F224&amp;"|"&amp;G224,$O$3:$P$16,2,FALSE)</f>
        <v>1150</v>
      </c>
      <c r="I224" s="21">
        <f>VLOOKUP(F224&amp;"|"&amp;G224,$Q$3:$R$16,2,FALSE)</f>
        <v>23850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0"/>
      <c r="B225" s="21"/>
      <c r="C225" s="21"/>
      <c r="D225" s="21"/>
      <c r="E225" s="2"/>
      <c r="F225" s="20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0"/>
      <c r="B226" s="21"/>
      <c r="C226" s="21"/>
      <c r="D226" s="21"/>
      <c r="E226" s="2"/>
      <c r="F226" s="20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0"/>
      <c r="B227" s="21"/>
      <c r="C227" s="21"/>
      <c r="D227" s="21"/>
      <c r="E227" s="2"/>
      <c r="F227" s="20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0"/>
      <c r="B228" s="21"/>
      <c r="C228" s="21"/>
      <c r="D228" s="21"/>
      <c r="E228" s="2"/>
      <c r="F228" s="20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0" t="s">
        <v>16</v>
      </c>
      <c r="B229" s="21"/>
      <c r="C229" s="21"/>
      <c r="D229" s="21">
        <f>SUM(D224:D228)</f>
        <v>23850</v>
      </c>
      <c r="E229" s="2"/>
      <c r="F229" s="36" t="s">
        <v>16</v>
      </c>
      <c r="G229" s="37"/>
      <c r="H229" s="38"/>
      <c r="I229" s="21">
        <f>SUM(I224:I228)</f>
        <v>23850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25" thickTop="1" thickBot="1">
      <c r="A230" s="31"/>
      <c r="B230" s="2"/>
      <c r="C230" s="2"/>
      <c r="D230" s="2"/>
      <c r="E230" s="2"/>
      <c r="F230" s="31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0" t="s">
        <v>0</v>
      </c>
      <c r="B231" s="21" t="s">
        <v>71</v>
      </c>
      <c r="C231" s="21" t="s">
        <v>105</v>
      </c>
      <c r="D231" s="9">
        <v>45998</v>
      </c>
      <c r="E231" s="2"/>
      <c r="F231" s="20" t="s">
        <v>0</v>
      </c>
      <c r="G231" s="21" t="s">
        <v>106</v>
      </c>
      <c r="H231" s="21" t="s">
        <v>81</v>
      </c>
      <c r="I231" s="9">
        <v>45998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0" t="s">
        <v>6</v>
      </c>
      <c r="B232" s="21" t="s">
        <v>7</v>
      </c>
      <c r="C232" s="21" t="s">
        <v>8</v>
      </c>
      <c r="D232" s="21" t="s">
        <v>9</v>
      </c>
      <c r="E232" s="2"/>
      <c r="F232" s="20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31">
        <v>8</v>
      </c>
      <c r="B233" s="21">
        <v>500000</v>
      </c>
      <c r="C233" s="21">
        <f>VLOOKUP(A233&amp;"|"&amp;B233,$O$3:$P$16,2,FALSE)</f>
        <v>2350</v>
      </c>
      <c r="D233" s="21">
        <f>VLOOKUP(A233&amp;"|"&amp;B233,$Q$3:$R$16,2,FALSE)</f>
        <v>22650</v>
      </c>
      <c r="E233" s="2"/>
      <c r="F233" s="57">
        <v>8</v>
      </c>
      <c r="G233" s="21">
        <v>2000000</v>
      </c>
      <c r="H233" s="21">
        <f>VLOOKUP(F233&amp;"|"&amp;G233,$O$3:$P$19,2,FALSE)</f>
        <v>7500</v>
      </c>
      <c r="I233" s="21">
        <f>VLOOKUP(F233&amp;"|"&amp;G233,$Q$3:$R$19,2,FALSE)</f>
        <v>92500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0"/>
      <c r="B234" s="21"/>
      <c r="C234" s="21"/>
      <c r="D234" s="21"/>
      <c r="E234" s="2"/>
      <c r="F234" s="20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0"/>
      <c r="B235" s="21"/>
      <c r="C235" s="21"/>
      <c r="D235" s="21"/>
      <c r="E235" s="2"/>
      <c r="F235" s="20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0"/>
      <c r="B236" s="21"/>
      <c r="C236" s="21"/>
      <c r="D236" s="21"/>
      <c r="E236" s="2"/>
      <c r="F236" s="20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0"/>
      <c r="B237" s="21"/>
      <c r="C237" s="21"/>
      <c r="D237" s="21"/>
      <c r="E237" s="2"/>
      <c r="F237" s="20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0" t="s">
        <v>16</v>
      </c>
      <c r="B238" s="21"/>
      <c r="C238" s="21"/>
      <c r="D238" s="21">
        <f>SUM(D233:D237)</f>
        <v>22650</v>
      </c>
      <c r="E238" s="2"/>
      <c r="F238" s="36" t="s">
        <v>16</v>
      </c>
      <c r="G238" s="37"/>
      <c r="H238" s="38"/>
      <c r="I238" s="21">
        <f>SUM(I233:I237)</f>
        <v>92500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25" thickTop="1" thickBot="1">
      <c r="A239" s="31"/>
      <c r="B239" s="2"/>
      <c r="C239" s="2"/>
      <c r="D239" s="2"/>
      <c r="E239" s="2"/>
      <c r="F239" s="31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0" t="s">
        <v>0</v>
      </c>
      <c r="B240" s="21" t="s">
        <v>35</v>
      </c>
      <c r="C240" s="21" t="s">
        <v>58</v>
      </c>
      <c r="D240" s="9">
        <v>45998</v>
      </c>
      <c r="E240" s="2"/>
      <c r="F240" s="20" t="s">
        <v>0</v>
      </c>
      <c r="G240" s="21" t="s">
        <v>107</v>
      </c>
      <c r="H240" s="21" t="s">
        <v>108</v>
      </c>
      <c r="I240" s="9">
        <v>45998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0" t="s">
        <v>6</v>
      </c>
      <c r="B241" s="21" t="s">
        <v>7</v>
      </c>
      <c r="C241" s="21" t="s">
        <v>8</v>
      </c>
      <c r="D241" s="21" t="s">
        <v>9</v>
      </c>
      <c r="E241" s="2"/>
      <c r="F241" s="20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31">
        <v>3</v>
      </c>
      <c r="B242" s="21">
        <v>500000</v>
      </c>
      <c r="C242" s="21">
        <f>VLOOKUP(A242&amp;"|"&amp;B242,$O$3:$P$19,2,FALSE)</f>
        <v>3500</v>
      </c>
      <c r="D242" s="21">
        <f>VLOOKUP(A242&amp;"|"&amp;B242,$Q$3:$R$19,2,FALSE)</f>
        <v>21500</v>
      </c>
      <c r="E242" s="2"/>
      <c r="F242" s="57">
        <v>3</v>
      </c>
      <c r="G242" s="21">
        <v>1000000</v>
      </c>
      <c r="H242" s="21">
        <f>VLOOKUP(F242&amp;"|"&amp;G242,$O$3:$P$16,2,FALSE)</f>
        <v>7800</v>
      </c>
      <c r="I242" s="21">
        <f>VLOOKUP(F242&amp;"|"&amp;G242,$Q$3:$R$16,2,FALSE)</f>
        <v>42200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31">
        <v>3</v>
      </c>
      <c r="B243" s="21">
        <v>500000</v>
      </c>
      <c r="C243" s="21">
        <f>VLOOKUP(A243&amp;"|"&amp;B243,$O$3:$P$19,2,FALSE)</f>
        <v>3500</v>
      </c>
      <c r="D243" s="21">
        <f>VLOOKUP(A243&amp;"|"&amp;B243,$Q$3:$R$19,2,FALSE)</f>
        <v>21500</v>
      </c>
      <c r="E243" s="2"/>
      <c r="F243" s="57">
        <v>8</v>
      </c>
      <c r="G243" s="21">
        <v>2000000</v>
      </c>
      <c r="H243" s="21">
        <f>VLOOKUP(F243&amp;"|"&amp;G243,$O$3:$P$16,2,FALSE)</f>
        <v>7500</v>
      </c>
      <c r="I243" s="21">
        <f>VLOOKUP(F243&amp;"|"&amp;G243,$Q$3:$R$16,2,FALSE)</f>
        <v>92500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0"/>
      <c r="B244" s="21"/>
      <c r="C244" s="21"/>
      <c r="D244" s="21"/>
      <c r="E244" s="2"/>
      <c r="F244" s="57">
        <v>16</v>
      </c>
      <c r="G244" s="21">
        <v>500000</v>
      </c>
      <c r="H244" s="21">
        <f>VLOOKUP(F244&amp;"|"&amp;G244,$O$3:$P$16,2,FALSE)</f>
        <v>650</v>
      </c>
      <c r="I244" s="21">
        <f>VLOOKUP(F244&amp;"|"&amp;G244,$Q$3:$R$16,2,FALSE)</f>
        <v>24350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0"/>
      <c r="B245" s="21"/>
      <c r="C245" s="21"/>
      <c r="D245" s="21"/>
      <c r="E245" s="2"/>
      <c r="F245" s="57">
        <v>16</v>
      </c>
      <c r="G245" s="21">
        <v>500000</v>
      </c>
      <c r="H245" s="21">
        <f>VLOOKUP(F245&amp;"|"&amp;G245,$O$3:$P$16,2,FALSE)</f>
        <v>650</v>
      </c>
      <c r="I245" s="21">
        <f>VLOOKUP(F245&amp;"|"&amp;G245,$Q$3:$R$16,2,FALSE)</f>
        <v>24350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0"/>
      <c r="B246" s="21"/>
      <c r="C246" s="21"/>
      <c r="D246" s="21"/>
      <c r="E246" s="2"/>
      <c r="F246" s="57">
        <v>3.1</v>
      </c>
      <c r="G246" s="21">
        <v>1000000</v>
      </c>
      <c r="H246" s="21">
        <f>VLOOKUP(F246&amp;"|"&amp;G246,$O$3:$P$16,2,FALSE)</f>
        <v>7550</v>
      </c>
      <c r="I246" s="21">
        <f>VLOOKUP(F246&amp;"|"&amp;G246,$Q$3:$R$16,2,FALSE)</f>
        <v>42450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0" t="s">
        <v>16</v>
      </c>
      <c r="B247" s="21"/>
      <c r="C247" s="21"/>
      <c r="D247" s="21">
        <f>SUM(D242:D246)</f>
        <v>43000</v>
      </c>
      <c r="E247" s="2"/>
      <c r="F247" s="36" t="s">
        <v>16</v>
      </c>
      <c r="G247" s="37"/>
      <c r="H247" s="38"/>
      <c r="I247" s="21">
        <f>SUM(I242:I246)</f>
        <v>225850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25" thickTop="1" thickBot="1">
      <c r="A248" s="31"/>
      <c r="B248" s="2"/>
      <c r="C248" s="2"/>
      <c r="D248" s="2"/>
      <c r="E248" s="2"/>
      <c r="F248" s="31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0" t="s">
        <v>0</v>
      </c>
      <c r="B249" s="21" t="s">
        <v>109</v>
      </c>
      <c r="C249" s="21" t="s">
        <v>110</v>
      </c>
      <c r="D249" s="9">
        <v>45998</v>
      </c>
      <c r="E249" s="2"/>
      <c r="F249" s="20" t="s">
        <v>0</v>
      </c>
      <c r="G249" s="21" t="s">
        <v>187</v>
      </c>
      <c r="H249" s="21" t="s">
        <v>38</v>
      </c>
      <c r="I249" s="9">
        <v>45998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0" t="s">
        <v>6</v>
      </c>
      <c r="B250" s="21" t="s">
        <v>7</v>
      </c>
      <c r="C250" s="21" t="s">
        <v>8</v>
      </c>
      <c r="D250" s="21" t="s">
        <v>9</v>
      </c>
      <c r="E250" s="2"/>
      <c r="F250" s="20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31">
        <v>3</v>
      </c>
      <c r="B251" s="21">
        <v>1000000</v>
      </c>
      <c r="C251" s="21">
        <f>VLOOKUP(A251&amp;"|"&amp;B251,$O$3:$P$16,2,FALSE)</f>
        <v>7800</v>
      </c>
      <c r="D251" s="21">
        <f>VLOOKUP(A251&amp;"|"&amp;B251,$Q$3:$R$16,2,FALSE)</f>
        <v>42200</v>
      </c>
      <c r="E251" s="2"/>
      <c r="F251" s="57">
        <v>13</v>
      </c>
      <c r="G251" s="21">
        <v>500000</v>
      </c>
      <c r="H251" s="21">
        <f>VLOOKUP(F251&amp;"|"&amp;G251,$O$3:$P$16,2,FALSE)</f>
        <v>1150</v>
      </c>
      <c r="I251" s="21">
        <f>VLOOKUP(F251&amp;"|"&amp;G251,$Q$3:$R$16,2,FALSE)</f>
        <v>23850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31">
        <v>3.1</v>
      </c>
      <c r="B252" s="21">
        <v>1000000</v>
      </c>
      <c r="C252" s="21">
        <f>VLOOKUP(A252&amp;"|"&amp;B252,$O$3:$P$16,2,FALSE)</f>
        <v>7550</v>
      </c>
      <c r="D252" s="21">
        <f>VLOOKUP(A252&amp;"|"&amp;B252,$Q$3:$R$16,2,FALSE)</f>
        <v>42450</v>
      </c>
      <c r="E252" s="2"/>
      <c r="F252" s="20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0"/>
      <c r="B253" s="21"/>
      <c r="C253" s="21"/>
      <c r="D253" s="21"/>
      <c r="E253" s="2"/>
      <c r="F253" s="20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0"/>
      <c r="B254" s="21"/>
      <c r="C254" s="21"/>
      <c r="D254" s="21"/>
      <c r="E254" s="2"/>
      <c r="F254" s="20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0"/>
      <c r="B255" s="21"/>
      <c r="C255" s="21"/>
      <c r="D255" s="21"/>
      <c r="E255" s="2"/>
      <c r="F255" s="20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0" t="s">
        <v>16</v>
      </c>
      <c r="B256" s="21"/>
      <c r="C256" s="21"/>
      <c r="D256" s="21">
        <f>SUM(D251:D255)</f>
        <v>84650</v>
      </c>
      <c r="E256" s="2"/>
      <c r="F256" s="36" t="s">
        <v>16</v>
      </c>
      <c r="G256" s="37"/>
      <c r="H256" s="38"/>
      <c r="I256" s="21">
        <f>SUM(I251:I255)</f>
        <v>23850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25" thickTop="1" thickBot="1">
      <c r="A257" s="31"/>
      <c r="B257" s="2"/>
      <c r="C257" s="2"/>
      <c r="D257" s="2"/>
      <c r="E257" s="2"/>
      <c r="F257" s="31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0" t="s">
        <v>0</v>
      </c>
      <c r="B258" s="21" t="s">
        <v>111</v>
      </c>
      <c r="C258" s="21" t="s">
        <v>18</v>
      </c>
      <c r="D258" s="9">
        <v>45998</v>
      </c>
      <c r="E258" s="2"/>
      <c r="F258" s="20" t="s">
        <v>0</v>
      </c>
      <c r="G258" s="21" t="s">
        <v>112</v>
      </c>
      <c r="H258" s="21" t="s">
        <v>113</v>
      </c>
      <c r="I258" s="9">
        <v>45998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0" t="s">
        <v>6</v>
      </c>
      <c r="B259" s="21" t="s">
        <v>7</v>
      </c>
      <c r="C259" s="21" t="s">
        <v>8</v>
      </c>
      <c r="D259" s="21" t="s">
        <v>9</v>
      </c>
      <c r="E259" s="2"/>
      <c r="F259" s="20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31">
        <v>19</v>
      </c>
      <c r="B260" s="21">
        <v>500000</v>
      </c>
      <c r="C260" s="21">
        <f>VLOOKUP(A260&amp;"|"&amp;B260,$O$3:$P$18,2,FALSE)</f>
        <v>50</v>
      </c>
      <c r="D260" s="21">
        <f>VLOOKUP(A260&amp;"|"&amp;B260,$Q$3:$R$18,2,FALSE)</f>
        <v>24950</v>
      </c>
      <c r="E260" s="2"/>
      <c r="F260" s="57">
        <v>3</v>
      </c>
      <c r="G260" s="21">
        <v>500000</v>
      </c>
      <c r="H260" s="21">
        <f>VLOOKUP(F260&amp;"|"&amp;G260,$O$3:$P$16,2,FALSE)</f>
        <v>3500</v>
      </c>
      <c r="I260" s="21">
        <f>VLOOKUP(F260&amp;"|"&amp;G260,$Q$3:$R$16,2,FALSE)</f>
        <v>21500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31">
        <v>8</v>
      </c>
      <c r="B261" s="21">
        <v>1000000</v>
      </c>
      <c r="C261" s="21">
        <f>VLOOKUP(A261&amp;"|"&amp;B261,$O$3:$P$18,2,FALSE)</f>
        <v>3750</v>
      </c>
      <c r="D261" s="21">
        <f>VLOOKUP(A261&amp;"|"&amp;B261,$Q$3:$R$18,2,FALSE)</f>
        <v>46250</v>
      </c>
      <c r="E261" s="2"/>
      <c r="F261" s="57">
        <v>3</v>
      </c>
      <c r="G261" s="21">
        <v>500000</v>
      </c>
      <c r="H261" s="21">
        <f>VLOOKUP(F261&amp;"|"&amp;G261,$O$3:$P$16,2,FALSE)</f>
        <v>3500</v>
      </c>
      <c r="I261" s="21">
        <f>VLOOKUP(F261&amp;"|"&amp;G261,$Q$3:$R$16,2,FALSE)</f>
        <v>21500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0"/>
      <c r="B262" s="21"/>
      <c r="C262" s="21"/>
      <c r="D262" s="21"/>
      <c r="E262" s="2"/>
      <c r="F262" s="20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0"/>
      <c r="B263" s="21"/>
      <c r="C263" s="21"/>
      <c r="D263" s="21"/>
      <c r="E263" s="2"/>
      <c r="F263" s="20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0"/>
      <c r="B264" s="21"/>
      <c r="C264" s="21"/>
      <c r="D264" s="21"/>
      <c r="E264" s="2"/>
      <c r="F264" s="20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0" t="s">
        <v>16</v>
      </c>
      <c r="B265" s="21"/>
      <c r="C265" s="21"/>
      <c r="D265" s="21">
        <f>SUM(D260:D264)</f>
        <v>71200</v>
      </c>
      <c r="E265" s="2"/>
      <c r="F265" s="36" t="s">
        <v>16</v>
      </c>
      <c r="G265" s="37"/>
      <c r="H265" s="38"/>
      <c r="I265" s="21">
        <f>SUM(I260:I264)</f>
        <v>43000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25" thickTop="1" thickBot="1">
      <c r="A266" s="31"/>
      <c r="B266" s="2"/>
      <c r="C266" s="2"/>
      <c r="D266" s="2"/>
      <c r="E266" s="2"/>
      <c r="F266" s="31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0" t="s">
        <v>0</v>
      </c>
      <c r="B267" s="21" t="s">
        <v>114</v>
      </c>
      <c r="C267" s="21" t="s">
        <v>24</v>
      </c>
      <c r="D267" s="9">
        <v>45998</v>
      </c>
      <c r="E267" s="2"/>
      <c r="F267" s="20" t="s">
        <v>0</v>
      </c>
      <c r="G267" s="21" t="s">
        <v>21</v>
      </c>
      <c r="H267" s="21" t="s">
        <v>43</v>
      </c>
      <c r="I267" s="9">
        <v>45998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0" t="s">
        <v>6</v>
      </c>
      <c r="B268" s="21" t="s">
        <v>7</v>
      </c>
      <c r="C268" s="21" t="s">
        <v>8</v>
      </c>
      <c r="D268" s="21" t="s">
        <v>9</v>
      </c>
      <c r="E268" s="2"/>
      <c r="F268" s="20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31">
        <v>8</v>
      </c>
      <c r="B269" s="21">
        <v>500000</v>
      </c>
      <c r="C269" s="21">
        <f>VLOOKUP(A269&amp;"|"&amp;B269,$O$3:$P$17,2,FALSE)</f>
        <v>2350</v>
      </c>
      <c r="D269" s="21">
        <f>VLOOKUP(A269&amp;"|"&amp;B269,$Q$3:$R$16,2,FALSE)</f>
        <v>22650</v>
      </c>
      <c r="E269" s="2"/>
      <c r="F269" s="57">
        <v>8</v>
      </c>
      <c r="G269" s="21">
        <v>500000</v>
      </c>
      <c r="H269" s="21">
        <f>VLOOKUP(F269&amp;"|"&amp;G269,$O$3:$P$16,2,FALSE)</f>
        <v>2350</v>
      </c>
      <c r="I269" s="21">
        <f>VLOOKUP(F269&amp;"|"&amp;G269,$Q$3:$R$16,2,FALSE)</f>
        <v>22650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0"/>
      <c r="B270" s="21"/>
      <c r="C270" s="21"/>
      <c r="D270" s="21"/>
      <c r="E270" s="2"/>
      <c r="F270" s="20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0"/>
      <c r="B271" s="21"/>
      <c r="C271" s="21"/>
      <c r="D271" s="21"/>
      <c r="E271" s="2"/>
      <c r="F271" s="20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0"/>
      <c r="B272" s="21"/>
      <c r="C272" s="21"/>
      <c r="D272" s="21"/>
      <c r="E272" s="2"/>
      <c r="F272" s="20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0"/>
      <c r="B273" s="21"/>
      <c r="C273" s="21"/>
      <c r="D273" s="21"/>
      <c r="E273" s="2"/>
      <c r="F273" s="20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0" t="s">
        <v>16</v>
      </c>
      <c r="B274" s="21"/>
      <c r="C274" s="21"/>
      <c r="D274" s="21">
        <f>SUM(D269:D273)</f>
        <v>22650</v>
      </c>
      <c r="E274" s="2"/>
      <c r="F274" s="36" t="s">
        <v>16</v>
      </c>
      <c r="G274" s="37"/>
      <c r="H274" s="38"/>
      <c r="I274" s="21">
        <f>SUM(I269:I273)</f>
        <v>22650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25" thickTop="1" thickBot="1">
      <c r="A275" s="31"/>
      <c r="B275" s="2"/>
      <c r="C275" s="2"/>
      <c r="D275" s="2"/>
      <c r="E275" s="2"/>
      <c r="F275" s="31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0" t="s">
        <v>0</v>
      </c>
      <c r="B276" s="21" t="s">
        <v>115</v>
      </c>
      <c r="C276" s="21" t="s">
        <v>28</v>
      </c>
      <c r="D276" s="9">
        <v>45998</v>
      </c>
      <c r="E276" s="2"/>
      <c r="F276" s="20" t="s">
        <v>0</v>
      </c>
      <c r="G276" s="21" t="s">
        <v>61</v>
      </c>
      <c r="H276" s="21" t="s">
        <v>28</v>
      </c>
      <c r="I276" s="9">
        <v>45998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0" t="s">
        <v>6</v>
      </c>
      <c r="B277" s="21" t="s">
        <v>7</v>
      </c>
      <c r="C277" s="21" t="s">
        <v>8</v>
      </c>
      <c r="D277" s="21" t="s">
        <v>9</v>
      </c>
      <c r="E277" s="2"/>
      <c r="F277" s="20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31">
        <v>8</v>
      </c>
      <c r="B278" s="21">
        <v>1000000</v>
      </c>
      <c r="C278" s="21">
        <f>VLOOKUP(A278&amp;"|"&amp;B278,$O$3:$P$16,2,FALSE)</f>
        <v>3750</v>
      </c>
      <c r="D278" s="21">
        <f>VLOOKUP(A278&amp;"|"&amp;B278,$Q$3:$R$16,2,FALSE)</f>
        <v>46250</v>
      </c>
      <c r="E278" s="2"/>
      <c r="F278" s="57">
        <v>8</v>
      </c>
      <c r="G278" s="21">
        <v>1000000</v>
      </c>
      <c r="H278" s="21">
        <f>VLOOKUP(F278&amp;"|"&amp;G278,$O$3:$P$18,2,FALSE)</f>
        <v>3750</v>
      </c>
      <c r="I278" s="21">
        <f>VLOOKUP(F278&amp;"|"&amp;G278,$Q$3:$R$18,2,FALSE)</f>
        <v>46250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31">
        <v>3</v>
      </c>
      <c r="B279" s="21">
        <v>1000000</v>
      </c>
      <c r="C279" s="21">
        <f>VLOOKUP(A279&amp;"|"&amp;B279,$O$3:$P$16,2,FALSE)</f>
        <v>7800</v>
      </c>
      <c r="D279" s="21">
        <f>VLOOKUP(A279&amp;"|"&amp;B279,$Q$3:$R$16,2,FALSE)</f>
        <v>42200</v>
      </c>
      <c r="E279" s="2"/>
      <c r="F279" s="57">
        <v>3</v>
      </c>
      <c r="G279" s="21">
        <v>500000</v>
      </c>
      <c r="H279" s="21">
        <f>VLOOKUP(F279&amp;"|"&amp;G279,$O$3:$P$16,2,FALSE)</f>
        <v>3500</v>
      </c>
      <c r="I279" s="21">
        <f>VLOOKUP(F279&amp;"|"&amp;G279,$Q$3:$R$16,2,FALSE)</f>
        <v>21500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0"/>
      <c r="B280" s="21"/>
      <c r="C280" s="21"/>
      <c r="D280" s="21"/>
      <c r="E280" s="2"/>
      <c r="F280" s="57">
        <v>16</v>
      </c>
      <c r="G280" s="21">
        <v>500000</v>
      </c>
      <c r="H280" s="21">
        <f>VLOOKUP(F280&amp;"|"&amp;G280,$O$3:$P$16,2,FALSE)</f>
        <v>650</v>
      </c>
      <c r="I280" s="21">
        <f>VLOOKUP(F280&amp;"|"&amp;G280,$Q$3:$R$16,2,FALSE)</f>
        <v>24350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0"/>
      <c r="B281" s="21"/>
      <c r="C281" s="21"/>
      <c r="D281" s="21"/>
      <c r="E281" s="2"/>
      <c r="F281" s="57">
        <v>16</v>
      </c>
      <c r="G281" s="21">
        <v>500000</v>
      </c>
      <c r="H281" s="21">
        <f>VLOOKUP(F281&amp;"|"&amp;G281,$O$3:$P$16,2,FALSE)</f>
        <v>650</v>
      </c>
      <c r="I281" s="21">
        <f>VLOOKUP(F281&amp;"|"&amp;G281,$Q$3:$R$16,2,FALSE)</f>
        <v>24350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0"/>
      <c r="B282" s="21"/>
      <c r="C282" s="21"/>
      <c r="D282" s="21"/>
      <c r="E282" s="2"/>
      <c r="F282" s="57">
        <v>8</v>
      </c>
      <c r="G282" s="21">
        <v>1000000</v>
      </c>
      <c r="H282" s="21">
        <f>VLOOKUP(F282&amp;"|"&amp;G282,$O$3:$P$16,2,FALSE)</f>
        <v>3750</v>
      </c>
      <c r="I282" s="21">
        <f>VLOOKUP(F282&amp;"|"&amp;G282,$Q$3:$R$16,2,FALSE)</f>
        <v>46250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0"/>
      <c r="B283" s="21"/>
      <c r="C283" s="21"/>
      <c r="D283" s="21"/>
      <c r="E283" s="2"/>
      <c r="F283" s="57">
        <v>13</v>
      </c>
      <c r="G283" s="21">
        <v>500000</v>
      </c>
      <c r="H283" s="21">
        <f>VLOOKUP(F283&amp;"|"&amp;G283,$O$3:$P$16,2,FALSE)</f>
        <v>1150</v>
      </c>
      <c r="I283" s="21">
        <f>VLOOKUP(F283&amp;"|"&amp;G283,$Q$3:$R$16,2,FALSE)</f>
        <v>23850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0" t="s">
        <v>16</v>
      </c>
      <c r="B284" s="21"/>
      <c r="C284" s="21"/>
      <c r="D284" s="21">
        <f>SUM(D278:D283)</f>
        <v>88450</v>
      </c>
      <c r="E284" s="2"/>
      <c r="F284" s="36" t="s">
        <v>16</v>
      </c>
      <c r="G284" s="37"/>
      <c r="H284" s="38"/>
      <c r="I284" s="21">
        <f>SUM(I278:I283)</f>
        <v>186550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43"/>
      <c r="B285" s="10"/>
      <c r="C285" s="10"/>
      <c r="D285" s="10"/>
      <c r="E285" s="2"/>
      <c r="F285" s="31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1" t="s">
        <v>0</v>
      </c>
      <c r="B286" s="12" t="s">
        <v>116</v>
      </c>
      <c r="C286" s="12" t="s">
        <v>34</v>
      </c>
      <c r="D286" s="9">
        <v>45998</v>
      </c>
      <c r="E286" s="2"/>
      <c r="F286" s="20" t="s">
        <v>0</v>
      </c>
      <c r="G286" s="21" t="s">
        <v>73</v>
      </c>
      <c r="H286" s="21" t="s">
        <v>76</v>
      </c>
      <c r="I286" s="9">
        <v>45998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0" t="s">
        <v>6</v>
      </c>
      <c r="B287" s="21" t="s">
        <v>7</v>
      </c>
      <c r="C287" s="21" t="s">
        <v>8</v>
      </c>
      <c r="D287" s="21" t="s">
        <v>9</v>
      </c>
      <c r="E287" s="2"/>
      <c r="F287" s="20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31">
        <v>8</v>
      </c>
      <c r="B288" s="21">
        <v>2000000</v>
      </c>
      <c r="C288" s="21">
        <f>VLOOKUP(A288&amp;"|"&amp;B288,$O$3:$P$17,2,FALSE)</f>
        <v>7500</v>
      </c>
      <c r="D288" s="21">
        <f>VLOOKUP(A288&amp;"|"&amp;B288,$Q$3:$R$17,2,FALSE)</f>
        <v>92500</v>
      </c>
      <c r="E288" s="2"/>
      <c r="F288" s="57">
        <v>8</v>
      </c>
      <c r="G288" s="21">
        <v>1000000</v>
      </c>
      <c r="H288" s="21">
        <f>VLOOKUP(F288&amp;"|"&amp;G288,$O$3:$P$16,2,FALSE)</f>
        <v>3750</v>
      </c>
      <c r="I288" s="21">
        <f>VLOOKUP(F288&amp;"|"&amp;G288,$Q$3:$R$16,2,FALSE)</f>
        <v>46250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31">
        <v>8</v>
      </c>
      <c r="B289" s="21">
        <v>500000</v>
      </c>
      <c r="C289" s="21">
        <f>VLOOKUP(A289&amp;"|"&amp;B289,$O$3:$P$17,2,FALSE)</f>
        <v>2350</v>
      </c>
      <c r="D289" s="21">
        <f>VLOOKUP(A289&amp;"|"&amp;B289,$Q$3:$R$17,2,FALSE)</f>
        <v>22650</v>
      </c>
      <c r="E289" s="2"/>
      <c r="F289" s="57">
        <v>13</v>
      </c>
      <c r="G289" s="21">
        <v>500000</v>
      </c>
      <c r="H289" s="21">
        <f>VLOOKUP(F289&amp;"|"&amp;G289,$O$3:$P$16,2,FALSE)</f>
        <v>1150</v>
      </c>
      <c r="I289" s="21">
        <f>VLOOKUP(F289&amp;"|"&amp;G289,$Q$3:$R$16,2,FALSE)</f>
        <v>23850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0"/>
      <c r="B290" s="21"/>
      <c r="C290" s="21"/>
      <c r="D290" s="21"/>
      <c r="E290" s="2"/>
      <c r="F290" s="57">
        <v>16</v>
      </c>
      <c r="G290" s="21">
        <v>500000</v>
      </c>
      <c r="H290" s="21">
        <f>VLOOKUP(F290&amp;"|"&amp;G290,$O$3:$P$16,2,FALSE)</f>
        <v>650</v>
      </c>
      <c r="I290" s="21">
        <f>VLOOKUP(F290&amp;"|"&amp;G290,$Q$3:$R$16,2,FALSE)</f>
        <v>24350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0"/>
      <c r="B291" s="21"/>
      <c r="C291" s="21"/>
      <c r="D291" s="21"/>
      <c r="E291" s="2"/>
      <c r="F291" s="57">
        <v>16</v>
      </c>
      <c r="G291" s="21">
        <v>500000</v>
      </c>
      <c r="H291" s="21">
        <f>VLOOKUP(F291&amp;"|"&amp;G291,$O$3:$P$16,2,FALSE)</f>
        <v>650</v>
      </c>
      <c r="I291" s="21">
        <f>VLOOKUP(F291&amp;"|"&amp;G291,$Q$3:$R$16,2,FALSE)</f>
        <v>24350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0"/>
      <c r="B292" s="21"/>
      <c r="C292" s="21"/>
      <c r="D292" s="21"/>
      <c r="E292" s="2"/>
      <c r="F292" s="20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62" t="s">
        <v>49</v>
      </c>
      <c r="B293" s="53"/>
      <c r="C293" s="54"/>
      <c r="D293" s="21">
        <f>SUM(D288:D292)</f>
        <v>115150</v>
      </c>
      <c r="E293" s="2"/>
      <c r="F293" s="36" t="s">
        <v>16</v>
      </c>
      <c r="G293" s="37"/>
      <c r="H293" s="38"/>
      <c r="I293" s="21">
        <f>SUM(I288:I292)</f>
        <v>118800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25" thickTop="1" thickBot="1">
      <c r="A294" s="31"/>
      <c r="B294" s="2"/>
      <c r="C294" s="2"/>
      <c r="D294" s="2"/>
      <c r="E294" s="2"/>
      <c r="F294" s="31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0" t="s">
        <v>0</v>
      </c>
      <c r="B295" s="21" t="s">
        <v>117</v>
      </c>
      <c r="C295" s="21" t="s">
        <v>24</v>
      </c>
      <c r="D295" s="9">
        <v>45998</v>
      </c>
      <c r="E295" s="2"/>
      <c r="F295" s="20" t="s">
        <v>0</v>
      </c>
      <c r="G295" s="21" t="s">
        <v>118</v>
      </c>
      <c r="H295" s="21" t="s">
        <v>119</v>
      </c>
      <c r="I295" s="9">
        <v>45998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0" t="s">
        <v>6</v>
      </c>
      <c r="B296" s="21" t="s">
        <v>7</v>
      </c>
      <c r="C296" s="21" t="s">
        <v>8</v>
      </c>
      <c r="D296" s="21" t="s">
        <v>9</v>
      </c>
      <c r="E296" s="2"/>
      <c r="F296" s="20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31">
        <v>8</v>
      </c>
      <c r="B297" s="21">
        <v>2000000</v>
      </c>
      <c r="C297" s="21">
        <f>VLOOKUP(A297&amp;"|"&amp;B297,$O$3:$P$16,2,FALSE)</f>
        <v>7500</v>
      </c>
      <c r="D297" s="21">
        <f>VLOOKUP(A297&amp;"|"&amp;B297,$Q$3:$R$16,2,FALSE)</f>
        <v>92500</v>
      </c>
      <c r="E297" s="2"/>
      <c r="F297" s="57">
        <v>8</v>
      </c>
      <c r="G297" s="21">
        <v>2000000</v>
      </c>
      <c r="H297" s="21">
        <f>VLOOKUP(F297&amp;"|"&amp;G297,$O$3:$P$16,2,FALSE)</f>
        <v>7500</v>
      </c>
      <c r="I297" s="21">
        <f>VLOOKUP(F297&amp;"|"&amp;G297,$Q$3:$R$16,2,FALSE)</f>
        <v>92500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31">
        <v>16</v>
      </c>
      <c r="B298" s="21">
        <v>500000</v>
      </c>
      <c r="C298" s="21">
        <f>VLOOKUP(A298&amp;"|"&amp;B298,$O$3:$P$16,2,FALSE)</f>
        <v>650</v>
      </c>
      <c r="D298" s="21">
        <f>VLOOKUP(A298&amp;"|"&amp;B298,$Q$3:$R$16,2,FALSE)</f>
        <v>24350</v>
      </c>
      <c r="E298" s="2"/>
      <c r="F298" s="57">
        <v>8</v>
      </c>
      <c r="G298" s="21">
        <v>1000000</v>
      </c>
      <c r="H298" s="21">
        <f>VLOOKUP(F298&amp;"|"&amp;G298,$O$3:$P$16,2,FALSE)</f>
        <v>3750</v>
      </c>
      <c r="I298" s="21">
        <f>VLOOKUP(F298&amp;"|"&amp;G298,$Q$3:$R$16,2,FALSE)</f>
        <v>46250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31">
        <v>19</v>
      </c>
      <c r="B299" s="21">
        <v>1000000</v>
      </c>
      <c r="C299" s="21">
        <f>VLOOKUP(A299&amp;"|"&amp;B299,$O$3:$P$17,2,FALSE)</f>
        <v>200</v>
      </c>
      <c r="D299" s="21">
        <f>VLOOKUP(A299&amp;"|"&amp;B299,$Q$3:$R$17,2,FALSE)</f>
        <v>49800</v>
      </c>
      <c r="E299" s="2"/>
      <c r="F299" s="20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0"/>
      <c r="B300" s="21"/>
      <c r="C300" s="21"/>
      <c r="D300" s="21"/>
      <c r="E300" s="2"/>
      <c r="F300" s="20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0"/>
      <c r="B301" s="21"/>
      <c r="C301" s="21"/>
      <c r="D301" s="21"/>
      <c r="E301" s="2"/>
      <c r="F301" s="20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0" t="s">
        <v>16</v>
      </c>
      <c r="B302" s="21"/>
      <c r="C302" s="21"/>
      <c r="D302" s="21">
        <f>SUM(D297:D301)</f>
        <v>166650</v>
      </c>
      <c r="E302" s="2"/>
      <c r="F302" s="36" t="s">
        <v>16</v>
      </c>
      <c r="G302" s="37"/>
      <c r="H302" s="38"/>
      <c r="I302" s="21">
        <f>SUM(I297:I301)</f>
        <v>138750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25" thickTop="1" thickBot="1">
      <c r="A303" s="31"/>
      <c r="B303" s="2"/>
      <c r="C303" s="2" t="s">
        <v>191</v>
      </c>
      <c r="D303" s="2"/>
      <c r="E303" s="2"/>
      <c r="F303" s="31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0" t="s">
        <v>0</v>
      </c>
      <c r="B304" s="21" t="s">
        <v>35</v>
      </c>
      <c r="C304" s="21" t="s">
        <v>120</v>
      </c>
      <c r="D304" s="9">
        <v>45998</v>
      </c>
      <c r="E304" s="2"/>
      <c r="F304" s="20" t="s">
        <v>0</v>
      </c>
      <c r="G304" s="21" t="s">
        <v>121</v>
      </c>
      <c r="H304" s="21" t="s">
        <v>28</v>
      </c>
      <c r="I304" s="9">
        <v>45998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0" t="s">
        <v>6</v>
      </c>
      <c r="B305" s="21" t="s">
        <v>7</v>
      </c>
      <c r="C305" s="21" t="s">
        <v>8</v>
      </c>
      <c r="D305" s="21" t="s">
        <v>9</v>
      </c>
      <c r="E305" s="2"/>
      <c r="F305" s="20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31">
        <v>8</v>
      </c>
      <c r="B306" s="21">
        <v>1000000</v>
      </c>
      <c r="C306" s="21">
        <f>VLOOKUP(A306&amp;"|"&amp;B306,$O$3:$P$17,2,FALSE)</f>
        <v>3750</v>
      </c>
      <c r="D306" s="21">
        <f>VLOOKUP(A306&amp;"|"&amp;B306,$Q$3:$R$17,2,FALSE)</f>
        <v>46250</v>
      </c>
      <c r="E306" s="2"/>
      <c r="F306" s="57">
        <v>8</v>
      </c>
      <c r="G306" s="21">
        <v>1000000</v>
      </c>
      <c r="H306" s="21">
        <f>VLOOKUP(F306&amp;"|"&amp;G306,$O$3:$P$18,2,FALSE)</f>
        <v>3750</v>
      </c>
      <c r="I306" s="21">
        <f>VLOOKUP(F306&amp;"|"&amp;G306,$Q$3:$R$17,2,FALSE)</f>
        <v>46250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31">
        <v>3</v>
      </c>
      <c r="B307" s="21">
        <v>1000000</v>
      </c>
      <c r="C307" s="21">
        <f>VLOOKUP(A307&amp;"|"&amp;B307,$O$3:$P$16,2,FALSE)</f>
        <v>7800</v>
      </c>
      <c r="D307" s="21">
        <f>VLOOKUP(A307&amp;"|"&amp;B307,$Q$3:$R$16,2,FALSE)</f>
        <v>42200</v>
      </c>
      <c r="E307" s="2"/>
      <c r="F307" s="20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0"/>
      <c r="B308" s="21"/>
      <c r="C308" s="21"/>
      <c r="D308" s="21"/>
      <c r="E308" s="2"/>
      <c r="F308" s="20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0"/>
      <c r="B309" s="21"/>
      <c r="C309" s="21"/>
      <c r="D309" s="21"/>
      <c r="E309" s="2"/>
      <c r="F309" s="20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0"/>
      <c r="B310" s="21"/>
      <c r="C310" s="21"/>
      <c r="D310" s="21"/>
      <c r="E310" s="2"/>
      <c r="F310" s="20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0" t="s">
        <v>16</v>
      </c>
      <c r="B311" s="21"/>
      <c r="C311" s="21"/>
      <c r="D311" s="21">
        <f>SUM(D306:D310)</f>
        <v>88450</v>
      </c>
      <c r="E311" s="2"/>
      <c r="F311" s="36" t="s">
        <v>16</v>
      </c>
      <c r="G311" s="37"/>
      <c r="H311" s="38"/>
      <c r="I311" s="21">
        <f>SUM(I306:I310)</f>
        <v>46250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25" thickTop="1" thickBot="1">
      <c r="A312" s="31"/>
      <c r="B312" s="2"/>
      <c r="C312" s="2"/>
      <c r="D312" s="2"/>
      <c r="E312" s="2"/>
      <c r="F312" s="31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0" t="s">
        <v>0</v>
      </c>
      <c r="B313" s="21" t="s">
        <v>122</v>
      </c>
      <c r="C313" s="21" t="s">
        <v>76</v>
      </c>
      <c r="D313" s="9">
        <v>45998</v>
      </c>
      <c r="E313" s="2"/>
      <c r="F313" s="20" t="s">
        <v>0</v>
      </c>
      <c r="G313" s="21" t="s">
        <v>61</v>
      </c>
      <c r="H313" s="21" t="s">
        <v>123</v>
      </c>
      <c r="I313" s="9">
        <v>45998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0" t="s">
        <v>6</v>
      </c>
      <c r="B314" s="21" t="s">
        <v>7</v>
      </c>
      <c r="C314" s="21" t="s">
        <v>8</v>
      </c>
      <c r="D314" s="21" t="s">
        <v>9</v>
      </c>
      <c r="E314" s="2"/>
      <c r="F314" s="20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31">
        <v>8</v>
      </c>
      <c r="B315" s="21">
        <v>500000</v>
      </c>
      <c r="C315" s="21">
        <f>VLOOKUP(A315&amp;"|"&amp;B315,$O$3:$P$16,2,FALSE)</f>
        <v>2350</v>
      </c>
      <c r="D315" s="21">
        <f>VLOOKUP(A315&amp;"|"&amp;B315,$Q$3:$R$16,2,FALSE)</f>
        <v>22650</v>
      </c>
      <c r="E315" s="2"/>
      <c r="F315" s="57">
        <v>19</v>
      </c>
      <c r="G315" s="21">
        <v>500000</v>
      </c>
      <c r="H315" s="21">
        <f>VLOOKUP(F315&amp;"|"&amp;G315,$O$3:$P$16,2,FALSE)</f>
        <v>50</v>
      </c>
      <c r="I315" s="21">
        <f>VLOOKUP(F315&amp;"|"&amp;G315,$Q$3:$R$16,2,FALSE)</f>
        <v>24950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31">
        <v>13</v>
      </c>
      <c r="B316" s="21">
        <v>500000</v>
      </c>
      <c r="C316" s="21">
        <f>VLOOKUP(A316&amp;"|"&amp;B316,$O$3:$P$16,2,FALSE)</f>
        <v>1150</v>
      </c>
      <c r="D316" s="21">
        <f>VLOOKUP(A316&amp;"|"&amp;B316,$Q$3:$R$16,2,FALSE)</f>
        <v>23850</v>
      </c>
      <c r="E316" s="2"/>
      <c r="F316" s="20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0"/>
      <c r="B317" s="21"/>
      <c r="C317" s="21"/>
      <c r="D317" s="21"/>
      <c r="E317" s="2"/>
      <c r="F317" s="20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0"/>
      <c r="B318" s="21"/>
      <c r="C318" s="21"/>
      <c r="D318" s="21"/>
      <c r="E318" s="2"/>
      <c r="F318" s="20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0"/>
      <c r="B319" s="21"/>
      <c r="C319" s="21"/>
      <c r="D319" s="21"/>
      <c r="E319" s="2"/>
      <c r="F319" s="20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0" t="s">
        <v>16</v>
      </c>
      <c r="B320" s="21"/>
      <c r="C320" s="21"/>
      <c r="D320" s="21">
        <f>SUM(D315:D319)</f>
        <v>46500</v>
      </c>
      <c r="E320" s="2"/>
      <c r="F320" s="36" t="s">
        <v>16</v>
      </c>
      <c r="G320" s="37"/>
      <c r="H320" s="38"/>
      <c r="I320" s="21">
        <f>SUM(I315:I319)</f>
        <v>24950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25" thickTop="1" thickBot="1">
      <c r="A321" s="31"/>
      <c r="B321" s="2"/>
      <c r="C321" s="2"/>
      <c r="D321" s="2"/>
      <c r="E321" s="2"/>
      <c r="F321" s="31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0" t="s">
        <v>0</v>
      </c>
      <c r="B322" s="21" t="s">
        <v>124</v>
      </c>
      <c r="C322" s="21" t="s">
        <v>125</v>
      </c>
      <c r="D322" s="9">
        <v>45998</v>
      </c>
      <c r="E322" s="2"/>
      <c r="F322" s="20" t="s">
        <v>0</v>
      </c>
      <c r="G322" s="21" t="s">
        <v>126</v>
      </c>
      <c r="H322" s="21" t="s">
        <v>22</v>
      </c>
      <c r="I322" s="9">
        <v>45998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0" t="s">
        <v>6</v>
      </c>
      <c r="B323" s="21" t="s">
        <v>7</v>
      </c>
      <c r="C323" s="21" t="s">
        <v>8</v>
      </c>
      <c r="D323" s="21" t="s">
        <v>9</v>
      </c>
      <c r="E323" s="2"/>
      <c r="F323" s="20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31">
        <v>3</v>
      </c>
      <c r="B324" s="21">
        <v>500000</v>
      </c>
      <c r="C324" s="21">
        <f>VLOOKUP(A324&amp;"|"&amp;B324,$O$3:$P$16,2,FALSE)</f>
        <v>3500</v>
      </c>
      <c r="D324" s="21">
        <f>VLOOKUP(A324&amp;"|"&amp;B324,$Q$3:$R$16,2,FALSE)</f>
        <v>21500</v>
      </c>
      <c r="E324" s="2"/>
      <c r="F324" s="57">
        <v>13</v>
      </c>
      <c r="G324" s="21">
        <v>500000</v>
      </c>
      <c r="H324" s="21">
        <f>VLOOKUP(F324&amp;"|"&amp;G324,$O$3:$P$16,2,FALSE)</f>
        <v>1150</v>
      </c>
      <c r="I324" s="21">
        <f>VLOOKUP(F324&amp;"|"&amp;G324,$Q$3:$R$16,2,FALSE)</f>
        <v>23850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0"/>
      <c r="B325" s="21"/>
      <c r="C325" s="21"/>
      <c r="D325" s="21"/>
      <c r="E325" s="2"/>
      <c r="F325" s="20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0"/>
      <c r="B326" s="21"/>
      <c r="C326" s="21"/>
      <c r="D326" s="21"/>
      <c r="E326" s="2"/>
      <c r="F326" s="20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0"/>
      <c r="B327" s="21"/>
      <c r="C327" s="21"/>
      <c r="D327" s="21"/>
      <c r="E327" s="10"/>
      <c r="F327" s="20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0"/>
      <c r="B328" s="21"/>
      <c r="C328" s="21"/>
      <c r="D328" s="21"/>
      <c r="E328" s="2"/>
      <c r="F328" s="20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0" t="s">
        <v>16</v>
      </c>
      <c r="B329" s="21"/>
      <c r="C329" s="21"/>
      <c r="D329" s="21">
        <f>SUM(D324:D328)</f>
        <v>21500</v>
      </c>
      <c r="E329" s="2"/>
      <c r="F329" s="36" t="s">
        <v>16</v>
      </c>
      <c r="G329" s="37"/>
      <c r="H329" s="38"/>
      <c r="I329" s="21">
        <f>SUM(I324:I328)</f>
        <v>23850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25" thickTop="1" thickBot="1">
      <c r="A330" s="31"/>
      <c r="B330" s="2"/>
      <c r="C330" s="2"/>
      <c r="D330" s="2"/>
      <c r="E330" s="2"/>
      <c r="F330" s="31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0" t="s">
        <v>0</v>
      </c>
      <c r="B331" s="21" t="s">
        <v>127</v>
      </c>
      <c r="C331" s="21" t="s">
        <v>24</v>
      </c>
      <c r="D331" s="9">
        <v>45998</v>
      </c>
      <c r="E331" s="2"/>
      <c r="F331" s="20" t="s">
        <v>0</v>
      </c>
      <c r="G331" s="21" t="s">
        <v>73</v>
      </c>
      <c r="H331" s="21" t="s">
        <v>18</v>
      </c>
      <c r="I331" s="9">
        <v>45998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0" t="s">
        <v>6</v>
      </c>
      <c r="B332" s="21" t="s">
        <v>7</v>
      </c>
      <c r="C332" s="21" t="s">
        <v>8</v>
      </c>
      <c r="D332" s="21" t="s">
        <v>9</v>
      </c>
      <c r="E332" s="2"/>
      <c r="F332" s="20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31">
        <v>13</v>
      </c>
      <c r="B333" s="21">
        <v>500000</v>
      </c>
      <c r="C333" s="21">
        <f>VLOOKUP(A333&amp;"|"&amp;B333,$O$3:$P$16,2,FALSE)</f>
        <v>1150</v>
      </c>
      <c r="D333" s="21">
        <f>VLOOKUP(A333&amp;"|"&amp;B333,$Q$3:$R$16,2,FALSE)</f>
        <v>23850</v>
      </c>
      <c r="E333" s="2"/>
      <c r="F333" s="57">
        <v>13</v>
      </c>
      <c r="G333" s="21">
        <v>500000</v>
      </c>
      <c r="H333" s="21">
        <f>VLOOKUP(F333&amp;"|"&amp;G333,$O$3:$P$16,2,FALSE)</f>
        <v>1150</v>
      </c>
      <c r="I333" s="21">
        <f>VLOOKUP(F333&amp;"|"&amp;G333,$Q$3:$R$16,2,FALSE)</f>
        <v>23850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31">
        <v>16</v>
      </c>
      <c r="B334" s="21">
        <v>500000</v>
      </c>
      <c r="C334" s="21">
        <f>VLOOKUP(A334&amp;"|"&amp;B334,$O$3:$P$16,2,FALSE)</f>
        <v>650</v>
      </c>
      <c r="D334" s="21">
        <f>VLOOKUP(A334&amp;"|"&amp;B334,$Q$3:$R$16,2,FALSE)</f>
        <v>24350</v>
      </c>
      <c r="E334" s="2"/>
      <c r="F334" s="20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0"/>
      <c r="B335" s="21"/>
      <c r="C335" s="21"/>
      <c r="D335" s="21"/>
      <c r="E335" s="2"/>
      <c r="F335" s="20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0"/>
      <c r="B336" s="21"/>
      <c r="C336" s="21"/>
      <c r="D336" s="21"/>
      <c r="E336" s="2"/>
      <c r="F336" s="20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0"/>
      <c r="B337" s="21"/>
      <c r="C337" s="21"/>
      <c r="D337" s="21"/>
      <c r="E337" s="2"/>
      <c r="F337" s="20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0" t="s">
        <v>16</v>
      </c>
      <c r="B338" s="21"/>
      <c r="C338" s="21"/>
      <c r="D338" s="21">
        <f>SUM(D333:D337)</f>
        <v>48200</v>
      </c>
      <c r="E338" s="10"/>
      <c r="F338" s="36" t="s">
        <v>16</v>
      </c>
      <c r="G338" s="37"/>
      <c r="H338" s="38"/>
      <c r="I338" s="21">
        <f>SUM(I333:I337)</f>
        <v>23850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25" thickTop="1" thickBot="1">
      <c r="A339" s="31"/>
      <c r="B339" s="2"/>
      <c r="C339" s="2"/>
      <c r="D339" s="2"/>
      <c r="E339" s="2"/>
      <c r="F339" s="31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0" t="s">
        <v>0</v>
      </c>
      <c r="B340" s="21" t="s">
        <v>128</v>
      </c>
      <c r="C340" s="21" t="s">
        <v>34</v>
      </c>
      <c r="D340" s="9">
        <v>45998</v>
      </c>
      <c r="E340" s="2"/>
      <c r="F340" s="20" t="s">
        <v>0</v>
      </c>
      <c r="G340" s="21" t="s">
        <v>129</v>
      </c>
      <c r="H340" s="21" t="s">
        <v>39</v>
      </c>
      <c r="I340" s="9">
        <v>45998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0" t="s">
        <v>6</v>
      </c>
      <c r="B341" s="21" t="s">
        <v>7</v>
      </c>
      <c r="C341" s="21" t="s">
        <v>8</v>
      </c>
      <c r="D341" s="21" t="s">
        <v>9</v>
      </c>
      <c r="E341" s="2"/>
      <c r="F341" s="20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31">
        <v>16</v>
      </c>
      <c r="B342" s="21">
        <v>500000</v>
      </c>
      <c r="C342" s="21">
        <f>VLOOKUP(A342&amp;"|"&amp;B342,$O$3:$P$16,2,FALSE)</f>
        <v>650</v>
      </c>
      <c r="D342" s="21">
        <f>VLOOKUP(A342&amp;"|"&amp;B342,$Q$3:$R$16,2,FALSE)</f>
        <v>24350</v>
      </c>
      <c r="E342" s="2"/>
      <c r="F342" s="57">
        <v>3</v>
      </c>
      <c r="G342" s="21">
        <v>500000</v>
      </c>
      <c r="H342" s="21">
        <f>VLOOKUP(F342&amp;"|"&amp;G342,$O$3:$P$16,2,FALSE)</f>
        <v>3500</v>
      </c>
      <c r="I342" s="21">
        <f>VLOOKUP(F342&amp;"|"&amp;G342,$Q$3:$R$16,2,FALSE)</f>
        <v>21500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0"/>
      <c r="B343" s="21"/>
      <c r="C343" s="21"/>
      <c r="D343" s="21"/>
      <c r="E343" s="2"/>
      <c r="F343" s="20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0"/>
      <c r="B344" s="21"/>
      <c r="C344" s="21"/>
      <c r="D344" s="21"/>
      <c r="E344" s="2"/>
      <c r="F344" s="20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0"/>
      <c r="B345" s="21"/>
      <c r="C345" s="21"/>
      <c r="D345" s="21"/>
      <c r="E345" s="2"/>
      <c r="F345" s="20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0"/>
      <c r="B346" s="21"/>
      <c r="C346" s="21"/>
      <c r="D346" s="21"/>
      <c r="E346" s="2"/>
      <c r="F346" s="20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0" t="s">
        <v>16</v>
      </c>
      <c r="B347" s="21"/>
      <c r="C347" s="21"/>
      <c r="D347" s="21">
        <f>SUM(D342:D346)</f>
        <v>24350</v>
      </c>
      <c r="E347" s="2"/>
      <c r="F347" s="36" t="s">
        <v>16</v>
      </c>
      <c r="G347" s="37"/>
      <c r="H347" s="38"/>
      <c r="I347" s="21">
        <f>SUM(I342:I346)</f>
        <v>21500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43"/>
      <c r="B348" s="10"/>
      <c r="C348" s="10"/>
      <c r="D348" s="10"/>
      <c r="E348" s="2"/>
      <c r="F348" s="31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0" t="s">
        <v>0</v>
      </c>
      <c r="B349" s="21" t="s">
        <v>130</v>
      </c>
      <c r="C349" s="21" t="s">
        <v>104</v>
      </c>
      <c r="D349" s="9">
        <v>45998</v>
      </c>
      <c r="E349" s="2"/>
      <c r="F349" s="20" t="s">
        <v>0</v>
      </c>
      <c r="G349" s="21" t="s">
        <v>131</v>
      </c>
      <c r="H349" s="21" t="s">
        <v>41</v>
      </c>
      <c r="I349" s="9">
        <v>45998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0" t="s">
        <v>6</v>
      </c>
      <c r="B350" s="21" t="s">
        <v>7</v>
      </c>
      <c r="C350" s="21" t="s">
        <v>8</v>
      </c>
      <c r="D350" s="21" t="s">
        <v>9</v>
      </c>
      <c r="E350" s="2"/>
      <c r="F350" s="20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31">
        <v>19</v>
      </c>
      <c r="B351" s="21">
        <v>500000</v>
      </c>
      <c r="C351" s="21">
        <f>VLOOKUP(A351&amp;"|"&amp;B351,$O$3:$P$16,2,FALSE)</f>
        <v>50</v>
      </c>
      <c r="D351" s="21">
        <f>VLOOKUP(A351&amp;"|"&amp;B351,$Q$3:$R$16,2,FALSE)</f>
        <v>24950</v>
      </c>
      <c r="E351" s="2"/>
      <c r="F351" s="57">
        <v>3</v>
      </c>
      <c r="G351" s="21">
        <v>500000</v>
      </c>
      <c r="H351" s="21">
        <f>VLOOKUP(F351&amp;"|"&amp;G351,$O$3:$P$16,2,FALSE)</f>
        <v>3500</v>
      </c>
      <c r="I351" s="21">
        <f>VLOOKUP(F351&amp;"|"&amp;G351,$Q$3:$R$16,2,FALSE)</f>
        <v>21500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0"/>
      <c r="B352" s="21"/>
      <c r="C352" s="21"/>
      <c r="D352" s="21"/>
      <c r="E352" s="2"/>
      <c r="F352" s="20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0"/>
      <c r="B353" s="21"/>
      <c r="C353" s="21"/>
      <c r="D353" s="21"/>
      <c r="E353" s="2"/>
      <c r="F353" s="20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0"/>
      <c r="B354" s="21"/>
      <c r="C354" s="21"/>
      <c r="D354" s="21"/>
      <c r="E354" s="2"/>
      <c r="F354" s="20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0"/>
      <c r="B355" s="21"/>
      <c r="C355" s="21"/>
      <c r="D355" s="21"/>
      <c r="E355" s="2"/>
      <c r="F355" s="20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0" t="s">
        <v>16</v>
      </c>
      <c r="B356" s="21"/>
      <c r="C356" s="21"/>
      <c r="D356" s="21">
        <f>SUM(D351:D355)</f>
        <v>24950</v>
      </c>
      <c r="E356" s="2"/>
      <c r="F356" s="36" t="s">
        <v>16</v>
      </c>
      <c r="G356" s="37"/>
      <c r="H356" s="38"/>
      <c r="I356" s="21">
        <f>SUM(I351:I355)</f>
        <v>21500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43"/>
      <c r="B357" s="10"/>
      <c r="C357" s="10"/>
      <c r="D357" s="10"/>
      <c r="E357" s="2"/>
      <c r="F357" s="31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0" t="s">
        <v>0</v>
      </c>
      <c r="B358" s="21" t="s">
        <v>132</v>
      </c>
      <c r="C358" s="21" t="s">
        <v>133</v>
      </c>
      <c r="D358" s="9">
        <v>45998</v>
      </c>
      <c r="E358" s="2"/>
      <c r="F358" s="20" t="s">
        <v>0</v>
      </c>
      <c r="G358" s="21" t="s">
        <v>63</v>
      </c>
      <c r="H358" s="21" t="s">
        <v>43</v>
      </c>
      <c r="I358" s="9">
        <v>45998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0" t="s">
        <v>6</v>
      </c>
      <c r="B359" s="21" t="s">
        <v>7</v>
      </c>
      <c r="C359" s="21" t="s">
        <v>8</v>
      </c>
      <c r="D359" s="21" t="s">
        <v>9</v>
      </c>
      <c r="E359" s="2"/>
      <c r="F359" s="20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31">
        <v>8</v>
      </c>
      <c r="B360" s="21">
        <v>500000</v>
      </c>
      <c r="C360" s="21">
        <f>VLOOKUP(A360&amp;"|"&amp;B360,$O$3:$P$16,2,FALSE)</f>
        <v>2350</v>
      </c>
      <c r="D360" s="21">
        <f>VLOOKUP(A360&amp;"|"&amp;B360,$Q$3:$R$16,2,FALSE)</f>
        <v>22650</v>
      </c>
      <c r="E360" s="2"/>
      <c r="F360" s="57">
        <v>16</v>
      </c>
      <c r="G360" s="21">
        <v>500000</v>
      </c>
      <c r="H360" s="21">
        <f>VLOOKUP(F360&amp;"|"&amp;G360,$O$3:$P$16,2,FALSE)</f>
        <v>650</v>
      </c>
      <c r="I360" s="21">
        <f>VLOOKUP(F360&amp;"|"&amp;G360,$Q$3:$R$16,2,FALSE)</f>
        <v>24350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31">
        <v>3.1</v>
      </c>
      <c r="B361" s="21">
        <v>1000000</v>
      </c>
      <c r="C361" s="21">
        <f>VLOOKUP(A361&amp;"|"&amp;B361,$O$3:$P$16,2,FALSE)</f>
        <v>7550</v>
      </c>
      <c r="D361" s="21">
        <f>VLOOKUP(A361&amp;"|"&amp;B361,$Q$3:$R$16,2,FALSE)</f>
        <v>42450</v>
      </c>
      <c r="E361" s="2"/>
      <c r="F361" s="20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0"/>
      <c r="B362" s="21"/>
      <c r="C362" s="21"/>
      <c r="D362" s="21"/>
      <c r="E362" s="2"/>
      <c r="F362" s="20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0"/>
      <c r="B363" s="21"/>
      <c r="C363" s="21"/>
      <c r="D363" s="21"/>
      <c r="E363" s="2"/>
      <c r="F363" s="20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0"/>
      <c r="B364" s="21"/>
      <c r="C364" s="21"/>
      <c r="D364" s="21"/>
      <c r="E364" s="2"/>
      <c r="F364" s="20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0" t="s">
        <v>16</v>
      </c>
      <c r="B365" s="21"/>
      <c r="C365" s="21"/>
      <c r="D365" s="21">
        <f>SUM(D360:D364)</f>
        <v>65100</v>
      </c>
      <c r="E365" s="2"/>
      <c r="F365" s="36" t="s">
        <v>16</v>
      </c>
      <c r="G365" s="37"/>
      <c r="H365" s="38"/>
      <c r="I365" s="21">
        <f>SUM(I360:I364)</f>
        <v>24350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25" thickTop="1" thickBot="1">
      <c r="A366" s="31"/>
      <c r="B366" s="2"/>
      <c r="C366" s="2"/>
      <c r="D366" s="2"/>
      <c r="E366" s="2"/>
      <c r="F366" s="31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0" t="s">
        <v>0</v>
      </c>
      <c r="B367" s="21" t="s">
        <v>187</v>
      </c>
      <c r="C367" s="21" t="s">
        <v>28</v>
      </c>
      <c r="D367" s="9">
        <v>45998</v>
      </c>
      <c r="E367" s="2"/>
      <c r="F367" s="20" t="s">
        <v>0</v>
      </c>
      <c r="G367" s="21" t="s">
        <v>126</v>
      </c>
      <c r="H367" s="21" t="s">
        <v>43</v>
      </c>
      <c r="I367" s="9">
        <v>45998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0" t="s">
        <v>6</v>
      </c>
      <c r="B368" s="21" t="s">
        <v>7</v>
      </c>
      <c r="C368" s="21" t="s">
        <v>8</v>
      </c>
      <c r="D368" s="21" t="s">
        <v>9</v>
      </c>
      <c r="E368" s="2"/>
      <c r="F368" s="20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31">
        <v>8</v>
      </c>
      <c r="B369" s="21">
        <v>1000000</v>
      </c>
      <c r="C369" s="21">
        <f>VLOOKUP(A369&amp;"|"&amp;B369,$O$3:$P$16,2,FALSE)</f>
        <v>3750</v>
      </c>
      <c r="D369" s="21">
        <f>VLOOKUP(A369&amp;"|"&amp;B369,$Q$3:$R$16,2,FALSE)</f>
        <v>46250</v>
      </c>
      <c r="E369" s="2"/>
      <c r="F369" s="57">
        <v>16</v>
      </c>
      <c r="G369" s="21">
        <v>500000</v>
      </c>
      <c r="H369" s="21">
        <f>VLOOKUP(F369&amp;"|"&amp;G369,$O$3:$P$16,2,FALSE)</f>
        <v>650</v>
      </c>
      <c r="I369" s="21">
        <f>VLOOKUP(F369&amp;"|"&amp;G369,$Q$3:$R$16,2,FALSE)</f>
        <v>24350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31">
        <v>3</v>
      </c>
      <c r="B370" s="21">
        <v>500000</v>
      </c>
      <c r="C370" s="21">
        <f>VLOOKUP(A370&amp;"|"&amp;B370,$O$3:$P$16,2,FALSE)</f>
        <v>3500</v>
      </c>
      <c r="D370" s="21">
        <f>VLOOKUP(A370&amp;"|"&amp;B370,$Q$3:$R$16,2,FALSE)</f>
        <v>21500</v>
      </c>
      <c r="E370" s="4"/>
      <c r="F370" s="20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0"/>
      <c r="B371" s="21"/>
      <c r="C371" s="21"/>
      <c r="D371" s="21"/>
      <c r="E371" s="4"/>
      <c r="F371" s="20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0"/>
      <c r="B372" s="21"/>
      <c r="C372" s="21"/>
      <c r="D372" s="21"/>
      <c r="E372" s="4"/>
      <c r="F372" s="20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0"/>
      <c r="B373" s="21"/>
      <c r="C373" s="21"/>
      <c r="D373" s="21"/>
      <c r="E373" s="4"/>
      <c r="F373" s="20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0" t="s">
        <v>16</v>
      </c>
      <c r="B374" s="21"/>
      <c r="C374" s="21"/>
      <c r="D374" s="21">
        <f>SUM(D369:D373)</f>
        <v>67750</v>
      </c>
      <c r="E374" s="4"/>
      <c r="F374" s="36" t="s">
        <v>16</v>
      </c>
      <c r="G374" s="37"/>
      <c r="H374" s="38"/>
      <c r="I374" s="21">
        <f>SUM(I369:I373)</f>
        <v>24350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25" thickTop="1" thickBot="1">
      <c r="A375" s="31"/>
      <c r="B375" s="2"/>
      <c r="C375" s="2"/>
      <c r="D375" s="2"/>
      <c r="E375" s="4"/>
      <c r="F375" s="31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0" t="s">
        <v>0</v>
      </c>
      <c r="B376" s="21" t="s">
        <v>35</v>
      </c>
      <c r="C376" s="21" t="s">
        <v>62</v>
      </c>
      <c r="D376" s="9">
        <v>45998</v>
      </c>
      <c r="E376" s="4"/>
      <c r="F376" s="20" t="s">
        <v>0</v>
      </c>
      <c r="G376" s="21" t="s">
        <v>109</v>
      </c>
      <c r="H376" s="21" t="s">
        <v>134</v>
      </c>
      <c r="I376" s="9">
        <v>45998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0" t="s">
        <v>6</v>
      </c>
      <c r="B377" s="21" t="s">
        <v>7</v>
      </c>
      <c r="C377" s="21" t="s">
        <v>8</v>
      </c>
      <c r="D377" s="21" t="s">
        <v>9</v>
      </c>
      <c r="E377" s="4"/>
      <c r="F377" s="20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31">
        <v>8</v>
      </c>
      <c r="B378" s="21">
        <v>500000</v>
      </c>
      <c r="C378" s="21">
        <f>VLOOKUP(A378&amp;"|"&amp;B378,$O$3:$P$17,2,FALSE)</f>
        <v>2350</v>
      </c>
      <c r="D378" s="21">
        <f>VLOOKUP(A378&amp;"|"&amp;B378,$Q$3:$R$17,2,FALSE)</f>
        <v>22650</v>
      </c>
      <c r="E378" s="4"/>
      <c r="F378" s="57">
        <v>8</v>
      </c>
      <c r="G378" s="21">
        <v>500000</v>
      </c>
      <c r="H378" s="21">
        <f>VLOOKUP(F378&amp;"|"&amp;G378,$O$3:$P$17,2,FALSE)</f>
        <v>2350</v>
      </c>
      <c r="I378" s="21">
        <f>VLOOKUP(F378&amp;"|"&amp;G378,$Q$3:$R$17,2,FALSE)</f>
        <v>22650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0"/>
      <c r="B379" s="21"/>
      <c r="C379" s="21"/>
      <c r="D379" s="21"/>
      <c r="E379" s="4"/>
      <c r="F379" s="20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0"/>
      <c r="B380" s="21"/>
      <c r="C380" s="21"/>
      <c r="D380" s="21"/>
      <c r="E380" s="4"/>
      <c r="F380" s="20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0"/>
      <c r="B381" s="21"/>
      <c r="C381" s="21"/>
      <c r="D381" s="21"/>
      <c r="E381" s="4"/>
      <c r="F381" s="20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0"/>
      <c r="B382" s="21"/>
      <c r="C382" s="21"/>
      <c r="D382" s="21"/>
      <c r="E382" s="4"/>
      <c r="F382" s="20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0" t="s">
        <v>16</v>
      </c>
      <c r="B383" s="21"/>
      <c r="C383" s="21"/>
      <c r="D383" s="21">
        <f>SUM(D378:D382)</f>
        <v>22650</v>
      </c>
      <c r="E383" s="4"/>
      <c r="F383" s="36" t="s">
        <v>16</v>
      </c>
      <c r="G383" s="37"/>
      <c r="H383" s="38"/>
      <c r="I383" s="21">
        <f>SUM(I378:I382)</f>
        <v>22650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25" thickTop="1" thickBot="1">
      <c r="A384" s="31"/>
      <c r="B384" s="2"/>
      <c r="C384" s="2"/>
      <c r="D384" s="2"/>
      <c r="E384" s="4"/>
      <c r="F384" s="31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0" t="s">
        <v>0</v>
      </c>
      <c r="B385" s="21" t="s">
        <v>128</v>
      </c>
      <c r="C385" s="21" t="s">
        <v>134</v>
      </c>
      <c r="D385" s="9">
        <v>45998</v>
      </c>
      <c r="E385" s="4"/>
      <c r="F385" s="20" t="s">
        <v>0</v>
      </c>
      <c r="G385" s="21" t="s">
        <v>135</v>
      </c>
      <c r="H385" s="21" t="s">
        <v>136</v>
      </c>
      <c r="I385" s="9">
        <v>45998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0" t="s">
        <v>6</v>
      </c>
      <c r="B386" s="21" t="s">
        <v>7</v>
      </c>
      <c r="C386" s="21" t="s">
        <v>8</v>
      </c>
      <c r="D386" s="21" t="s">
        <v>9</v>
      </c>
      <c r="E386" s="4"/>
      <c r="F386" s="20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31">
        <v>19</v>
      </c>
      <c r="B387" s="21">
        <v>1000000</v>
      </c>
      <c r="C387" s="21">
        <f>VLOOKUP(A387&amp;"|"&amp;B387,$O$3:$P$16,2,FALSE)</f>
        <v>200</v>
      </c>
      <c r="D387" s="21">
        <f>VLOOKUP(A387&amp;"|"&amp;B387,$Q$3:$R$16,2,FALSE)</f>
        <v>49800</v>
      </c>
      <c r="E387" s="4"/>
      <c r="F387" s="57">
        <v>13</v>
      </c>
      <c r="G387" s="21">
        <v>500000</v>
      </c>
      <c r="H387" s="21">
        <f>VLOOKUP(F387&amp;"|"&amp;G387,$O$3:$P$16,2,FALSE)</f>
        <v>1150</v>
      </c>
      <c r="I387" s="21">
        <f>VLOOKUP(F387&amp;"|"&amp;G387,$Q$3:$R$16,2,FALSE)</f>
        <v>23850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31">
        <v>19.100000000000001</v>
      </c>
      <c r="B388" s="21">
        <v>1000000</v>
      </c>
      <c r="C388" s="21">
        <f>VLOOKUP(A388&amp;"|"&amp;B388,$O$3:$P$16,2,FALSE)</f>
        <v>100</v>
      </c>
      <c r="D388" s="21">
        <f>VLOOKUP(A388&amp;"|"&amp;B388,$Q$3:$R$16,2,FALSE)</f>
        <v>49900</v>
      </c>
      <c r="E388" s="4"/>
      <c r="F388" s="20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0"/>
      <c r="B389" s="21"/>
      <c r="C389" s="21"/>
      <c r="D389" s="21"/>
      <c r="E389" s="4"/>
      <c r="F389" s="20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0"/>
      <c r="B390" s="21"/>
      <c r="C390" s="21"/>
      <c r="D390" s="21"/>
      <c r="E390" s="4"/>
      <c r="F390" s="20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0"/>
      <c r="B391" s="21"/>
      <c r="C391" s="21"/>
      <c r="D391" s="21"/>
      <c r="E391" s="4"/>
      <c r="F391" s="20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62" t="s">
        <v>49</v>
      </c>
      <c r="B392" s="53"/>
      <c r="C392" s="54"/>
      <c r="D392" s="21">
        <f>SUM(D387:D391)</f>
        <v>99700</v>
      </c>
      <c r="E392" s="4"/>
      <c r="F392" s="36" t="s">
        <v>16</v>
      </c>
      <c r="G392" s="37"/>
      <c r="H392" s="38"/>
      <c r="I392" s="21">
        <f>SUM(I387:I391)</f>
        <v>23850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31"/>
      <c r="B393" s="2"/>
      <c r="C393" s="2"/>
      <c r="D393" s="10"/>
      <c r="E393" s="4"/>
      <c r="F393" s="31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0" t="s">
        <v>0</v>
      </c>
      <c r="B394" s="21" t="s">
        <v>137</v>
      </c>
      <c r="C394" s="21" t="s">
        <v>138</v>
      </c>
      <c r="D394" s="9">
        <v>45998</v>
      </c>
      <c r="E394" s="4"/>
      <c r="F394" s="20" t="s">
        <v>0</v>
      </c>
      <c r="G394" s="21" t="s">
        <v>139</v>
      </c>
      <c r="H394" s="21" t="s">
        <v>140</v>
      </c>
      <c r="I394" s="9">
        <v>45998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0" t="s">
        <v>6</v>
      </c>
      <c r="B395" s="21" t="s">
        <v>7</v>
      </c>
      <c r="C395" s="21" t="s">
        <v>8</v>
      </c>
      <c r="D395" s="21" t="s">
        <v>9</v>
      </c>
      <c r="E395" s="4"/>
      <c r="F395" s="20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31">
        <v>19</v>
      </c>
      <c r="B396" s="21">
        <v>1000000</v>
      </c>
      <c r="C396" s="21">
        <f>VLOOKUP(A396&amp;"|"&amp;B396,$O$3:$P$16,2,FALSE)</f>
        <v>200</v>
      </c>
      <c r="D396" s="21">
        <f>VLOOKUP(A396&amp;"|"&amp;B396,$Q$3:$R$16,2,FALSE)</f>
        <v>49800</v>
      </c>
      <c r="E396" s="4"/>
      <c r="F396" s="57">
        <v>8</v>
      </c>
      <c r="G396" s="21">
        <v>1000000</v>
      </c>
      <c r="H396" s="21">
        <f>VLOOKUP(F396&amp;"|"&amp;G396,$O$3:$P$16,2,FALSE)</f>
        <v>3750</v>
      </c>
      <c r="I396" s="21">
        <f>VLOOKUP(F396&amp;"|"&amp;G396,$Q$3:$R$16,2,FALSE)</f>
        <v>46250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0"/>
      <c r="B397" s="21"/>
      <c r="C397" s="21"/>
      <c r="D397" s="21"/>
      <c r="E397" s="4"/>
      <c r="F397" s="20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0"/>
      <c r="B398" s="21"/>
      <c r="C398" s="21"/>
      <c r="D398" s="21"/>
      <c r="E398" s="4"/>
      <c r="F398" s="20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0"/>
      <c r="B399" s="21"/>
      <c r="C399" s="21"/>
      <c r="D399" s="21"/>
      <c r="E399" s="4"/>
      <c r="F399" s="20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0"/>
      <c r="B400" s="21"/>
      <c r="C400" s="21"/>
      <c r="D400" s="21"/>
      <c r="E400" s="4"/>
      <c r="F400" s="20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62" t="s">
        <v>49</v>
      </c>
      <c r="B401" s="53"/>
      <c r="C401" s="54"/>
      <c r="D401" s="21">
        <f>SUM(D396:D400)</f>
        <v>49800</v>
      </c>
      <c r="E401" s="4"/>
      <c r="F401" s="36" t="s">
        <v>16</v>
      </c>
      <c r="G401" s="37"/>
      <c r="H401" s="38"/>
      <c r="I401" s="21">
        <f>SUM(I396:I400)</f>
        <v>46250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31"/>
      <c r="B402" s="2"/>
      <c r="C402" s="2"/>
      <c r="D402" s="2"/>
      <c r="E402" s="4"/>
      <c r="F402" s="43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1" t="s">
        <v>0</v>
      </c>
      <c r="B403" s="12" t="s">
        <v>141</v>
      </c>
      <c r="C403" s="12" t="s">
        <v>142</v>
      </c>
      <c r="D403" s="9">
        <v>45998</v>
      </c>
      <c r="E403" s="4"/>
      <c r="F403" s="20" t="s">
        <v>0</v>
      </c>
      <c r="G403" s="21" t="s">
        <v>143</v>
      </c>
      <c r="H403" s="21" t="s">
        <v>144</v>
      </c>
      <c r="I403" s="9">
        <v>45998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0" t="s">
        <v>6</v>
      </c>
      <c r="B404" s="21" t="s">
        <v>7</v>
      </c>
      <c r="C404" s="21" t="s">
        <v>8</v>
      </c>
      <c r="D404" s="21" t="s">
        <v>9</v>
      </c>
      <c r="E404" s="4"/>
      <c r="F404" s="20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31">
        <v>19.100000000000001</v>
      </c>
      <c r="B405" s="21">
        <v>1000000</v>
      </c>
      <c r="C405" s="21">
        <f>VLOOKUP(A405&amp;"|"&amp;B405,$O$3:$P$16,2,FALSE)</f>
        <v>100</v>
      </c>
      <c r="D405" s="21">
        <f>VLOOKUP(A405&amp;"|"&amp;B405,$Q$3:$R$16,2,FALSE)</f>
        <v>49900</v>
      </c>
      <c r="E405" s="4"/>
      <c r="F405" s="57">
        <v>19</v>
      </c>
      <c r="G405" s="21">
        <v>500000</v>
      </c>
      <c r="H405" s="21">
        <f>VLOOKUP(F405&amp;"|"&amp;G405,$O$3:$P$16,2,FALSE)</f>
        <v>50</v>
      </c>
      <c r="I405" s="21">
        <f>VLOOKUP(F405&amp;"|"&amp;G405,$Q$3:$R$16,2,FALSE)</f>
        <v>24950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0"/>
      <c r="B406" s="21"/>
      <c r="C406" s="21"/>
      <c r="D406" s="21"/>
      <c r="E406" s="4"/>
      <c r="F406" s="57">
        <v>3</v>
      </c>
      <c r="G406" s="21">
        <v>500000</v>
      </c>
      <c r="H406" s="21">
        <f>VLOOKUP(F406&amp;"|"&amp;G406,$O$3:$P$16,2,FALSE)</f>
        <v>3500</v>
      </c>
      <c r="I406" s="21">
        <f>VLOOKUP(F406&amp;"|"&amp;G406,$Q$3:$R$16,2,FALSE)</f>
        <v>21500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0"/>
      <c r="B407" s="21"/>
      <c r="C407" s="21"/>
      <c r="D407" s="21"/>
      <c r="E407" s="4"/>
      <c r="F407" s="20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0"/>
      <c r="B408" s="21"/>
      <c r="C408" s="21"/>
      <c r="D408" s="21"/>
      <c r="E408" s="4"/>
      <c r="F408" s="20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0"/>
      <c r="B409" s="21"/>
      <c r="C409" s="21"/>
      <c r="D409" s="21"/>
      <c r="E409" s="4"/>
      <c r="F409" s="20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62" t="s">
        <v>49</v>
      </c>
      <c r="B410" s="53"/>
      <c r="C410" s="54"/>
      <c r="D410" s="21">
        <f>SUM(D405:D409)</f>
        <v>49900</v>
      </c>
      <c r="E410" s="4"/>
      <c r="F410" s="36" t="s">
        <v>16</v>
      </c>
      <c r="G410" s="37"/>
      <c r="H410" s="38"/>
      <c r="I410" s="21">
        <f>SUM(I405:I409)</f>
        <v>46450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25" thickTop="1" thickBot="1">
      <c r="A411" s="31"/>
      <c r="B411" s="2"/>
      <c r="C411" s="2"/>
      <c r="D411" s="2"/>
      <c r="E411" s="4"/>
      <c r="F411" s="31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1" t="s">
        <v>0</v>
      </c>
      <c r="B412" s="12" t="s">
        <v>145</v>
      </c>
      <c r="C412" s="12" t="s">
        <v>43</v>
      </c>
      <c r="D412" s="9">
        <v>45998</v>
      </c>
      <c r="E412" s="4"/>
      <c r="F412" s="20" t="s">
        <v>0</v>
      </c>
      <c r="G412" s="21" t="s">
        <v>146</v>
      </c>
      <c r="H412" s="21" t="s">
        <v>147</v>
      </c>
      <c r="I412" s="9">
        <v>45998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0" t="s">
        <v>6</v>
      </c>
      <c r="B413" s="21" t="s">
        <v>7</v>
      </c>
      <c r="C413" s="21" t="s">
        <v>8</v>
      </c>
      <c r="D413" s="21" t="s">
        <v>9</v>
      </c>
      <c r="E413" s="4"/>
      <c r="F413" s="20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0">
        <v>8</v>
      </c>
      <c r="B414" s="21">
        <v>500000</v>
      </c>
      <c r="C414" s="21">
        <f>VLOOKUP(A414&amp;"|"&amp;B414,$O$3:$P$17,2,FALSE)</f>
        <v>2350</v>
      </c>
      <c r="D414" s="21">
        <f>VLOOKUP(A414&amp;"|"&amp;B414,$Q$3:$R$17,2,FALSE)</f>
        <v>22650</v>
      </c>
      <c r="E414" s="4"/>
      <c r="F414" s="57">
        <v>3</v>
      </c>
      <c r="G414" s="21">
        <v>1000000</v>
      </c>
      <c r="H414" s="21">
        <f>VLOOKUP(F414&amp;"|"&amp;G414,$O$3:$P$16,2,FALSE)</f>
        <v>7800</v>
      </c>
      <c r="I414" s="21">
        <f>VLOOKUP(F414&amp;"|"&amp;G414,$Q$3:$R$16,2,FALSE)</f>
        <v>42200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0"/>
      <c r="B415" s="21"/>
      <c r="C415" s="21"/>
      <c r="D415" s="21"/>
      <c r="E415" s="4"/>
      <c r="F415" s="20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0"/>
      <c r="B416" s="21"/>
      <c r="C416" s="21"/>
      <c r="D416" s="21"/>
      <c r="E416" s="4"/>
      <c r="F416" s="20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0"/>
      <c r="B417" s="21"/>
      <c r="C417" s="21"/>
      <c r="D417" s="21"/>
      <c r="E417" s="4"/>
      <c r="F417" s="20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0"/>
      <c r="B418" s="21"/>
      <c r="C418" s="21"/>
      <c r="D418" s="21"/>
      <c r="E418" s="4"/>
      <c r="F418" s="20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62" t="s">
        <v>49</v>
      </c>
      <c r="B419" s="53"/>
      <c r="C419" s="54"/>
      <c r="D419" s="21">
        <f>SUM(D414:D418)</f>
        <v>22650</v>
      </c>
      <c r="E419" s="4"/>
      <c r="F419" s="36" t="s">
        <v>16</v>
      </c>
      <c r="G419" s="37"/>
      <c r="H419" s="38"/>
      <c r="I419" s="21">
        <f>SUM(I414:I418)</f>
        <v>42200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25" thickTop="1" thickBot="1">
      <c r="A420" s="31"/>
      <c r="B420" s="2"/>
      <c r="C420" s="2"/>
      <c r="D420" s="2"/>
      <c r="E420" s="4"/>
      <c r="F420" s="31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1" t="s">
        <v>0</v>
      </c>
      <c r="B421" s="12" t="s">
        <v>148</v>
      </c>
      <c r="C421" s="12" t="s">
        <v>62</v>
      </c>
      <c r="D421" s="9">
        <v>45998</v>
      </c>
      <c r="E421" s="4"/>
      <c r="F421" s="11" t="s">
        <v>0</v>
      </c>
      <c r="G421" s="12" t="s">
        <v>33</v>
      </c>
      <c r="H421" s="12" t="s">
        <v>76</v>
      </c>
      <c r="I421" s="9">
        <v>45998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0" t="s">
        <v>6</v>
      </c>
      <c r="B422" s="21" t="s">
        <v>7</v>
      </c>
      <c r="C422" s="21" t="s">
        <v>8</v>
      </c>
      <c r="D422" s="21" t="s">
        <v>9</v>
      </c>
      <c r="E422" s="4"/>
      <c r="F422" s="20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31">
        <v>8</v>
      </c>
      <c r="B423" s="21">
        <v>1000000</v>
      </c>
      <c r="C423" s="21">
        <f>VLOOKUP(A423&amp;"|"&amp;B423,$O$3:$P$17,2,FALSE)</f>
        <v>3750</v>
      </c>
      <c r="D423" s="21">
        <f>VLOOKUP(A423&amp;"|"&amp;B423,$Q$3:$R$17,2,FALSE)</f>
        <v>46250</v>
      </c>
      <c r="E423" s="4"/>
      <c r="F423" s="57">
        <v>8</v>
      </c>
      <c r="G423" s="21">
        <v>2000000</v>
      </c>
      <c r="H423" s="21">
        <f>VLOOKUP(F423&amp;"|"&amp;G423,$O$3:$P$16,2,FALSE)</f>
        <v>7500</v>
      </c>
      <c r="I423" s="21">
        <f>VLOOKUP(F423&amp;"|"&amp;G423,$Q$3:$R$16,2,FALSE)</f>
        <v>92500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0"/>
      <c r="B424" s="21"/>
      <c r="C424" s="21"/>
      <c r="D424" s="21"/>
      <c r="E424" s="4"/>
      <c r="F424" s="20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0"/>
      <c r="B425" s="21"/>
      <c r="C425" s="21"/>
      <c r="D425" s="21"/>
      <c r="E425" s="4"/>
      <c r="F425" s="20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0"/>
      <c r="B426" s="21"/>
      <c r="C426" s="21"/>
      <c r="D426" s="21"/>
      <c r="E426" s="4"/>
      <c r="F426" s="20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0"/>
      <c r="B427" s="21"/>
      <c r="C427" s="21"/>
      <c r="D427" s="21"/>
      <c r="E427" s="4"/>
      <c r="F427" s="20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62" t="s">
        <v>49</v>
      </c>
      <c r="B428" s="53"/>
      <c r="C428" s="54"/>
      <c r="D428" s="21">
        <f>SUM(D423:D427)</f>
        <v>46250</v>
      </c>
      <c r="E428" s="4"/>
      <c r="F428" s="59" t="s">
        <v>49</v>
      </c>
      <c r="G428" s="53"/>
      <c r="H428" s="54"/>
      <c r="I428" s="21">
        <f>SUM(I423:I427)</f>
        <v>92500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25" thickTop="1" thickBot="1">
      <c r="A429" s="31"/>
      <c r="B429" s="2"/>
      <c r="C429" s="2"/>
      <c r="D429" s="2"/>
      <c r="E429" s="4"/>
      <c r="F429" s="31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1" t="s">
        <v>0</v>
      </c>
      <c r="B430" s="12" t="s">
        <v>149</v>
      </c>
      <c r="C430" s="12" t="s">
        <v>24</v>
      </c>
      <c r="D430" s="9">
        <v>45998</v>
      </c>
      <c r="E430" s="4"/>
      <c r="F430" s="11" t="s">
        <v>0</v>
      </c>
      <c r="G430" s="12" t="s">
        <v>57</v>
      </c>
      <c r="H430" s="12" t="s">
        <v>150</v>
      </c>
      <c r="I430" s="9">
        <v>45998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0" t="s">
        <v>6</v>
      </c>
      <c r="B431" s="21" t="s">
        <v>7</v>
      </c>
      <c r="C431" s="21" t="s">
        <v>8</v>
      </c>
      <c r="D431" s="21" t="s">
        <v>9</v>
      </c>
      <c r="E431" s="4"/>
      <c r="F431" s="20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31">
        <v>8</v>
      </c>
      <c r="B432" s="21">
        <v>1000000</v>
      </c>
      <c r="C432" s="21">
        <f>VLOOKUP(A432&amp;"|"&amp;B432,$O$3:$P$16,2,FALSE)</f>
        <v>3750</v>
      </c>
      <c r="D432" s="21">
        <f>VLOOKUP(A432&amp;"|"&amp;B432,$Q$3:$R$16,2,FALSE)</f>
        <v>46250</v>
      </c>
      <c r="E432" s="4"/>
      <c r="F432" s="57">
        <v>8</v>
      </c>
      <c r="G432" s="21">
        <v>1000000</v>
      </c>
      <c r="H432" s="21">
        <f>VLOOKUP(F432&amp;"|"&amp;G432,$O$3:$P$16,2,FALSE)</f>
        <v>3750</v>
      </c>
      <c r="I432" s="21">
        <f>VLOOKUP(F432&amp;"|"&amp;G432,$Q$3:$R$16,2,FALSE)</f>
        <v>46250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0"/>
      <c r="B433" s="21"/>
      <c r="C433" s="21"/>
      <c r="D433" s="21"/>
      <c r="E433" s="4"/>
      <c r="F433" s="20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0"/>
      <c r="B434" s="21"/>
      <c r="C434" s="21"/>
      <c r="D434" s="21"/>
      <c r="E434" s="4"/>
      <c r="F434" s="20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0"/>
      <c r="B435" s="21"/>
      <c r="C435" s="21"/>
      <c r="D435" s="21"/>
      <c r="E435" s="4"/>
      <c r="F435" s="20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0"/>
      <c r="B436" s="21"/>
      <c r="C436" s="21"/>
      <c r="D436" s="21"/>
      <c r="E436" s="4"/>
      <c r="F436" s="20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62" t="s">
        <v>49</v>
      </c>
      <c r="B437" s="53"/>
      <c r="C437" s="54"/>
      <c r="D437" s="21">
        <f>SUM(D432:D436)</f>
        <v>46250</v>
      </c>
      <c r="E437" s="4"/>
      <c r="F437" s="59" t="s">
        <v>49</v>
      </c>
      <c r="G437" s="53"/>
      <c r="H437" s="54"/>
      <c r="I437" s="21">
        <f>SUM(I432:I436)</f>
        <v>46250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31"/>
      <c r="B438" s="6"/>
      <c r="C438" s="2"/>
      <c r="D438" s="10"/>
      <c r="E438" s="4"/>
      <c r="F438" s="31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1" t="s">
        <v>0</v>
      </c>
      <c r="B439" s="12" t="s">
        <v>151</v>
      </c>
      <c r="C439" s="12" t="s">
        <v>43</v>
      </c>
      <c r="D439" s="9">
        <v>45998</v>
      </c>
      <c r="E439" s="4"/>
      <c r="F439" s="11" t="s">
        <v>0</v>
      </c>
      <c r="G439" s="12" t="s">
        <v>152</v>
      </c>
      <c r="H439" s="12" t="s">
        <v>43</v>
      </c>
      <c r="I439" s="9">
        <v>45998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0" t="s">
        <v>6</v>
      </c>
      <c r="B440" s="21" t="s">
        <v>7</v>
      </c>
      <c r="C440" s="21" t="s">
        <v>8</v>
      </c>
      <c r="D440" s="21" t="s">
        <v>9</v>
      </c>
      <c r="E440" s="4"/>
      <c r="F440" s="20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31">
        <v>3</v>
      </c>
      <c r="B441" s="21">
        <v>500000</v>
      </c>
      <c r="C441" s="21">
        <f>VLOOKUP(A441&amp;"|"&amp;B441,$O$3:$P$16,2,FALSE)</f>
        <v>3500</v>
      </c>
      <c r="D441" s="21">
        <f>VLOOKUP(A441&amp;"|"&amp;B441,$Q$3:$R$16,2,FALSE)</f>
        <v>21500</v>
      </c>
      <c r="E441" s="4"/>
      <c r="F441" s="57">
        <v>8</v>
      </c>
      <c r="G441" s="21">
        <v>2000000</v>
      </c>
      <c r="H441" s="21">
        <f>VLOOKUP(F441&amp;"|"&amp;G441,$O$3:$P$16,2,FALSE)</f>
        <v>7500</v>
      </c>
      <c r="I441" s="21">
        <f>VLOOKUP(F441&amp;"|"&amp;G441,$Q$3:$R$16,2,FALSE)</f>
        <v>92500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0"/>
      <c r="B442" s="21"/>
      <c r="C442" s="21"/>
      <c r="D442" s="21"/>
      <c r="E442" s="4"/>
      <c r="F442" s="20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0"/>
      <c r="B443" s="21"/>
      <c r="C443" s="21"/>
      <c r="D443" s="21"/>
      <c r="E443" s="4"/>
      <c r="F443" s="20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0"/>
      <c r="B444" s="21"/>
      <c r="C444" s="21"/>
      <c r="D444" s="21"/>
      <c r="E444" s="4"/>
      <c r="F444" s="20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0"/>
      <c r="B445" s="21"/>
      <c r="C445" s="21"/>
      <c r="D445" s="21"/>
      <c r="E445" s="4"/>
      <c r="F445" s="20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62" t="s">
        <v>49</v>
      </c>
      <c r="B446" s="53"/>
      <c r="C446" s="54"/>
      <c r="D446" s="21">
        <f>SUM(D441:D445)</f>
        <v>21500</v>
      </c>
      <c r="E446" s="4"/>
      <c r="F446" s="59" t="s">
        <v>49</v>
      </c>
      <c r="G446" s="53"/>
      <c r="H446" s="54"/>
      <c r="I446" s="21">
        <f>SUM(I441:I445)</f>
        <v>92500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31"/>
      <c r="B447" s="2"/>
      <c r="C447" s="2"/>
      <c r="D447" s="2"/>
      <c r="E447" s="4"/>
      <c r="F447" s="31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1" t="s">
        <v>0</v>
      </c>
      <c r="B448" s="12" t="s">
        <v>128</v>
      </c>
      <c r="C448" s="12" t="s">
        <v>101</v>
      </c>
      <c r="D448" s="9">
        <v>45998</v>
      </c>
      <c r="E448" s="4"/>
      <c r="F448" s="11" t="s">
        <v>0</v>
      </c>
      <c r="G448" s="12" t="s">
        <v>153</v>
      </c>
      <c r="H448" s="12" t="s">
        <v>101</v>
      </c>
      <c r="I448" s="9">
        <v>45998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0" t="s">
        <v>6</v>
      </c>
      <c r="B449" s="21" t="s">
        <v>7</v>
      </c>
      <c r="C449" s="21" t="s">
        <v>8</v>
      </c>
      <c r="D449" s="21" t="s">
        <v>9</v>
      </c>
      <c r="E449" s="4"/>
      <c r="F449" s="20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31">
        <v>3</v>
      </c>
      <c r="B450" s="21">
        <v>1000000</v>
      </c>
      <c r="C450" s="21">
        <f>VLOOKUP(A450&amp;"|"&amp;B450,$O$3:$P$16,2,FALSE)</f>
        <v>7800</v>
      </c>
      <c r="D450" s="21">
        <f>VLOOKUP(A450&amp;"|"&amp;B450,$Q$3:$R$16,2,FALSE)</f>
        <v>42200</v>
      </c>
      <c r="E450" s="4"/>
      <c r="F450" s="57">
        <v>3.1</v>
      </c>
      <c r="G450" s="21">
        <v>1000000</v>
      </c>
      <c r="H450" s="21">
        <f>VLOOKUP(F450&amp;"|"&amp;G450,$O$3:$P$19,2,FALSE)</f>
        <v>7550</v>
      </c>
      <c r="I450" s="21">
        <f>VLOOKUP(F450&amp;"|"&amp;G450,$Q$3:$R$19,2,FALSE)</f>
        <v>42450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0"/>
      <c r="B451" s="21"/>
      <c r="C451" s="21"/>
      <c r="D451" s="21"/>
      <c r="E451" s="4"/>
      <c r="F451" s="20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0"/>
      <c r="B452" s="21"/>
      <c r="C452" s="21"/>
      <c r="D452" s="21"/>
      <c r="E452" s="4"/>
      <c r="F452" s="20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0"/>
      <c r="B453" s="21"/>
      <c r="C453" s="21"/>
      <c r="D453" s="21"/>
      <c r="E453" s="4"/>
      <c r="F453" s="20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0"/>
      <c r="B454" s="21"/>
      <c r="C454" s="21"/>
      <c r="D454" s="21"/>
      <c r="E454" s="4"/>
      <c r="F454" s="20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62" t="s">
        <v>49</v>
      </c>
      <c r="B455" s="53"/>
      <c r="C455" s="54"/>
      <c r="D455" s="21">
        <f>SUM(D450:D454)</f>
        <v>42200</v>
      </c>
      <c r="E455" s="4"/>
      <c r="F455" s="59" t="s">
        <v>49</v>
      </c>
      <c r="G455" s="53"/>
      <c r="H455" s="54"/>
      <c r="I455" s="21">
        <f>SUM(I450:I454)</f>
        <v>42450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25" thickTop="1" thickBot="1">
      <c r="A456" s="31"/>
      <c r="B456" s="2"/>
      <c r="C456" s="2"/>
      <c r="D456" s="2"/>
      <c r="E456" s="4"/>
      <c r="F456" s="31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1" t="s">
        <v>0</v>
      </c>
      <c r="B457" s="12" t="s">
        <v>35</v>
      </c>
      <c r="C457" s="12" t="s">
        <v>154</v>
      </c>
      <c r="D457" s="9">
        <v>45998</v>
      </c>
      <c r="E457" s="4"/>
      <c r="F457" s="11" t="s">
        <v>0</v>
      </c>
      <c r="G457" s="12" t="s">
        <v>155</v>
      </c>
      <c r="H457" s="12" t="s">
        <v>156</v>
      </c>
      <c r="I457" s="9">
        <v>45998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0" t="s">
        <v>6</v>
      </c>
      <c r="B458" s="21" t="s">
        <v>7</v>
      </c>
      <c r="C458" s="21" t="s">
        <v>8</v>
      </c>
      <c r="D458" s="21" t="s">
        <v>9</v>
      </c>
      <c r="E458" s="4"/>
      <c r="F458" s="20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31">
        <v>19</v>
      </c>
      <c r="B459" s="21">
        <v>500000</v>
      </c>
      <c r="C459" s="21">
        <f>VLOOKUP(A459&amp;"|"&amp;B459,$O$3:$P$16,2,FALSE)</f>
        <v>50</v>
      </c>
      <c r="D459" s="21">
        <f>VLOOKUP(A459&amp;"|"&amp;B459,$Q$3:$R$16,2,FALSE)</f>
        <v>24950</v>
      </c>
      <c r="E459" s="4"/>
      <c r="F459" s="57">
        <v>8</v>
      </c>
      <c r="G459" s="21">
        <v>1000000</v>
      </c>
      <c r="H459" s="21">
        <f>VLOOKUP(F459&amp;"|"&amp;G459,$O$3:$P$17,2,FALSE)</f>
        <v>3750</v>
      </c>
      <c r="I459" s="21">
        <f>VLOOKUP(F459&amp;"|"&amp;G459,$Q$3:$R$17,2,FALSE)</f>
        <v>46250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31">
        <v>8</v>
      </c>
      <c r="B460" s="21">
        <v>1000000</v>
      </c>
      <c r="C460" s="21">
        <f>VLOOKUP(A460&amp;"|"&amp;B460,$O$3:$P$16,2,FALSE)</f>
        <v>3750</v>
      </c>
      <c r="D460" s="21">
        <f>VLOOKUP(A460&amp;"|"&amp;B460,$Q$3:$R$16,2,FALSE)</f>
        <v>46250</v>
      </c>
      <c r="E460" s="4"/>
      <c r="F460" s="20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0"/>
      <c r="B461" s="21"/>
      <c r="C461" s="21"/>
      <c r="D461" s="21"/>
      <c r="E461" s="4"/>
      <c r="F461" s="20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0"/>
      <c r="B462" s="21"/>
      <c r="C462" s="21"/>
      <c r="D462" s="21"/>
      <c r="E462" s="4"/>
      <c r="F462" s="20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0"/>
      <c r="B463" s="21"/>
      <c r="C463" s="21"/>
      <c r="D463" s="21"/>
      <c r="E463" s="4"/>
      <c r="F463" s="20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62" t="s">
        <v>49</v>
      </c>
      <c r="B464" s="53"/>
      <c r="C464" s="54"/>
      <c r="D464" s="21">
        <f>SUM(D459:D463)</f>
        <v>71200</v>
      </c>
      <c r="E464" s="4"/>
      <c r="F464" s="59" t="s">
        <v>49</v>
      </c>
      <c r="G464" s="53"/>
      <c r="H464" s="54"/>
      <c r="I464" s="21">
        <f>SUM(I459:I463)</f>
        <v>46250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25" thickTop="1" thickBot="1">
      <c r="A465" s="31"/>
      <c r="B465" s="2"/>
      <c r="C465" s="2"/>
      <c r="D465" s="2"/>
      <c r="E465" s="4"/>
      <c r="F465" s="31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1" t="s">
        <v>0</v>
      </c>
      <c r="B466" s="12" t="s">
        <v>157</v>
      </c>
      <c r="C466" s="12" t="s">
        <v>48</v>
      </c>
      <c r="D466" s="9">
        <v>45998</v>
      </c>
      <c r="E466" s="4"/>
      <c r="F466" s="11" t="s">
        <v>0</v>
      </c>
      <c r="G466" s="12" t="s">
        <v>59</v>
      </c>
      <c r="H466" s="12" t="s">
        <v>158</v>
      </c>
      <c r="I466" s="9">
        <v>45998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0" t="s">
        <v>6</v>
      </c>
      <c r="B467" s="21" t="s">
        <v>7</v>
      </c>
      <c r="C467" s="21" t="s">
        <v>8</v>
      </c>
      <c r="D467" s="21" t="s">
        <v>9</v>
      </c>
      <c r="E467" s="4"/>
      <c r="F467" s="20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31">
        <v>19</v>
      </c>
      <c r="B468" s="21">
        <v>1000000</v>
      </c>
      <c r="C468" s="21">
        <f>VLOOKUP(A468&amp;"|"&amp;B468,$O$3:$P$16,2,FALSE)</f>
        <v>200</v>
      </c>
      <c r="D468" s="21">
        <f>VLOOKUP(A468&amp;"|"&amp;B468,$Q$3:$R$16,2,FALSE)</f>
        <v>49800</v>
      </c>
      <c r="E468" s="4"/>
      <c r="F468" s="57">
        <v>19</v>
      </c>
      <c r="G468" s="21">
        <v>1000000</v>
      </c>
      <c r="H468" s="21">
        <f>VLOOKUP(F468&amp;"|"&amp;G468,$O$3:$P$16,2,FALSE)</f>
        <v>200</v>
      </c>
      <c r="I468" s="21">
        <f>VLOOKUP(F468&amp;"|"&amp;G468,$Q$3:$R$16,2,FALSE)</f>
        <v>49800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31">
        <v>3</v>
      </c>
      <c r="B469" s="21">
        <v>1000000</v>
      </c>
      <c r="C469" s="21">
        <f>VLOOKUP(A469&amp;"|"&amp;B469,$O$3:$P$17,2,FALSE)</f>
        <v>7800</v>
      </c>
      <c r="D469" s="21">
        <f>VLOOKUP(A469&amp;"|"&amp;B469,$Q$3:$R$17,2,FALSE)</f>
        <v>42200</v>
      </c>
      <c r="E469" s="4"/>
      <c r="F469" s="20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0"/>
      <c r="B470" s="21"/>
      <c r="C470" s="21"/>
      <c r="D470" s="21"/>
      <c r="E470" s="4"/>
      <c r="F470" s="20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0"/>
      <c r="B471" s="21"/>
      <c r="C471" s="21"/>
      <c r="D471" s="21"/>
      <c r="E471" s="4"/>
      <c r="F471" s="20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0"/>
      <c r="B472" s="21"/>
      <c r="C472" s="21"/>
      <c r="D472" s="21"/>
      <c r="E472" s="4"/>
      <c r="F472" s="20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62" t="s">
        <v>49</v>
      </c>
      <c r="B473" s="53"/>
      <c r="C473" s="54"/>
      <c r="D473" s="21">
        <f>SUM(D468:D472)</f>
        <v>92000</v>
      </c>
      <c r="E473" s="4"/>
      <c r="F473" s="59" t="s">
        <v>49</v>
      </c>
      <c r="G473" s="53"/>
      <c r="H473" s="54"/>
      <c r="I473" s="21">
        <f>SUM(I468:I472)</f>
        <v>49800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25" thickTop="1" thickBot="1">
      <c r="A474" s="31"/>
      <c r="B474" s="2"/>
      <c r="C474" s="2"/>
      <c r="D474" s="2"/>
      <c r="E474" s="4"/>
      <c r="F474" s="31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1" t="s">
        <v>0</v>
      </c>
      <c r="B475" s="12" t="s">
        <v>66</v>
      </c>
      <c r="C475" s="12" t="s">
        <v>43</v>
      </c>
      <c r="D475" s="9">
        <v>45998</v>
      </c>
      <c r="E475" s="4"/>
      <c r="F475" s="11" t="s">
        <v>0</v>
      </c>
      <c r="G475" s="12" t="s">
        <v>159</v>
      </c>
      <c r="H475" s="12" t="s">
        <v>41</v>
      </c>
      <c r="I475" s="9">
        <v>45998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0" t="s">
        <v>6</v>
      </c>
      <c r="B476" s="21" t="s">
        <v>7</v>
      </c>
      <c r="C476" s="21" t="s">
        <v>8</v>
      </c>
      <c r="D476" s="21" t="s">
        <v>9</v>
      </c>
      <c r="E476" s="4"/>
      <c r="F476" s="20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31">
        <v>19</v>
      </c>
      <c r="B477" s="21">
        <v>500000</v>
      </c>
      <c r="C477" s="21">
        <f>VLOOKUP(A477&amp;"|"&amp;B477,$O$3:$P$16,2,FALSE)</f>
        <v>50</v>
      </c>
      <c r="D477" s="21">
        <f>VLOOKUP(A477&amp;"|"&amp;B477,$Q$3:$R$16,2,FALSE)</f>
        <v>24950</v>
      </c>
      <c r="E477" s="4"/>
      <c r="F477" s="57">
        <v>3</v>
      </c>
      <c r="G477" s="21">
        <v>500000</v>
      </c>
      <c r="H477" s="21">
        <f>VLOOKUP(F477&amp;"|"&amp;G477,$O$3:$P$16,2,FALSE)</f>
        <v>3500</v>
      </c>
      <c r="I477" s="21">
        <f>VLOOKUP(F477&amp;"|"&amp;G477,$Q$3:$R$16,2,FALSE)</f>
        <v>21500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0"/>
      <c r="B478" s="21"/>
      <c r="C478" s="21"/>
      <c r="D478" s="21"/>
      <c r="E478" s="4"/>
      <c r="F478" s="20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0"/>
      <c r="B479" s="21"/>
      <c r="C479" s="21"/>
      <c r="D479" s="21"/>
      <c r="E479" s="4"/>
      <c r="F479" s="20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0"/>
      <c r="B480" s="21"/>
      <c r="C480" s="21"/>
      <c r="D480" s="21"/>
      <c r="E480" s="4"/>
      <c r="F480" s="20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0"/>
      <c r="B481" s="21"/>
      <c r="C481" s="21"/>
      <c r="D481" s="21"/>
      <c r="E481" s="4"/>
      <c r="F481" s="20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62" t="s">
        <v>49</v>
      </c>
      <c r="B482" s="53"/>
      <c r="C482" s="54"/>
      <c r="D482" s="21">
        <f>SUM(D477:D481)</f>
        <v>24950</v>
      </c>
      <c r="E482" s="4"/>
      <c r="F482" s="59" t="s">
        <v>49</v>
      </c>
      <c r="G482" s="53"/>
      <c r="H482" s="54"/>
      <c r="I482" s="21">
        <f>SUM(I477:I481)</f>
        <v>21500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31"/>
      <c r="B483" s="6"/>
      <c r="C483" s="2"/>
      <c r="D483" s="10"/>
      <c r="E483" s="4"/>
      <c r="F483" s="31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1" t="s">
        <v>0</v>
      </c>
      <c r="B484" s="12" t="s">
        <v>160</v>
      </c>
      <c r="C484" s="12" t="s">
        <v>43</v>
      </c>
      <c r="D484" s="9">
        <v>45998</v>
      </c>
      <c r="E484" s="4"/>
      <c r="F484" s="11" t="s">
        <v>0</v>
      </c>
      <c r="G484" s="12" t="s">
        <v>44</v>
      </c>
      <c r="H484" s="12" t="s">
        <v>43</v>
      </c>
      <c r="I484" s="9">
        <v>45998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0" t="s">
        <v>6</v>
      </c>
      <c r="B485" s="21" t="s">
        <v>7</v>
      </c>
      <c r="C485" s="21" t="s">
        <v>8</v>
      </c>
      <c r="D485" s="21" t="s">
        <v>9</v>
      </c>
      <c r="E485" s="4"/>
      <c r="F485" s="20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31">
        <v>16</v>
      </c>
      <c r="B486" s="21">
        <v>500000</v>
      </c>
      <c r="C486" s="21">
        <f>VLOOKUP(A486&amp;"|"&amp;B486,$O$3:$P$16,2,FALSE)</f>
        <v>650</v>
      </c>
      <c r="D486" s="21">
        <f>VLOOKUP(A486&amp;"|"&amp;B486,$Q$3:$R$16,2,FALSE)</f>
        <v>24350</v>
      </c>
      <c r="E486" s="4"/>
      <c r="F486" s="57">
        <v>8</v>
      </c>
      <c r="G486" s="21">
        <v>500000</v>
      </c>
      <c r="H486" s="21">
        <f>VLOOKUP(F486&amp;"|"&amp;G486,$O$3:$P$16,2,FALSE)</f>
        <v>2350</v>
      </c>
      <c r="I486" s="21">
        <f>VLOOKUP(F486&amp;"|"&amp;G486,$Q$3:$R$16,2,FALSE)</f>
        <v>22650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31">
        <v>16</v>
      </c>
      <c r="B487" s="21">
        <v>500000</v>
      </c>
      <c r="C487" s="21">
        <f>VLOOKUP(A487&amp;"|"&amp;B487,$O$3:$P$16,2,FALSE)</f>
        <v>650</v>
      </c>
      <c r="D487" s="21">
        <f>VLOOKUP(A487&amp;"|"&amp;B487,$Q$3:$R$16,2,FALSE)</f>
        <v>24350</v>
      </c>
      <c r="E487" s="4"/>
      <c r="F487" s="20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0"/>
      <c r="B488" s="21"/>
      <c r="C488" s="21"/>
      <c r="D488" s="21"/>
      <c r="E488" s="4"/>
      <c r="F488" s="20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0"/>
      <c r="B489" s="21"/>
      <c r="C489" s="21"/>
      <c r="D489" s="21"/>
      <c r="E489" s="4"/>
      <c r="F489" s="20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0"/>
      <c r="B490" s="21"/>
      <c r="C490" s="21"/>
      <c r="D490" s="21"/>
      <c r="E490" s="4"/>
      <c r="F490" s="20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62" t="s">
        <v>49</v>
      </c>
      <c r="B491" s="53"/>
      <c r="C491" s="54"/>
      <c r="D491" s="21">
        <f>SUM(D486:D490)</f>
        <v>48700</v>
      </c>
      <c r="E491" s="4"/>
      <c r="F491" s="59" t="s">
        <v>49</v>
      </c>
      <c r="G491" s="53"/>
      <c r="H491" s="54"/>
      <c r="I491" s="21">
        <f>SUM(I486:I490)</f>
        <v>22650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25" thickTop="1" thickBot="1">
      <c r="A492" s="31"/>
      <c r="B492" s="2"/>
      <c r="C492" s="2"/>
      <c r="D492" s="2"/>
      <c r="E492" s="4"/>
      <c r="F492" s="31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1" t="s">
        <v>0</v>
      </c>
      <c r="B493" s="12" t="s">
        <v>161</v>
      </c>
      <c r="C493" s="12" t="s">
        <v>43</v>
      </c>
      <c r="D493" s="9">
        <v>45998</v>
      </c>
      <c r="E493" s="4"/>
      <c r="F493" s="11" t="s">
        <v>0</v>
      </c>
      <c r="G493" s="12" t="s">
        <v>162</v>
      </c>
      <c r="H493" s="12" t="s">
        <v>163</v>
      </c>
      <c r="I493" s="9">
        <v>45998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0" t="s">
        <v>6</v>
      </c>
      <c r="B494" s="21" t="s">
        <v>7</v>
      </c>
      <c r="C494" s="21" t="s">
        <v>8</v>
      </c>
      <c r="D494" s="21" t="s">
        <v>9</v>
      </c>
      <c r="E494" s="4"/>
      <c r="F494" s="20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31">
        <v>13</v>
      </c>
      <c r="B495" s="21">
        <v>500000</v>
      </c>
      <c r="C495" s="21">
        <f>VLOOKUP(A495&amp;"|"&amp;B495,$O$3:$P$16,2,FALSE)</f>
        <v>1150</v>
      </c>
      <c r="D495" s="21">
        <f>VLOOKUP(A495&amp;"|"&amp;B495,$Q$3:$R$16,2,FALSE)</f>
        <v>23850</v>
      </c>
      <c r="E495" s="4"/>
      <c r="F495" s="57">
        <v>13</v>
      </c>
      <c r="G495" s="21">
        <v>500000</v>
      </c>
      <c r="H495" s="21">
        <f>VLOOKUP(F495&amp;"|"&amp;G495,$O$3:$P$16,2,FALSE)</f>
        <v>1150</v>
      </c>
      <c r="I495" s="21">
        <f>VLOOKUP(F495&amp;"|"&amp;G495,$Q$3:$R$16,2,FALSE)</f>
        <v>23850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0"/>
      <c r="B496" s="21"/>
      <c r="C496" s="21"/>
      <c r="D496" s="21"/>
      <c r="E496" s="4"/>
      <c r="F496" s="57">
        <v>13</v>
      </c>
      <c r="G496" s="21">
        <v>500000</v>
      </c>
      <c r="H496" s="21">
        <f>VLOOKUP(F496&amp;"|"&amp;G496,$O$3:$P$16,2,FALSE)</f>
        <v>1150</v>
      </c>
      <c r="I496" s="21">
        <f>VLOOKUP(F496&amp;"|"&amp;G496,$Q$3:$R$16,2,FALSE)</f>
        <v>23850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0"/>
      <c r="B497" s="21"/>
      <c r="C497" s="21"/>
      <c r="D497" s="21"/>
      <c r="E497" s="4"/>
      <c r="F497" s="57">
        <v>8</v>
      </c>
      <c r="G497" s="21">
        <v>500000</v>
      </c>
      <c r="H497" s="21">
        <f>VLOOKUP(F497&amp;"|"&amp;G497,$O$3:$P$17,2,FALSE)</f>
        <v>2350</v>
      </c>
      <c r="I497" s="21">
        <f>VLOOKUP(F497&amp;"|"&amp;G497,$Q$3:$R$17,2,FALSE)</f>
        <v>22650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0"/>
      <c r="B498" s="21"/>
      <c r="C498" s="21"/>
      <c r="D498" s="21"/>
      <c r="E498" s="4"/>
      <c r="F498" s="57">
        <v>3</v>
      </c>
      <c r="G498" s="21">
        <v>1000000</v>
      </c>
      <c r="H498" s="21">
        <f>VLOOKUP(F498&amp;"|"&amp;G498,$O$3:$P$17,2,FALSE)</f>
        <v>7800</v>
      </c>
      <c r="I498" s="21">
        <f>VLOOKUP(F498&amp;"|"&amp;G498,$Q$3:$R$17,2,FALSE)</f>
        <v>42200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0"/>
      <c r="B499" s="21"/>
      <c r="C499" s="21"/>
      <c r="D499" s="21"/>
      <c r="E499" s="4"/>
      <c r="F499" s="20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62" t="s">
        <v>49</v>
      </c>
      <c r="B500" s="53"/>
      <c r="C500" s="54"/>
      <c r="D500" s="21">
        <f>SUM(D495:D499)</f>
        <v>23850</v>
      </c>
      <c r="E500" s="4"/>
      <c r="F500" s="59" t="s">
        <v>49</v>
      </c>
      <c r="G500" s="53"/>
      <c r="H500" s="54"/>
      <c r="I500" s="21">
        <f>SUM(I495:I499)</f>
        <v>112550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2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1" t="s">
        <v>0</v>
      </c>
      <c r="B502" s="12" t="s">
        <v>164</v>
      </c>
      <c r="C502" s="12" t="s">
        <v>165</v>
      </c>
      <c r="D502" s="9">
        <v>45998</v>
      </c>
      <c r="E502" s="4"/>
      <c r="F502" s="11" t="s">
        <v>3</v>
      </c>
      <c r="G502" s="12" t="s">
        <v>166</v>
      </c>
      <c r="H502" s="12" t="s">
        <v>167</v>
      </c>
      <c r="I502" s="9">
        <v>45998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0" t="s">
        <v>6</v>
      </c>
      <c r="B503" s="21" t="s">
        <v>7</v>
      </c>
      <c r="C503" s="21" t="s">
        <v>8</v>
      </c>
      <c r="D503" s="21" t="s">
        <v>9</v>
      </c>
      <c r="E503" s="4"/>
      <c r="F503" s="20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31">
        <v>8</v>
      </c>
      <c r="B504" s="21">
        <v>2000000</v>
      </c>
      <c r="C504" s="21">
        <f>VLOOKUP(A504&amp;"|"&amp;B504,$O$3:$P$16,2,FALSE)</f>
        <v>7500</v>
      </c>
      <c r="D504" s="21">
        <f>VLOOKUP(A504&amp;"|"&amp;B504,$Q$3:$R$16,2,FALSE)</f>
        <v>92500</v>
      </c>
      <c r="E504" s="4"/>
      <c r="F504" s="57">
        <v>8</v>
      </c>
      <c r="G504" s="21">
        <v>500000</v>
      </c>
      <c r="H504" s="21">
        <f>VLOOKUP(F504&amp;"|"&amp;G504,$O$3:$P$17,2,FALSE)</f>
        <v>2350</v>
      </c>
      <c r="I504" s="21">
        <f>VLOOKUP(F504&amp;"|"&amp;G504,$Q$3:$R$17,2,FALSE)</f>
        <v>22650</v>
      </c>
    </row>
    <row r="505" spans="1:26" ht="20.25" thickTop="1" thickBot="1">
      <c r="A505" s="20"/>
      <c r="B505" s="21"/>
      <c r="C505" s="21"/>
      <c r="D505" s="21"/>
      <c r="E505" s="4"/>
      <c r="F505" s="20"/>
      <c r="G505" s="21"/>
      <c r="H505" s="21"/>
      <c r="I505" s="21"/>
    </row>
    <row r="506" spans="1:26" ht="20.25" thickTop="1" thickBot="1">
      <c r="A506" s="20"/>
      <c r="B506" s="21"/>
      <c r="C506" s="21"/>
      <c r="D506" s="21"/>
      <c r="E506" s="4"/>
      <c r="F506" s="20"/>
      <c r="G506" s="21"/>
      <c r="H506" s="21"/>
      <c r="I506" s="21"/>
    </row>
    <row r="507" spans="1:26" ht="20.25" thickTop="1" thickBot="1">
      <c r="A507" s="20"/>
      <c r="B507" s="21"/>
      <c r="C507" s="21"/>
      <c r="D507" s="21"/>
      <c r="E507" s="4"/>
      <c r="F507" s="20"/>
      <c r="G507" s="21"/>
      <c r="H507" s="21"/>
      <c r="I507" s="21"/>
    </row>
    <row r="508" spans="1:26" ht="20.25" thickTop="1" thickBot="1">
      <c r="A508" s="20"/>
      <c r="B508" s="21"/>
      <c r="C508" s="21"/>
      <c r="D508" s="21"/>
      <c r="E508" s="4"/>
      <c r="F508" s="20"/>
      <c r="G508" s="21"/>
      <c r="H508" s="21"/>
      <c r="I508" s="21"/>
    </row>
    <row r="509" spans="1:26" ht="20.25" thickTop="1" thickBot="1">
      <c r="A509" s="62" t="s">
        <v>49</v>
      </c>
      <c r="B509" s="53"/>
      <c r="C509" s="54"/>
      <c r="D509" s="21">
        <f>SUM(D504:D508)</f>
        <v>92500</v>
      </c>
      <c r="E509" s="4"/>
      <c r="F509" s="62" t="s">
        <v>49</v>
      </c>
      <c r="G509" s="53"/>
      <c r="H509" s="54"/>
      <c r="I509" s="21">
        <f>SUM(I504:I508)</f>
        <v>22650</v>
      </c>
    </row>
    <row r="510" spans="1:26" ht="17.25" thickTop="1" thickBot="1"/>
    <row r="511" spans="1:26" ht="20.25" thickTop="1" thickBot="1">
      <c r="A511" s="11" t="s">
        <v>0</v>
      </c>
      <c r="B511" s="12" t="s">
        <v>146</v>
      </c>
      <c r="C511" s="12" t="s">
        <v>38</v>
      </c>
      <c r="D511" s="9">
        <v>45998</v>
      </c>
      <c r="E511" s="4"/>
      <c r="F511" s="11" t="s">
        <v>3</v>
      </c>
      <c r="G511" s="12" t="s">
        <v>57</v>
      </c>
      <c r="H511" s="12" t="s">
        <v>168</v>
      </c>
      <c r="I511" s="9">
        <v>45998</v>
      </c>
    </row>
    <row r="512" spans="1:26" ht="20.25" thickTop="1" thickBot="1">
      <c r="A512" s="20" t="s">
        <v>6</v>
      </c>
      <c r="B512" s="21" t="s">
        <v>7</v>
      </c>
      <c r="C512" s="21" t="s">
        <v>8</v>
      </c>
      <c r="D512" s="21" t="s">
        <v>9</v>
      </c>
      <c r="E512" s="4"/>
      <c r="F512" s="20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31">
        <v>8</v>
      </c>
      <c r="B513" s="21">
        <v>500000</v>
      </c>
      <c r="C513" s="21">
        <f>VLOOKUP(A513&amp;"|"&amp;B513,$O$3:$P$17,2,FALSE)</f>
        <v>2350</v>
      </c>
      <c r="D513" s="21">
        <f>VLOOKUP(A513&amp;"|"&amp;B513,$Q$3:$R$17,2,FALSE)</f>
        <v>22650</v>
      </c>
      <c r="E513" s="4"/>
      <c r="F513" s="57">
        <v>8</v>
      </c>
      <c r="G513" s="21">
        <v>500000</v>
      </c>
      <c r="H513" s="21">
        <f>VLOOKUP(F513&amp;"|"&amp;G513,$O$3:$P$17,2,FALSE)</f>
        <v>2350</v>
      </c>
      <c r="I513" s="21">
        <f>VLOOKUP(F513&amp;"|"&amp;G513,$Q$3:$R$17,2,FALSE)</f>
        <v>22650</v>
      </c>
    </row>
    <row r="514" spans="1:9" ht="20.25" thickTop="1" thickBot="1">
      <c r="A514" s="20"/>
      <c r="B514" s="21"/>
      <c r="C514" s="21"/>
      <c r="D514" s="21"/>
      <c r="E514" s="4"/>
      <c r="F514" s="20"/>
      <c r="G514" s="21"/>
      <c r="H514" s="21"/>
      <c r="I514" s="21"/>
    </row>
    <row r="515" spans="1:9" ht="20.25" thickTop="1" thickBot="1">
      <c r="A515" s="20"/>
      <c r="B515" s="21"/>
      <c r="C515" s="21"/>
      <c r="D515" s="21"/>
      <c r="E515" s="4"/>
      <c r="F515" s="20"/>
      <c r="G515" s="21"/>
      <c r="H515" s="21"/>
      <c r="I515" s="21"/>
    </row>
    <row r="516" spans="1:9" ht="20.25" thickTop="1" thickBot="1">
      <c r="A516" s="20"/>
      <c r="B516" s="21"/>
      <c r="C516" s="21"/>
      <c r="D516" s="21"/>
      <c r="E516" s="4"/>
      <c r="F516" s="20"/>
      <c r="G516" s="21"/>
      <c r="H516" s="21"/>
      <c r="I516" s="21"/>
    </row>
    <row r="517" spans="1:9" ht="20.25" thickTop="1" thickBot="1">
      <c r="A517" s="20"/>
      <c r="B517" s="21"/>
      <c r="C517" s="21"/>
      <c r="D517" s="21"/>
      <c r="E517" s="4"/>
      <c r="F517" s="20"/>
      <c r="G517" s="21"/>
      <c r="H517" s="21"/>
      <c r="I517" s="21"/>
    </row>
    <row r="518" spans="1:9" ht="20.25" thickTop="1" thickBot="1">
      <c r="A518" s="62" t="s">
        <v>49</v>
      </c>
      <c r="B518" s="53"/>
      <c r="C518" s="54"/>
      <c r="D518" s="21">
        <f>SUM(D513:D517)</f>
        <v>22650</v>
      </c>
      <c r="E518" s="4"/>
      <c r="F518" s="59" t="s">
        <v>25</v>
      </c>
      <c r="G518" s="53"/>
      <c r="H518" s="54"/>
      <c r="I518" s="21">
        <f>SUM(I513:I517)</f>
        <v>22650</v>
      </c>
    </row>
    <row r="519" spans="1:9" ht="17.25" thickTop="1" thickBot="1"/>
    <row r="520" spans="1:9" ht="20.25" thickTop="1" thickBot="1">
      <c r="A520" s="11" t="s">
        <v>3</v>
      </c>
      <c r="B520" s="12" t="s">
        <v>169</v>
      </c>
      <c r="C520" s="12" t="s">
        <v>170</v>
      </c>
      <c r="D520" s="9">
        <v>45998</v>
      </c>
      <c r="F520" s="11" t="s">
        <v>3</v>
      </c>
      <c r="G520" s="12" t="s">
        <v>171</v>
      </c>
      <c r="H520" s="12" t="s">
        <v>172</v>
      </c>
      <c r="I520" s="9">
        <v>45998</v>
      </c>
    </row>
    <row r="521" spans="1:9" ht="20.25" thickTop="1" thickBot="1">
      <c r="A521" s="20" t="s">
        <v>6</v>
      </c>
      <c r="B521" s="21" t="s">
        <v>7</v>
      </c>
      <c r="C521" s="21" t="s">
        <v>8</v>
      </c>
      <c r="D521" s="21" t="s">
        <v>9</v>
      </c>
      <c r="F521" s="20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31">
        <v>19</v>
      </c>
      <c r="B522" s="21">
        <v>500000</v>
      </c>
      <c r="C522" s="21">
        <f>VLOOKUP(A522&amp;"|"&amp;B522,$O$3:$P$17,2,FALSE)</f>
        <v>50</v>
      </c>
      <c r="D522" s="21">
        <f>VLOOKUP(A522&amp;"|"&amp;B522,$Q$3:$R$17,2,FALSE)</f>
        <v>24950</v>
      </c>
      <c r="F522" s="57">
        <v>8</v>
      </c>
      <c r="G522" s="21">
        <v>1000000</v>
      </c>
      <c r="H522" s="21">
        <f>VLOOKUP(F522&amp;"|"&amp;G522,$O$3:$P$17,2,FALSE)</f>
        <v>3750</v>
      </c>
      <c r="I522" s="21">
        <f>VLOOKUP(F522&amp;"|"&amp;G522,$Q$3:$R$17,2,FALSE)</f>
        <v>46250</v>
      </c>
    </row>
    <row r="523" spans="1:9" ht="20.25" thickTop="1" thickBot="1">
      <c r="A523" s="20"/>
      <c r="B523" s="21"/>
      <c r="C523" s="21"/>
      <c r="D523" s="21"/>
      <c r="F523" s="57">
        <v>8</v>
      </c>
      <c r="G523" s="21">
        <v>1000000</v>
      </c>
      <c r="H523" s="21">
        <f>VLOOKUP(F523&amp;"|"&amp;G523,$O$3:$P$17,2,FALSE)</f>
        <v>3750</v>
      </c>
      <c r="I523" s="21">
        <f>VLOOKUP(F523&amp;"|"&amp;G523,$Q$3:$R$17,2,FALSE)</f>
        <v>46250</v>
      </c>
    </row>
    <row r="524" spans="1:9" ht="20.25" thickTop="1" thickBot="1">
      <c r="A524" s="20"/>
      <c r="B524" s="21"/>
      <c r="C524" s="21"/>
      <c r="D524" s="21"/>
      <c r="F524" s="20"/>
      <c r="G524" s="21"/>
      <c r="H524" s="21"/>
      <c r="I524" s="21"/>
    </row>
    <row r="525" spans="1:9" ht="20.25" thickTop="1" thickBot="1">
      <c r="A525" s="20"/>
      <c r="B525" s="21"/>
      <c r="C525" s="21"/>
      <c r="D525" s="21"/>
      <c r="F525" s="20"/>
      <c r="G525" s="21"/>
      <c r="H525" s="21"/>
      <c r="I525" s="21"/>
    </row>
    <row r="526" spans="1:9" ht="20.25" thickTop="1" thickBot="1">
      <c r="A526" s="20"/>
      <c r="B526" s="21"/>
      <c r="C526" s="21"/>
      <c r="D526" s="21"/>
      <c r="F526" s="20"/>
      <c r="G526" s="21"/>
      <c r="H526" s="21"/>
      <c r="I526" s="21"/>
    </row>
    <row r="527" spans="1:9" ht="20.25" thickTop="1" thickBot="1">
      <c r="A527" s="62" t="s">
        <v>49</v>
      </c>
      <c r="B527" s="53"/>
      <c r="C527" s="54"/>
      <c r="D527" s="21">
        <f>SUM(D522:D526)</f>
        <v>24950</v>
      </c>
      <c r="F527" s="59" t="s">
        <v>25</v>
      </c>
      <c r="G527" s="53"/>
      <c r="H527" s="54"/>
      <c r="I527" s="21">
        <f>SUM(I522:I526)</f>
        <v>92500</v>
      </c>
    </row>
    <row r="528" spans="1:9" ht="17.25" thickTop="1" thickBot="1"/>
    <row r="529" spans="1:9" ht="20.25" thickTop="1" thickBot="1">
      <c r="A529" s="11" t="s">
        <v>3</v>
      </c>
      <c r="B529" s="12" t="s">
        <v>61</v>
      </c>
      <c r="C529" s="12" t="s">
        <v>173</v>
      </c>
      <c r="D529" s="9">
        <v>45998</v>
      </c>
      <c r="F529" s="11" t="s">
        <v>3</v>
      </c>
      <c r="G529" s="12" t="s">
        <v>174</v>
      </c>
      <c r="H529" s="12" t="s">
        <v>175</v>
      </c>
      <c r="I529" s="9">
        <v>45998</v>
      </c>
    </row>
    <row r="530" spans="1:9" ht="20.25" thickTop="1" thickBot="1">
      <c r="A530" s="20" t="s">
        <v>6</v>
      </c>
      <c r="B530" s="21" t="s">
        <v>7</v>
      </c>
      <c r="C530" s="21" t="s">
        <v>8</v>
      </c>
      <c r="D530" s="21" t="s">
        <v>9</v>
      </c>
      <c r="F530" s="20" t="s">
        <v>6</v>
      </c>
      <c r="G530" s="21" t="s">
        <v>7</v>
      </c>
      <c r="H530" s="21" t="s">
        <v>8</v>
      </c>
      <c r="I530" s="21" t="s">
        <v>9</v>
      </c>
    </row>
    <row r="531" spans="1:9" ht="20.25" thickTop="1" thickBot="1">
      <c r="A531" s="31">
        <v>3</v>
      </c>
      <c r="B531" s="21">
        <v>1000000</v>
      </c>
      <c r="C531" s="21">
        <f>VLOOKUP(A531&amp;"|"&amp;B531,$O$3:$P$17,2,FALSE)</f>
        <v>7800</v>
      </c>
      <c r="D531" s="21">
        <f>VLOOKUP(A531&amp;"|"&amp;B531,$Q$3:$R$17,2,FALSE)</f>
        <v>42200</v>
      </c>
      <c r="F531" s="57">
        <v>8</v>
      </c>
      <c r="G531" s="21">
        <v>2000000</v>
      </c>
      <c r="H531" s="21">
        <f>VLOOKUP(F531&amp;"|"&amp;G531,$O$3:$P$17,2,FALSE)</f>
        <v>7500</v>
      </c>
      <c r="I531" s="21">
        <f>VLOOKUP(F531&amp;"|"&amp;G531,$Q$3:$R$17,2,FALSE)</f>
        <v>92500</v>
      </c>
    </row>
    <row r="532" spans="1:9" ht="20.25" thickTop="1" thickBot="1">
      <c r="A532" s="31">
        <v>3.1</v>
      </c>
      <c r="B532" s="21">
        <v>1000000</v>
      </c>
      <c r="C532" s="21">
        <f>VLOOKUP(A532&amp;"|"&amp;B532,$O$3:$P$17,2,FALSE)</f>
        <v>7550</v>
      </c>
      <c r="D532" s="21">
        <f>VLOOKUP(A532&amp;"|"&amp;B532,$Q$3:$R$17,2,FALSE)</f>
        <v>42450</v>
      </c>
      <c r="F532" s="20"/>
      <c r="G532" s="21"/>
      <c r="H532" s="21"/>
      <c r="I532" s="21"/>
    </row>
    <row r="533" spans="1:9" ht="20.25" thickTop="1" thickBot="1">
      <c r="A533" s="20"/>
      <c r="B533" s="21"/>
      <c r="C533" s="21"/>
      <c r="D533" s="21"/>
      <c r="F533" s="20"/>
      <c r="G533" s="21"/>
      <c r="H533" s="21"/>
      <c r="I533" s="21"/>
    </row>
    <row r="534" spans="1:9" ht="20.25" thickTop="1" thickBot="1">
      <c r="A534" s="20"/>
      <c r="B534" s="21"/>
      <c r="C534" s="21"/>
      <c r="D534" s="21"/>
      <c r="F534" s="20"/>
      <c r="G534" s="21"/>
      <c r="H534" s="21"/>
      <c r="I534" s="21"/>
    </row>
    <row r="535" spans="1:9" ht="20.25" thickTop="1" thickBot="1">
      <c r="A535" s="20"/>
      <c r="B535" s="21"/>
      <c r="C535" s="21"/>
      <c r="D535" s="21"/>
      <c r="F535" s="20"/>
      <c r="G535" s="21"/>
      <c r="H535" s="21"/>
      <c r="I535" s="21"/>
    </row>
    <row r="536" spans="1:9" ht="20.25" thickTop="1" thickBot="1">
      <c r="A536" s="62" t="s">
        <v>49</v>
      </c>
      <c r="B536" s="53"/>
      <c r="C536" s="54"/>
      <c r="D536" s="21">
        <f>SUM(D531:D535)</f>
        <v>84650</v>
      </c>
      <c r="F536" s="62" t="s">
        <v>49</v>
      </c>
      <c r="G536" s="53"/>
      <c r="H536" s="54"/>
      <c r="I536" s="21">
        <f>SUM(I531:I535)</f>
        <v>92500</v>
      </c>
    </row>
    <row r="537" spans="1:9" ht="17.25" thickTop="1" thickBot="1"/>
    <row r="538" spans="1:9" ht="20.25" thickTop="1" thickBot="1">
      <c r="A538" s="63" t="s">
        <v>3</v>
      </c>
      <c r="B538" s="64" t="s">
        <v>176</v>
      </c>
      <c r="C538" s="64" t="s">
        <v>173</v>
      </c>
      <c r="D538" s="65">
        <v>45998</v>
      </c>
      <c r="E538" s="18"/>
      <c r="F538" s="63" t="s">
        <v>3</v>
      </c>
      <c r="G538" s="64" t="s">
        <v>1</v>
      </c>
      <c r="H538" s="64" t="s">
        <v>173</v>
      </c>
      <c r="I538" s="65">
        <v>45998</v>
      </c>
    </row>
    <row r="539" spans="1:9" ht="20.25" thickTop="1" thickBot="1">
      <c r="A539" s="66" t="s">
        <v>6</v>
      </c>
      <c r="B539" s="67" t="s">
        <v>7</v>
      </c>
      <c r="C539" s="67" t="s">
        <v>8</v>
      </c>
      <c r="D539" s="67" t="s">
        <v>9</v>
      </c>
      <c r="E539" s="18"/>
      <c r="F539" s="66" t="s">
        <v>6</v>
      </c>
      <c r="G539" s="67" t="s">
        <v>7</v>
      </c>
      <c r="H539" s="67" t="s">
        <v>8</v>
      </c>
      <c r="I539" s="67" t="s">
        <v>9</v>
      </c>
    </row>
    <row r="540" spans="1:9" ht="20.25" thickTop="1" thickBot="1">
      <c r="A540" s="68">
        <v>3.1</v>
      </c>
      <c r="B540" s="67">
        <v>1000000</v>
      </c>
      <c r="C540" s="67">
        <f>VLOOKUP(A540&amp;"|"&amp;B540,$O$3:$P$17,2,FALSE)</f>
        <v>7550</v>
      </c>
      <c r="D540" s="67">
        <f>VLOOKUP(A540&amp;"|"&amp;B540,$Q$3:$R$17,2,FALSE)</f>
        <v>42450</v>
      </c>
      <c r="E540" s="18"/>
      <c r="F540" s="69">
        <v>3</v>
      </c>
      <c r="G540" s="67">
        <v>1000000</v>
      </c>
      <c r="H540" s="67">
        <f>VLOOKUP(F540&amp;"|"&amp;G540,$O$3:$P$17,2,FALSE)</f>
        <v>7800</v>
      </c>
      <c r="I540" s="67">
        <f>VLOOKUP(F540&amp;"|"&amp;G540,$Q$3:$R$17,2,FALSE)</f>
        <v>42200</v>
      </c>
    </row>
    <row r="541" spans="1:9" ht="20.25" thickTop="1" thickBot="1">
      <c r="A541" s="66"/>
      <c r="B541" s="67"/>
      <c r="C541" s="67"/>
      <c r="D541" s="67"/>
      <c r="E541" s="18"/>
      <c r="F541" s="69">
        <v>3.1</v>
      </c>
      <c r="G541" s="67">
        <v>1000000</v>
      </c>
      <c r="H541" s="67">
        <f>VLOOKUP(F541&amp;"|"&amp;G541,$O$3:$P$17,2,FALSE)</f>
        <v>7550</v>
      </c>
      <c r="I541" s="67">
        <f>VLOOKUP(F541&amp;"|"&amp;G541,$Q$3:$R$17,2,FALSE)</f>
        <v>42450</v>
      </c>
    </row>
    <row r="542" spans="1:9" ht="20.25" thickTop="1" thickBot="1">
      <c r="A542" s="66"/>
      <c r="B542" s="67"/>
      <c r="C542" s="67"/>
      <c r="D542" s="67"/>
      <c r="E542" s="18"/>
      <c r="F542" s="66"/>
      <c r="G542" s="67"/>
      <c r="H542" s="67"/>
      <c r="I542" s="67"/>
    </row>
    <row r="543" spans="1:9" ht="20.25" thickTop="1" thickBot="1">
      <c r="A543" s="66"/>
      <c r="B543" s="67"/>
      <c r="C543" s="67"/>
      <c r="D543" s="67"/>
      <c r="E543" s="18"/>
      <c r="F543" s="66"/>
      <c r="G543" s="67"/>
      <c r="H543" s="67"/>
      <c r="I543" s="67"/>
    </row>
    <row r="544" spans="1:9" ht="20.25" thickTop="1" thickBot="1">
      <c r="A544" s="66"/>
      <c r="B544" s="67"/>
      <c r="C544" s="67"/>
      <c r="D544" s="67"/>
      <c r="E544" s="18"/>
      <c r="F544" s="66"/>
      <c r="G544" s="67"/>
      <c r="H544" s="67"/>
      <c r="I544" s="67"/>
    </row>
    <row r="545" spans="1:9" ht="20.25" thickTop="1" thickBot="1">
      <c r="A545" s="72" t="s">
        <v>49</v>
      </c>
      <c r="B545" s="70"/>
      <c r="C545" s="71"/>
      <c r="D545" s="67">
        <f>SUM(D540:D544)</f>
        <v>42450</v>
      </c>
      <c r="E545" s="18"/>
      <c r="F545" s="72" t="s">
        <v>49</v>
      </c>
      <c r="G545" s="70"/>
      <c r="H545" s="71"/>
      <c r="I545" s="67">
        <f>SUM(I540:I544)</f>
        <v>84650</v>
      </c>
    </row>
    <row r="546" spans="1:9" ht="17.25" thickTop="1" thickBot="1">
      <c r="A546" s="68"/>
      <c r="B546" s="18"/>
      <c r="C546" s="18"/>
      <c r="D546" s="18"/>
      <c r="E546" s="18"/>
      <c r="F546" s="69"/>
      <c r="G546" s="18"/>
      <c r="H546" s="18"/>
      <c r="I546" s="18"/>
    </row>
    <row r="547" spans="1:9" ht="20.25" thickTop="1" thickBot="1">
      <c r="A547" s="63" t="s">
        <v>3</v>
      </c>
      <c r="B547" s="64" t="s">
        <v>177</v>
      </c>
      <c r="C547" s="64" t="s">
        <v>178</v>
      </c>
      <c r="D547" s="65">
        <v>45998</v>
      </c>
      <c r="E547" s="18"/>
      <c r="F547" s="63" t="s">
        <v>3</v>
      </c>
      <c r="G547" s="64" t="s">
        <v>73</v>
      </c>
      <c r="H547" s="64" t="s">
        <v>48</v>
      </c>
      <c r="I547" s="65">
        <v>45998</v>
      </c>
    </row>
    <row r="548" spans="1:9" ht="20.25" thickTop="1" thickBot="1">
      <c r="A548" s="66" t="s">
        <v>6</v>
      </c>
      <c r="B548" s="67" t="s">
        <v>7</v>
      </c>
      <c r="C548" s="67" t="s">
        <v>8</v>
      </c>
      <c r="D548" s="67" t="s">
        <v>9</v>
      </c>
      <c r="E548" s="18"/>
      <c r="F548" s="66" t="s">
        <v>6</v>
      </c>
      <c r="G548" s="67" t="s">
        <v>7</v>
      </c>
      <c r="H548" s="67" t="s">
        <v>8</v>
      </c>
      <c r="I548" s="67" t="s">
        <v>9</v>
      </c>
    </row>
    <row r="549" spans="1:9" ht="20.25" thickTop="1" thickBot="1">
      <c r="A549" s="68">
        <v>3.1</v>
      </c>
      <c r="B549" s="67">
        <v>1000000</v>
      </c>
      <c r="C549" s="67">
        <f>VLOOKUP(A549&amp;"|"&amp;B549,$O$3:$P$17,2,FALSE)</f>
        <v>7550</v>
      </c>
      <c r="D549" s="67">
        <f>VLOOKUP(A549&amp;"|"&amp;B549,$Q$3:$R$17,2,FALSE)</f>
        <v>42450</v>
      </c>
      <c r="E549" s="18"/>
      <c r="F549" s="69">
        <v>3.1</v>
      </c>
      <c r="G549" s="67">
        <v>1000000</v>
      </c>
      <c r="H549" s="67">
        <f>VLOOKUP(F549&amp;"|"&amp;G549,$O$3:$P$17,2,FALSE)</f>
        <v>7550</v>
      </c>
      <c r="I549" s="67">
        <f>VLOOKUP(F549&amp;"|"&amp;G549,$Q$3:$R$17,2,FALSE)</f>
        <v>42450</v>
      </c>
    </row>
    <row r="550" spans="1:9" ht="20.25" thickTop="1" thickBot="1">
      <c r="A550" s="66"/>
      <c r="B550" s="67"/>
      <c r="C550" s="67"/>
      <c r="D550" s="67"/>
      <c r="E550" s="18"/>
      <c r="F550" s="66"/>
      <c r="G550" s="67"/>
      <c r="H550" s="67"/>
      <c r="I550" s="67"/>
    </row>
    <row r="551" spans="1:9" ht="20.25" thickTop="1" thickBot="1">
      <c r="A551" s="66"/>
      <c r="B551" s="67"/>
      <c r="C551" s="67"/>
      <c r="D551" s="67"/>
      <c r="E551" s="18"/>
      <c r="F551" s="66"/>
      <c r="G551" s="67"/>
      <c r="H551" s="67"/>
      <c r="I551" s="67"/>
    </row>
    <row r="552" spans="1:9" ht="20.25" thickTop="1" thickBot="1">
      <c r="A552" s="66"/>
      <c r="B552" s="67"/>
      <c r="C552" s="67"/>
      <c r="D552" s="67"/>
      <c r="E552" s="18"/>
      <c r="F552" s="66"/>
      <c r="G552" s="67"/>
      <c r="H552" s="67"/>
      <c r="I552" s="67"/>
    </row>
    <row r="553" spans="1:9" ht="20.25" thickTop="1" thickBot="1">
      <c r="A553" s="66"/>
      <c r="B553" s="67"/>
      <c r="C553" s="67"/>
      <c r="D553" s="67"/>
      <c r="E553" s="18"/>
      <c r="F553" s="66"/>
      <c r="G553" s="67"/>
      <c r="H553" s="67"/>
      <c r="I553" s="67"/>
    </row>
    <row r="554" spans="1:9" ht="20.25" thickTop="1" thickBot="1">
      <c r="A554" s="72" t="s">
        <v>49</v>
      </c>
      <c r="B554" s="70"/>
      <c r="C554" s="71"/>
      <c r="D554" s="67">
        <f>SUM(D549:D553)</f>
        <v>42450</v>
      </c>
      <c r="E554" s="18"/>
      <c r="F554" s="72" t="s">
        <v>49</v>
      </c>
      <c r="G554" s="70"/>
      <c r="H554" s="71"/>
      <c r="I554" s="67">
        <f>SUM(I549:I553)</f>
        <v>42450</v>
      </c>
    </row>
    <row r="555" spans="1:9" ht="17.25" thickTop="1" thickBot="1">
      <c r="A555" s="68"/>
      <c r="B555" s="18"/>
      <c r="C555" s="18"/>
      <c r="D555" s="18"/>
      <c r="E555" s="18"/>
      <c r="F555" s="69"/>
      <c r="G555" s="18"/>
      <c r="H555" s="18"/>
      <c r="I555" s="18"/>
    </row>
    <row r="556" spans="1:9" ht="20.25" thickTop="1" thickBot="1">
      <c r="A556" s="63" t="s">
        <v>3</v>
      </c>
      <c r="B556" s="64" t="s">
        <v>124</v>
      </c>
      <c r="C556" s="64" t="s">
        <v>24</v>
      </c>
      <c r="D556" s="65">
        <v>45998</v>
      </c>
      <c r="E556" s="18"/>
      <c r="F556" s="63" t="s">
        <v>3</v>
      </c>
      <c r="G556" s="64" t="s">
        <v>73</v>
      </c>
      <c r="H556" s="64" t="s">
        <v>179</v>
      </c>
      <c r="I556" s="65">
        <v>45998</v>
      </c>
    </row>
    <row r="557" spans="1:9" ht="20.25" thickTop="1" thickBot="1">
      <c r="A557" s="66" t="s">
        <v>6</v>
      </c>
      <c r="B557" s="67" t="s">
        <v>7</v>
      </c>
      <c r="C557" s="67" t="s">
        <v>8</v>
      </c>
      <c r="D557" s="67" t="s">
        <v>9</v>
      </c>
      <c r="E557" s="18"/>
      <c r="F557" s="66" t="s">
        <v>6</v>
      </c>
      <c r="G557" s="67" t="s">
        <v>7</v>
      </c>
      <c r="H557" s="67" t="s">
        <v>8</v>
      </c>
      <c r="I557" s="67" t="s">
        <v>9</v>
      </c>
    </row>
    <row r="558" spans="1:9" ht="20.25" thickTop="1" thickBot="1">
      <c r="A558" s="68">
        <v>3.1</v>
      </c>
      <c r="B558" s="67">
        <v>1000000</v>
      </c>
      <c r="C558" s="67">
        <f>VLOOKUP(A558&amp;"|"&amp;B558,$O$3:$P$17,2,FALSE)</f>
        <v>7550</v>
      </c>
      <c r="D558" s="67">
        <f>VLOOKUP(A558&amp;"|"&amp;B558,$Q$3:$R$17,2,FALSE)</f>
        <v>42450</v>
      </c>
      <c r="E558" s="18"/>
      <c r="F558" s="69">
        <v>3</v>
      </c>
      <c r="G558" s="67">
        <v>500000</v>
      </c>
      <c r="H558" s="67">
        <f>VLOOKUP(F558&amp;"|"&amp;G558,$O$3:$P$17,2,FALSE)</f>
        <v>3500</v>
      </c>
      <c r="I558" s="67">
        <f>VLOOKUP(F558&amp;"|"&amp;G558,$Q$3:$R$17,2,FALSE)</f>
        <v>21500</v>
      </c>
    </row>
    <row r="559" spans="1:9" ht="20.25" thickTop="1" thickBot="1">
      <c r="A559" s="66"/>
      <c r="B559" s="67"/>
      <c r="C559" s="67"/>
      <c r="D559" s="67"/>
      <c r="E559" s="18"/>
      <c r="F559" s="66"/>
      <c r="G559" s="67"/>
      <c r="H559" s="67"/>
      <c r="I559" s="67"/>
    </row>
    <row r="560" spans="1:9" ht="20.25" thickTop="1" thickBot="1">
      <c r="A560" s="66"/>
      <c r="B560" s="67"/>
      <c r="C560" s="67"/>
      <c r="D560" s="67"/>
      <c r="E560" s="18"/>
      <c r="F560" s="66"/>
      <c r="G560" s="67"/>
      <c r="H560" s="67"/>
      <c r="I560" s="67"/>
    </row>
    <row r="561" spans="1:9" ht="20.25" thickTop="1" thickBot="1">
      <c r="A561" s="66"/>
      <c r="B561" s="67"/>
      <c r="C561" s="67"/>
      <c r="D561" s="67"/>
      <c r="E561" s="18"/>
      <c r="F561" s="66"/>
      <c r="G561" s="67"/>
      <c r="H561" s="67"/>
      <c r="I561" s="67"/>
    </row>
    <row r="562" spans="1:9" ht="20.25" thickTop="1" thickBot="1">
      <c r="A562" s="66"/>
      <c r="B562" s="67"/>
      <c r="C562" s="67"/>
      <c r="D562" s="67"/>
      <c r="E562" s="18"/>
      <c r="F562" s="66"/>
      <c r="G562" s="67"/>
      <c r="H562" s="67"/>
      <c r="I562" s="67"/>
    </row>
    <row r="563" spans="1:9" ht="20.25" thickTop="1" thickBot="1">
      <c r="A563" s="72" t="s">
        <v>49</v>
      </c>
      <c r="B563" s="70"/>
      <c r="C563" s="71"/>
      <c r="D563" s="67">
        <f>SUM(D558:D562)</f>
        <v>42450</v>
      </c>
      <c r="E563" s="18"/>
      <c r="F563" s="72" t="s">
        <v>49</v>
      </c>
      <c r="G563" s="70"/>
      <c r="H563" s="71"/>
      <c r="I563" s="67">
        <f>SUM(I558:I562)</f>
        <v>21500</v>
      </c>
    </row>
    <row r="564" spans="1:9" ht="17.25" thickTop="1" thickBot="1">
      <c r="A564" s="68"/>
      <c r="B564" s="18"/>
      <c r="C564" s="18"/>
      <c r="D564" s="18"/>
      <c r="E564" s="18"/>
      <c r="F564" s="69"/>
      <c r="G564" s="18"/>
      <c r="H564" s="18"/>
      <c r="I564" s="18"/>
    </row>
    <row r="565" spans="1:9" ht="20.25" thickTop="1" thickBot="1">
      <c r="A565" s="63" t="s">
        <v>3</v>
      </c>
      <c r="B565" s="64" t="s">
        <v>180</v>
      </c>
      <c r="C565" s="64" t="s">
        <v>181</v>
      </c>
      <c r="D565" s="65">
        <v>45998</v>
      </c>
      <c r="E565" s="18"/>
      <c r="F565" s="63" t="s">
        <v>3</v>
      </c>
      <c r="G565" s="64" t="s">
        <v>61</v>
      </c>
      <c r="H565" s="64" t="s">
        <v>39</v>
      </c>
      <c r="I565" s="65">
        <v>45998</v>
      </c>
    </row>
    <row r="566" spans="1:9" ht="20.25" thickTop="1" thickBot="1">
      <c r="A566" s="66" t="s">
        <v>6</v>
      </c>
      <c r="B566" s="67" t="s">
        <v>7</v>
      </c>
      <c r="C566" s="67" t="s">
        <v>8</v>
      </c>
      <c r="D566" s="67" t="s">
        <v>9</v>
      </c>
      <c r="E566" s="18"/>
      <c r="F566" s="66" t="s">
        <v>6</v>
      </c>
      <c r="G566" s="67" t="s">
        <v>7</v>
      </c>
      <c r="H566" s="67" t="s">
        <v>8</v>
      </c>
      <c r="I566" s="67" t="s">
        <v>9</v>
      </c>
    </row>
    <row r="567" spans="1:9" ht="20.25" thickTop="1" thickBot="1">
      <c r="A567" s="68">
        <v>3</v>
      </c>
      <c r="B567" s="67">
        <v>500000</v>
      </c>
      <c r="C567" s="67">
        <f>VLOOKUP(A567&amp;"|"&amp;B567,$O$3:$P$17,2,FALSE)</f>
        <v>3500</v>
      </c>
      <c r="D567" s="67">
        <f>VLOOKUP(A567&amp;"|"&amp;B567,$Q$3:$R$17,2,FALSE)</f>
        <v>21500</v>
      </c>
      <c r="E567" s="18"/>
      <c r="F567" s="69">
        <v>3</v>
      </c>
      <c r="G567" s="67">
        <v>500000</v>
      </c>
      <c r="H567" s="67">
        <f>VLOOKUP(F567&amp;"|"&amp;G567,$O$3:$P$17,2,FALSE)</f>
        <v>3500</v>
      </c>
      <c r="I567" s="67">
        <f>VLOOKUP(F567&amp;"|"&amp;G567,$Q$3:$R$17,2,FALSE)</f>
        <v>21500</v>
      </c>
    </row>
    <row r="568" spans="1:9" ht="20.25" thickTop="1" thickBot="1">
      <c r="A568" s="66"/>
      <c r="B568" s="67"/>
      <c r="C568" s="67"/>
      <c r="D568" s="67"/>
      <c r="E568" s="18"/>
      <c r="F568" s="66"/>
      <c r="G568" s="67"/>
      <c r="H568" s="67"/>
      <c r="I568" s="67"/>
    </row>
    <row r="569" spans="1:9" ht="20.25" thickTop="1" thickBot="1">
      <c r="A569" s="66"/>
      <c r="B569" s="67"/>
      <c r="C569" s="67"/>
      <c r="D569" s="67"/>
      <c r="E569" s="18"/>
      <c r="F569" s="66"/>
      <c r="G569" s="67"/>
      <c r="H569" s="67"/>
      <c r="I569" s="67"/>
    </row>
    <row r="570" spans="1:9" ht="20.25" thickTop="1" thickBot="1">
      <c r="A570" s="66"/>
      <c r="B570" s="67"/>
      <c r="C570" s="67"/>
      <c r="D570" s="67"/>
      <c r="E570" s="18"/>
      <c r="F570" s="66"/>
      <c r="G570" s="67"/>
      <c r="H570" s="67"/>
      <c r="I570" s="67"/>
    </row>
    <row r="571" spans="1:9" ht="20.25" thickTop="1" thickBot="1">
      <c r="A571" s="66"/>
      <c r="B571" s="67"/>
      <c r="C571" s="67"/>
      <c r="D571" s="67"/>
      <c r="E571" s="18"/>
      <c r="F571" s="66"/>
      <c r="G571" s="67"/>
      <c r="H571" s="67"/>
      <c r="I571" s="67"/>
    </row>
    <row r="572" spans="1:9" ht="20.25" thickTop="1" thickBot="1">
      <c r="A572" s="72" t="s">
        <v>49</v>
      </c>
      <c r="B572" s="70"/>
      <c r="C572" s="71"/>
      <c r="D572" s="67">
        <f>SUM(D567:D571)</f>
        <v>21500</v>
      </c>
      <c r="E572" s="18"/>
      <c r="F572" s="72" t="s">
        <v>49</v>
      </c>
      <c r="G572" s="70"/>
      <c r="H572" s="71"/>
      <c r="I572" s="67">
        <f>SUM(I567:I571)</f>
        <v>21500</v>
      </c>
    </row>
    <row r="573" spans="1:9" ht="16.5" thickTop="1">
      <c r="A573" s="68"/>
      <c r="B573" s="18"/>
      <c r="C573" s="18"/>
      <c r="D573" s="18"/>
      <c r="E573" s="18"/>
      <c r="F573" s="69"/>
      <c r="G573" s="18"/>
      <c r="H573" s="18"/>
      <c r="I573" s="18"/>
    </row>
    <row r="574" spans="1:9">
      <c r="A574" s="18"/>
      <c r="B574" s="69"/>
      <c r="C574" s="18"/>
      <c r="D574" s="18"/>
      <c r="E574" s="18"/>
      <c r="F574"/>
    </row>
    <row r="575" spans="1:9">
      <c r="A575" s="18"/>
      <c r="B575" s="69"/>
      <c r="C575" s="18"/>
      <c r="D575" s="18"/>
      <c r="E575" s="18"/>
      <c r="F575"/>
    </row>
    <row r="576" spans="1:9">
      <c r="A576" s="18"/>
      <c r="B576" s="69"/>
      <c r="C576" s="18"/>
      <c r="D576" s="18"/>
      <c r="E576" s="18"/>
      <c r="F576"/>
    </row>
    <row r="577" spans="1:6">
      <c r="A577" s="18"/>
      <c r="B577" s="69"/>
      <c r="C577" s="18"/>
      <c r="D577" s="18"/>
      <c r="E577" s="18"/>
      <c r="F577"/>
    </row>
    <row r="578" spans="1:6">
      <c r="A578" s="18"/>
      <c r="B578" s="69"/>
      <c r="C578" s="18"/>
      <c r="D578" s="18"/>
      <c r="E578" s="18"/>
      <c r="F578"/>
    </row>
    <row r="579" spans="1:6">
      <c r="A579" s="18"/>
      <c r="B579" s="69"/>
      <c r="C579" s="18"/>
      <c r="D579" s="18"/>
      <c r="E579" s="18"/>
      <c r="F579"/>
    </row>
    <row r="580" spans="1:6">
      <c r="A580" s="18"/>
      <c r="B580" s="69"/>
      <c r="C580" s="18"/>
      <c r="D580" s="18"/>
      <c r="E580" s="18"/>
      <c r="F580"/>
    </row>
    <row r="581" spans="1:6">
      <c r="A581" s="18"/>
      <c r="B581" s="69"/>
      <c r="C581" s="18"/>
      <c r="D581" s="18"/>
      <c r="E581" s="18"/>
      <c r="F58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36CA-B42F-44F7-A06B-7C98782B86C1}">
  <dimension ref="A1:Z582"/>
  <sheetViews>
    <sheetView workbookViewId="0">
      <selection sqref="A1:XFD1048576"/>
    </sheetView>
  </sheetViews>
  <sheetFormatPr defaultRowHeight="15"/>
  <cols>
    <col min="2" max="2" width="27" customWidth="1"/>
    <col min="3" max="3" width="17.7109375" customWidth="1"/>
    <col min="4" max="4" width="13.42578125" customWidth="1"/>
    <col min="5" max="5" width="2.5703125" customWidth="1"/>
    <col min="7" max="7" width="22.42578125" customWidth="1"/>
    <col min="8" max="8" width="16.5703125" customWidth="1"/>
    <col min="9" max="9" width="24.28515625" customWidth="1"/>
    <col min="10" max="10" width="1.85546875" customWidth="1"/>
    <col min="11" max="11" width="1.140625" customWidth="1"/>
    <col min="12" max="12" width="8.140625" customWidth="1"/>
    <col min="13" max="13" width="11.28515625" customWidth="1"/>
    <col min="14" max="14" width="11.5703125" customWidth="1"/>
    <col min="15" max="15" width="11.28515625" customWidth="1"/>
    <col min="16" max="16" width="12.85546875" customWidth="1"/>
    <col min="17" max="17" width="13.28515625" customWidth="1"/>
    <col min="18" max="18" width="11.5703125" customWidth="1"/>
    <col min="19" max="19" width="1.42578125" customWidth="1"/>
    <col min="20" max="20" width="11.5703125" customWidth="1"/>
    <col min="21" max="21" width="15.28515625" customWidth="1"/>
    <col min="22" max="22" width="13.42578125" customWidth="1"/>
    <col min="23" max="23" width="1.42578125" customWidth="1"/>
    <col min="24" max="24" width="11.7109375" customWidth="1"/>
    <col min="25" max="25" width="15.28515625" customWidth="1"/>
    <col min="26" max="26" width="15.42578125" customWidth="1"/>
  </cols>
  <sheetData>
    <row r="1" spans="1:26" ht="20.25" thickTop="1" thickBot="1">
      <c r="A1" s="8" t="s">
        <v>0</v>
      </c>
      <c r="B1" s="8" t="s">
        <v>1</v>
      </c>
      <c r="C1" s="8" t="s">
        <v>2</v>
      </c>
      <c r="D1" s="9">
        <v>45935</v>
      </c>
      <c r="E1" s="10"/>
      <c r="F1" s="12" t="s">
        <v>3</v>
      </c>
      <c r="G1" s="12" t="s">
        <v>4</v>
      </c>
      <c r="H1" s="12" t="s">
        <v>5</v>
      </c>
      <c r="I1" s="9">
        <v>45935</v>
      </c>
      <c r="J1" s="13"/>
      <c r="L1" s="1"/>
      <c r="M1" s="1"/>
      <c r="N1" s="14"/>
      <c r="O1" s="15"/>
      <c r="P1" s="16"/>
      <c r="Q1" s="15"/>
      <c r="R1" s="17"/>
      <c r="S1" s="1"/>
      <c r="U1" s="1"/>
      <c r="V1" s="5" t="s">
        <v>197</v>
      </c>
      <c r="W1" s="1"/>
      <c r="X1" s="1"/>
      <c r="Y1" s="1"/>
      <c r="Z1" s="1"/>
    </row>
    <row r="2" spans="1:26" ht="25.5" customHeight="1" thickTop="1" thickBot="1">
      <c r="A2" s="8" t="s">
        <v>6</v>
      </c>
      <c r="B2" s="8" t="s">
        <v>7</v>
      </c>
      <c r="C2" s="8" t="s">
        <v>8</v>
      </c>
      <c r="D2" s="8" t="s">
        <v>9</v>
      </c>
      <c r="E2" s="10"/>
      <c r="F2" s="21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8">
        <v>18</v>
      </c>
      <c r="B3" s="8">
        <v>1000000</v>
      </c>
      <c r="C3" s="8">
        <f>VLOOKUP(A3&amp;"|"&amp;B3,$O$3:$P$16,2,FALSE)</f>
        <v>200</v>
      </c>
      <c r="D3" s="8">
        <f>VLOOKUP(A3&amp;"|"&amp;B3,$Q$3:$R$16,2,FALSE)</f>
        <v>49800</v>
      </c>
      <c r="E3" s="10"/>
      <c r="F3" s="21">
        <v>18</v>
      </c>
      <c r="G3" s="21">
        <v>500000</v>
      </c>
      <c r="H3" s="21">
        <f>VLOOKUP(F3&amp;"|"&amp;G3,$O$3:$P$19,2,FALSE)</f>
        <v>150</v>
      </c>
      <c r="I3" s="21">
        <f>VLOOKUP(F3&amp;"|"&amp;G3,$Q$3:$R$19,2,FALSE)</f>
        <v>24850</v>
      </c>
      <c r="J3" s="13"/>
      <c r="K3" s="1"/>
      <c r="L3" s="46">
        <v>12</v>
      </c>
      <c r="M3" s="74">
        <v>500000</v>
      </c>
      <c r="N3" s="46">
        <v>28000</v>
      </c>
      <c r="O3" s="46" t="str">
        <f t="shared" ref="O3:O18" si="0">L3&amp;"|"&amp;M3</f>
        <v>12|500000</v>
      </c>
      <c r="P3" s="46">
        <f t="shared" ref="P3:P18" si="1">N3/20</f>
        <v>1400</v>
      </c>
      <c r="Q3" s="46" t="str">
        <f t="shared" ref="Q3:Q18" si="2">L3&amp;"|"&amp;M3</f>
        <v>12|500000</v>
      </c>
      <c r="R3" s="47">
        <f t="shared" ref="R3:R18" si="3">(M3-N3)/20</f>
        <v>23600</v>
      </c>
      <c r="S3" s="1"/>
      <c r="T3" s="49">
        <f>D8</f>
        <v>72200</v>
      </c>
      <c r="U3" s="49" t="str">
        <f>B1</f>
        <v>SOHANJI</v>
      </c>
      <c r="V3" s="49" t="str">
        <f>C1</f>
        <v>ALWN.CO</v>
      </c>
      <c r="W3" s="1"/>
      <c r="X3" s="49">
        <f>I8</f>
        <v>24850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8">
        <v>7</v>
      </c>
      <c r="B4" s="8">
        <v>500000</v>
      </c>
      <c r="C4" s="8">
        <f>VLOOKUP(A4&amp;"|"&amp;B4,$O$3:$P$16,2,FALSE)</f>
        <v>2600</v>
      </c>
      <c r="D4" s="8">
        <f>VLOOKUP(A4&amp;"|"&amp;B4,$Q$3:$R$16,2,FALSE)</f>
        <v>22400</v>
      </c>
      <c r="E4" s="10"/>
      <c r="F4" s="21"/>
      <c r="G4" s="21"/>
      <c r="H4" s="21"/>
      <c r="I4" s="21"/>
      <c r="J4" s="13"/>
      <c r="K4" s="1"/>
      <c r="L4" s="46">
        <v>12</v>
      </c>
      <c r="M4" s="74">
        <v>250000</v>
      </c>
      <c r="N4" s="45">
        <v>14000</v>
      </c>
      <c r="O4" s="46" t="str">
        <f t="shared" si="0"/>
        <v>12|250000</v>
      </c>
      <c r="P4" s="46">
        <f t="shared" si="1"/>
        <v>700</v>
      </c>
      <c r="Q4" s="46" t="str">
        <f t="shared" si="2"/>
        <v>12|250000</v>
      </c>
      <c r="R4" s="47">
        <f t="shared" si="3"/>
        <v>11800</v>
      </c>
      <c r="S4" s="1"/>
      <c r="T4" s="49">
        <f>D17</f>
        <v>24850</v>
      </c>
      <c r="U4" s="49" t="str">
        <f>B10</f>
        <v>JIVARAMJI</v>
      </c>
      <c r="V4" s="49" t="str">
        <f>C10</f>
        <v>YAMJAL</v>
      </c>
      <c r="W4" s="1"/>
      <c r="X4" s="49">
        <f>I17</f>
        <v>24850</v>
      </c>
      <c r="Y4" s="49" t="str">
        <f>G10</f>
        <v>BHAWARJI</v>
      </c>
      <c r="Z4" s="49" t="str">
        <f>H10</f>
        <v>BAJPLY</v>
      </c>
    </row>
    <row r="5" spans="1:26" ht="20.25" thickTop="1" thickBot="1">
      <c r="A5" s="8"/>
      <c r="B5" s="8"/>
      <c r="C5" s="8"/>
      <c r="D5" s="8"/>
      <c r="E5" s="10"/>
      <c r="F5" s="21"/>
      <c r="G5" s="21"/>
      <c r="H5" s="21"/>
      <c r="I5" s="21"/>
      <c r="J5" s="13"/>
      <c r="K5" s="1"/>
      <c r="L5" s="1">
        <v>7</v>
      </c>
      <c r="M5" s="1">
        <v>2000000</v>
      </c>
      <c r="N5" s="1">
        <v>183000</v>
      </c>
      <c r="O5" s="45" t="str">
        <f t="shared" si="0"/>
        <v>7|2000000</v>
      </c>
      <c r="P5" s="46">
        <f t="shared" si="1"/>
        <v>9150</v>
      </c>
      <c r="Q5" s="45" t="str">
        <f t="shared" si="2"/>
        <v>7|2000000</v>
      </c>
      <c r="R5" s="47">
        <f t="shared" si="3"/>
        <v>90850</v>
      </c>
      <c r="S5" s="1"/>
      <c r="T5" s="49">
        <f>D26</f>
        <v>140650</v>
      </c>
      <c r="U5" s="49" t="str">
        <f>B19</f>
        <v>MANGILALJI</v>
      </c>
      <c r="V5" s="49" t="str">
        <f>C19</f>
        <v>BOLARAM</v>
      </c>
      <c r="W5" s="1"/>
      <c r="X5" s="49">
        <f>I26</f>
        <v>149200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8"/>
      <c r="B6" s="8"/>
      <c r="C6" s="8"/>
      <c r="D6" s="8"/>
      <c r="E6" s="10"/>
      <c r="F6" s="21"/>
      <c r="G6" s="21"/>
      <c r="H6" s="21"/>
      <c r="I6" s="21"/>
      <c r="J6" s="13"/>
      <c r="K6" s="1"/>
      <c r="L6" s="48">
        <v>7</v>
      </c>
      <c r="M6" s="45">
        <v>500000</v>
      </c>
      <c r="N6" s="45">
        <v>52000</v>
      </c>
      <c r="O6" s="45" t="str">
        <f t="shared" si="0"/>
        <v>7|500000</v>
      </c>
      <c r="P6" s="46">
        <f t="shared" si="1"/>
        <v>2600</v>
      </c>
      <c r="Q6" s="45" t="str">
        <f t="shared" si="2"/>
        <v>7|500000</v>
      </c>
      <c r="R6" s="47">
        <f t="shared" si="3"/>
        <v>22400</v>
      </c>
      <c r="S6" s="1"/>
      <c r="T6" s="49">
        <f>D35</f>
        <v>147900</v>
      </c>
      <c r="U6" s="49" t="str">
        <f>B28</f>
        <v>KISHANJI</v>
      </c>
      <c r="V6" s="49" t="str">
        <f>C28</f>
        <v>KAMAN</v>
      </c>
      <c r="W6" s="1"/>
      <c r="X6" s="49">
        <f>I35</f>
        <v>22400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8"/>
      <c r="B7" s="8"/>
      <c r="C7" s="8"/>
      <c r="D7" s="8"/>
      <c r="E7" s="10"/>
      <c r="F7" s="21"/>
      <c r="G7" s="21"/>
      <c r="H7" s="21"/>
      <c r="I7" s="21"/>
      <c r="J7" s="13"/>
      <c r="K7" s="1"/>
      <c r="L7" s="48">
        <v>18.100000000000001</v>
      </c>
      <c r="M7" s="45">
        <v>500000</v>
      </c>
      <c r="N7" s="45">
        <v>2000</v>
      </c>
      <c r="O7" s="45" t="str">
        <f t="shared" si="0"/>
        <v>18.1|500000</v>
      </c>
      <c r="P7" s="46">
        <f t="shared" si="1"/>
        <v>100</v>
      </c>
      <c r="Q7" s="46" t="str">
        <f t="shared" si="2"/>
        <v>18.1|500000</v>
      </c>
      <c r="R7" s="47">
        <f t="shared" si="3"/>
        <v>24900</v>
      </c>
      <c r="S7" s="1"/>
      <c r="T7" s="49">
        <f>D44</f>
        <v>24225</v>
      </c>
      <c r="U7" s="49" t="str">
        <f>B37</f>
        <v>BHONARAMJI</v>
      </c>
      <c r="V7" s="49" t="str">
        <f>C37</f>
        <v>G.MAISAMA</v>
      </c>
      <c r="W7" s="1"/>
      <c r="X7" s="49">
        <f>I44</f>
        <v>140550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87" t="s">
        <v>16</v>
      </c>
      <c r="B8" s="88"/>
      <c r="C8" s="89"/>
      <c r="D8" s="8">
        <f>SUM(D3:D7)</f>
        <v>72200</v>
      </c>
      <c r="E8" s="10"/>
      <c r="F8" s="84" t="s">
        <v>16</v>
      </c>
      <c r="G8" s="85"/>
      <c r="H8" s="86"/>
      <c r="I8" s="21">
        <f>SUM(I3:I7)</f>
        <v>24850</v>
      </c>
      <c r="J8" s="13"/>
      <c r="K8" s="1"/>
      <c r="L8" s="48">
        <v>18</v>
      </c>
      <c r="M8" s="45">
        <v>1000000</v>
      </c>
      <c r="N8" s="45">
        <v>4000</v>
      </c>
      <c r="O8" s="45" t="str">
        <f t="shared" si="0"/>
        <v>18|1000000</v>
      </c>
      <c r="P8" s="46">
        <f t="shared" si="1"/>
        <v>200</v>
      </c>
      <c r="Q8" s="45" t="str">
        <f t="shared" si="2"/>
        <v>18|1000000</v>
      </c>
      <c r="R8" s="47">
        <f t="shared" si="3"/>
        <v>49800</v>
      </c>
      <c r="S8" s="1"/>
      <c r="T8" s="49">
        <f>D53</f>
        <v>24900</v>
      </c>
      <c r="U8" s="49" t="str">
        <f>B46</f>
        <v>RAMESHJI</v>
      </c>
      <c r="V8" s="49" t="str">
        <f>C46</f>
        <v>HITECH</v>
      </c>
      <c r="W8" s="1"/>
      <c r="X8" s="49">
        <f>I53</f>
        <v>24250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41"/>
      <c r="B9" s="40"/>
      <c r="C9" s="41"/>
      <c r="D9" s="41"/>
      <c r="E9" s="42"/>
      <c r="F9" s="42"/>
      <c r="G9" s="42"/>
      <c r="H9" s="42"/>
      <c r="I9" s="42"/>
      <c r="J9" s="13"/>
      <c r="K9" s="1"/>
      <c r="L9" s="48">
        <v>18.100000000000001</v>
      </c>
      <c r="M9" s="45">
        <v>1000000</v>
      </c>
      <c r="N9" s="45">
        <v>6000</v>
      </c>
      <c r="O9" s="45" t="str">
        <f t="shared" si="0"/>
        <v>18.1|1000000</v>
      </c>
      <c r="P9" s="46">
        <f t="shared" si="1"/>
        <v>300</v>
      </c>
      <c r="Q9" s="45" t="str">
        <f t="shared" si="2"/>
        <v>18.1|1000000</v>
      </c>
      <c r="R9" s="47">
        <f t="shared" si="3"/>
        <v>49700</v>
      </c>
      <c r="S9" s="1"/>
      <c r="T9" s="49">
        <f>D62</f>
        <v>91650</v>
      </c>
      <c r="U9" s="49" t="str">
        <f>B55</f>
        <v>SOHANJI</v>
      </c>
      <c r="V9" s="49" t="str">
        <f>C55</f>
        <v>KOTLAPUR</v>
      </c>
      <c r="W9" s="1"/>
      <c r="X9" s="49">
        <f>I62</f>
        <v>64150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1" t="s">
        <v>0</v>
      </c>
      <c r="B10" s="21" t="s">
        <v>17</v>
      </c>
      <c r="C10" s="21" t="s">
        <v>18</v>
      </c>
      <c r="D10" s="9">
        <v>45935</v>
      </c>
      <c r="E10" s="10"/>
      <c r="F10" s="21" t="s">
        <v>0</v>
      </c>
      <c r="G10" s="21" t="s">
        <v>19</v>
      </c>
      <c r="H10" s="21" t="s">
        <v>20</v>
      </c>
      <c r="I10" s="9">
        <v>45935</v>
      </c>
      <c r="J10" s="44"/>
      <c r="K10" s="1"/>
      <c r="L10" s="48">
        <v>15</v>
      </c>
      <c r="M10" s="45">
        <v>500000</v>
      </c>
      <c r="N10" s="45">
        <v>15000</v>
      </c>
      <c r="O10" s="45" t="str">
        <f t="shared" si="0"/>
        <v>15|500000</v>
      </c>
      <c r="P10" s="46">
        <f t="shared" si="1"/>
        <v>750</v>
      </c>
      <c r="Q10" s="45" t="str">
        <f t="shared" si="2"/>
        <v>15|500000</v>
      </c>
      <c r="R10" s="47">
        <f t="shared" si="3"/>
        <v>24250</v>
      </c>
      <c r="S10" s="1"/>
      <c r="T10" s="49">
        <f>D71</f>
        <v>115750</v>
      </c>
      <c r="U10" s="49" t="str">
        <f>B64</f>
        <v>KUNARAMJI</v>
      </c>
      <c r="V10" s="49" t="str">
        <f>C64</f>
        <v>GANDHI NGR</v>
      </c>
      <c r="W10" s="1"/>
      <c r="X10" s="49">
        <f>I71</f>
        <v>47300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1" t="s">
        <v>6</v>
      </c>
      <c r="B11" s="21" t="s">
        <v>7</v>
      </c>
      <c r="C11" s="21" t="s">
        <v>8</v>
      </c>
      <c r="D11" s="21" t="s">
        <v>9</v>
      </c>
      <c r="E11" s="10"/>
      <c r="F11" s="21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48">
        <v>2</v>
      </c>
      <c r="M11" s="45">
        <v>500000</v>
      </c>
      <c r="N11" s="45">
        <v>70000</v>
      </c>
      <c r="O11" s="45" t="str">
        <f t="shared" si="0"/>
        <v>2|500000</v>
      </c>
      <c r="P11" s="46">
        <f t="shared" si="1"/>
        <v>3500</v>
      </c>
      <c r="Q11" s="45" t="str">
        <f t="shared" si="2"/>
        <v>2|500000</v>
      </c>
      <c r="R11" s="47">
        <f t="shared" si="3"/>
        <v>21500</v>
      </c>
      <c r="S11" s="1"/>
      <c r="T11" s="49">
        <f>D85</f>
        <v>364925</v>
      </c>
      <c r="U11" s="49" t="str">
        <f>B73</f>
        <v>MATAJI</v>
      </c>
      <c r="V11" s="49" t="str">
        <f>C73</f>
        <v>G.R</v>
      </c>
      <c r="W11" s="1"/>
      <c r="X11" s="49">
        <f>I85</f>
        <v>384500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21">
        <v>18</v>
      </c>
      <c r="B12" s="21">
        <v>500000</v>
      </c>
      <c r="C12" s="21">
        <f>VLOOKUP(A12&amp;"|"&amp;B12,$O$3:$P$16,2,FALSE)</f>
        <v>150</v>
      </c>
      <c r="D12" s="21">
        <f>VLOOKUP(A12&amp;"|"&amp;B12,$Q$3:$R$16,2,FALSE)</f>
        <v>24850</v>
      </c>
      <c r="E12" s="10"/>
      <c r="F12" s="21">
        <v>18</v>
      </c>
      <c r="G12" s="21">
        <v>500000</v>
      </c>
      <c r="H12" s="21">
        <f>VLOOKUP(F12&amp;"|"&amp;G12,$O$3:$P$16,2,FALSE)</f>
        <v>150</v>
      </c>
      <c r="I12" s="21">
        <f>VLOOKUP(F12&amp;"|"&amp;G12,$Q$3:$R$16,2,FALSE)</f>
        <v>24850</v>
      </c>
      <c r="J12" s="13"/>
      <c r="K12" s="1"/>
      <c r="L12" s="48">
        <v>2</v>
      </c>
      <c r="M12" s="45">
        <v>1000000</v>
      </c>
      <c r="N12" s="45">
        <v>161000</v>
      </c>
      <c r="O12" s="45" t="str">
        <f t="shared" si="0"/>
        <v>2|1000000</v>
      </c>
      <c r="P12" s="46">
        <f t="shared" si="1"/>
        <v>8050</v>
      </c>
      <c r="Q12" s="45" t="str">
        <f t="shared" si="2"/>
        <v>2|1000000</v>
      </c>
      <c r="R12" s="47">
        <f t="shared" si="3"/>
        <v>41950</v>
      </c>
      <c r="S12" s="1"/>
      <c r="T12" s="49">
        <f>D94</f>
        <v>273350</v>
      </c>
      <c r="U12" s="49" t="str">
        <f>B87</f>
        <v>MOHANLALJI</v>
      </c>
      <c r="V12" s="49" t="str">
        <f>C87</f>
        <v>SNT.NAGAR</v>
      </c>
      <c r="W12" s="1"/>
      <c r="X12" s="49">
        <f>I94</f>
        <v>24900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1"/>
      <c r="B13" s="21"/>
      <c r="C13" s="21"/>
      <c r="D13" s="21"/>
      <c r="E13" s="10"/>
      <c r="F13" s="21"/>
      <c r="G13" s="21"/>
      <c r="H13" s="21"/>
      <c r="I13" s="21"/>
      <c r="J13" s="13"/>
      <c r="K13" s="1"/>
      <c r="L13" s="48">
        <v>2.1</v>
      </c>
      <c r="M13" s="1">
        <v>1000000</v>
      </c>
      <c r="N13" s="1">
        <v>165000</v>
      </c>
      <c r="O13" s="45" t="str">
        <f t="shared" si="0"/>
        <v>2.1|1000000</v>
      </c>
      <c r="P13" s="46">
        <f t="shared" si="1"/>
        <v>8250</v>
      </c>
      <c r="Q13" s="45" t="str">
        <f t="shared" si="2"/>
        <v>2.1|1000000</v>
      </c>
      <c r="R13" s="47">
        <f t="shared" si="3"/>
        <v>41750</v>
      </c>
      <c r="S13" s="1"/>
      <c r="T13" s="49">
        <f>D103</f>
        <v>47250</v>
      </c>
      <c r="U13" s="49" t="str">
        <f>B96</f>
        <v>PRAKASHJI</v>
      </c>
      <c r="V13" s="49" t="str">
        <f>C96</f>
        <v>KONDAPUR</v>
      </c>
      <c r="W13" s="1"/>
      <c r="X13" s="49">
        <f>I103</f>
        <v>141450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1"/>
      <c r="B14" s="21"/>
      <c r="C14" s="21"/>
      <c r="D14" s="21"/>
      <c r="E14" s="10"/>
      <c r="F14" s="21"/>
      <c r="G14" s="21"/>
      <c r="H14" s="21"/>
      <c r="I14" s="21"/>
      <c r="J14" s="13" t="s">
        <v>182</v>
      </c>
      <c r="K14" s="1"/>
      <c r="L14" s="48">
        <v>7</v>
      </c>
      <c r="M14" s="45">
        <v>1000000</v>
      </c>
      <c r="N14" s="45">
        <v>90000</v>
      </c>
      <c r="O14" s="45" t="str">
        <f t="shared" si="0"/>
        <v>7|1000000</v>
      </c>
      <c r="P14" s="46">
        <f t="shared" si="1"/>
        <v>4500</v>
      </c>
      <c r="Q14" s="45" t="str">
        <f t="shared" si="2"/>
        <v>7|1000000</v>
      </c>
      <c r="R14" s="47">
        <f t="shared" si="3"/>
        <v>45500</v>
      </c>
      <c r="S14" s="1"/>
      <c r="T14" s="49">
        <f>D112</f>
        <v>24850</v>
      </c>
      <c r="U14" s="49" t="str">
        <f>B105</f>
        <v>NARAYANJI</v>
      </c>
      <c r="V14" s="49" t="str">
        <f>C105</f>
        <v>SHAPUR</v>
      </c>
      <c r="W14" s="1"/>
      <c r="X14" s="49">
        <f>I112</f>
        <v>165500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1"/>
      <c r="B15" s="21"/>
      <c r="C15" s="21"/>
      <c r="D15" s="21"/>
      <c r="E15" s="10"/>
      <c r="F15" s="21"/>
      <c r="G15" s="21"/>
      <c r="H15" s="21"/>
      <c r="I15" s="21"/>
      <c r="J15" s="13"/>
      <c r="K15" s="1"/>
      <c r="L15" s="75">
        <v>18</v>
      </c>
      <c r="M15" s="45">
        <v>500000</v>
      </c>
      <c r="N15" s="45">
        <v>3000</v>
      </c>
      <c r="O15" s="45" t="str">
        <f t="shared" si="0"/>
        <v>18|500000</v>
      </c>
      <c r="P15" s="46">
        <f t="shared" si="1"/>
        <v>150</v>
      </c>
      <c r="Q15" s="45" t="str">
        <f t="shared" si="2"/>
        <v>18|500000</v>
      </c>
      <c r="R15" s="47">
        <f t="shared" si="3"/>
        <v>24850</v>
      </c>
      <c r="S15" s="1"/>
      <c r="T15" s="49">
        <f>D121</f>
        <v>113800</v>
      </c>
      <c r="U15" s="49" t="str">
        <f>B114</f>
        <v>CHENARAMJI</v>
      </c>
      <c r="V15" s="49" t="str">
        <f>C114</f>
        <v>KOTLAPUR</v>
      </c>
      <c r="W15" s="1"/>
      <c r="X15" s="49">
        <f>I121</f>
        <v>140650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1"/>
      <c r="B16" s="21"/>
      <c r="C16" s="21"/>
      <c r="D16" s="21"/>
      <c r="E16" s="2"/>
      <c r="F16" s="21"/>
      <c r="G16" s="21"/>
      <c r="H16" s="21"/>
      <c r="I16" s="21"/>
      <c r="J16" s="13"/>
      <c r="K16" s="1"/>
      <c r="L16" s="45">
        <v>7.1</v>
      </c>
      <c r="M16" s="46">
        <v>1000000</v>
      </c>
      <c r="N16" s="45">
        <v>91500</v>
      </c>
      <c r="O16" s="45" t="str">
        <f t="shared" si="0"/>
        <v>7.1|1000000</v>
      </c>
      <c r="P16" s="46">
        <f t="shared" si="1"/>
        <v>4575</v>
      </c>
      <c r="Q16" s="45" t="str">
        <f t="shared" si="2"/>
        <v>7.1|1000000</v>
      </c>
      <c r="R16" s="47">
        <f t="shared" si="3"/>
        <v>45425</v>
      </c>
      <c r="S16" s="1"/>
      <c r="T16" s="49">
        <f>D130</f>
        <v>115700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160250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84" t="s">
        <v>16</v>
      </c>
      <c r="B17" s="85"/>
      <c r="C17" s="86"/>
      <c r="D17" s="8">
        <f>SUM(D12:D16)</f>
        <v>24850</v>
      </c>
      <c r="E17" s="2"/>
      <c r="F17" s="84" t="s">
        <v>16</v>
      </c>
      <c r="G17" s="85"/>
      <c r="H17" s="86"/>
      <c r="I17" s="21">
        <f>SUM(I12:I16)</f>
        <v>24850</v>
      </c>
      <c r="J17" s="13"/>
      <c r="K17" s="1"/>
      <c r="L17" s="48"/>
      <c r="M17" s="1"/>
      <c r="N17" s="1"/>
      <c r="O17" s="45"/>
      <c r="P17" s="46"/>
      <c r="Q17" s="45"/>
      <c r="R17" s="47"/>
      <c r="S17" s="1"/>
      <c r="T17" s="49">
        <f>D139</f>
        <v>66800</v>
      </c>
      <c r="U17" s="49" t="str">
        <f>B132</f>
        <v>BHUNDARAMJI</v>
      </c>
      <c r="V17" s="49" t="str">
        <f>C132</f>
        <v>MIYAPUR</v>
      </c>
      <c r="W17" s="1"/>
      <c r="X17" s="49">
        <f>I139</f>
        <v>24850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"/>
      <c r="B18" s="3"/>
      <c r="C18" s="3"/>
      <c r="D18" s="3"/>
      <c r="E18" s="3"/>
      <c r="F18" s="42"/>
      <c r="G18" s="42"/>
      <c r="H18" s="42"/>
      <c r="I18" s="42"/>
      <c r="J18" s="13"/>
      <c r="K18" s="1"/>
      <c r="L18" s="48">
        <v>18</v>
      </c>
      <c r="M18" s="1">
        <v>250000</v>
      </c>
      <c r="N18" s="1">
        <v>1500</v>
      </c>
      <c r="O18" s="45" t="str">
        <f t="shared" si="0"/>
        <v>18|250000</v>
      </c>
      <c r="P18" s="46">
        <f t="shared" si="1"/>
        <v>75</v>
      </c>
      <c r="Q18" s="45" t="str">
        <f t="shared" si="2"/>
        <v>18|250000</v>
      </c>
      <c r="R18" s="47">
        <f t="shared" si="3"/>
        <v>12425</v>
      </c>
      <c r="S18" s="1"/>
      <c r="T18" s="49">
        <f>D148</f>
        <v>114650</v>
      </c>
      <c r="U18" s="49" t="str">
        <f>B141</f>
        <v>POKARJI</v>
      </c>
      <c r="V18" s="49" t="str">
        <f>C141</f>
        <v>J GUTTA</v>
      </c>
      <c r="W18" s="1"/>
      <c r="X18" s="49">
        <f>I148</f>
        <v>83700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1" t="s">
        <v>0</v>
      </c>
      <c r="B19" s="21" t="s">
        <v>21</v>
      </c>
      <c r="C19" s="21" t="s">
        <v>22</v>
      </c>
      <c r="D19" s="9">
        <v>45935</v>
      </c>
      <c r="E19" s="2"/>
      <c r="F19" s="21" t="s">
        <v>0</v>
      </c>
      <c r="G19" s="21" t="s">
        <v>23</v>
      </c>
      <c r="H19" s="21" t="s">
        <v>24</v>
      </c>
      <c r="I19" s="9">
        <v>45935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21500</v>
      </c>
      <c r="U19" s="49" t="str">
        <f>B150</f>
        <v>AKASHJI</v>
      </c>
      <c r="V19" s="49" t="str">
        <f>C150</f>
        <v>SNGAREDDY</v>
      </c>
      <c r="W19" s="1"/>
      <c r="X19" s="49">
        <f>I157</f>
        <v>91050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1" t="s">
        <v>6</v>
      </c>
      <c r="B20" s="21" t="s">
        <v>7</v>
      </c>
      <c r="C20" s="21" t="s">
        <v>8</v>
      </c>
      <c r="D20" s="21" t="s">
        <v>9</v>
      </c>
      <c r="E20" s="2"/>
      <c r="F20" s="21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49700</v>
      </c>
      <c r="U20" s="49" t="str">
        <f>B159</f>
        <v>HARISINGHJI</v>
      </c>
      <c r="V20" s="49" t="str">
        <f>C159</f>
        <v>RAMARAM</v>
      </c>
      <c r="W20" s="1"/>
      <c r="X20" s="49">
        <f>I166</f>
        <v>49700</v>
      </c>
      <c r="Y20" s="49" t="str">
        <f>G159</f>
        <v>MANGILALJI</v>
      </c>
      <c r="Z20" s="49" t="str">
        <f>H159</f>
        <v>MALLAPUR</v>
      </c>
    </row>
    <row r="21" spans="1:26" ht="20.25" thickTop="1" thickBot="1">
      <c r="A21" s="21">
        <v>18</v>
      </c>
      <c r="B21" s="21">
        <v>1000000</v>
      </c>
      <c r="C21" s="21">
        <f>VLOOKUP(A21&amp;"|"&amp;B21,$O$3:$P$16,2,FALSE)</f>
        <v>200</v>
      </c>
      <c r="D21" s="21">
        <f>VLOOKUP(A21&amp;"|"&amp;B21,$Q$3:$R$16,2,FALSE)</f>
        <v>49800</v>
      </c>
      <c r="E21" s="2"/>
      <c r="F21" s="21">
        <v>18</v>
      </c>
      <c r="G21" s="21">
        <v>1000000</v>
      </c>
      <c r="H21" s="21">
        <f>VLOOKUP(F21&amp;"|"&amp;G21,$O$3:$P$16,2,FALSE)</f>
        <v>200</v>
      </c>
      <c r="I21" s="21">
        <f>VLOOKUP(F21&amp;"|"&amp;G21,$Q$3:$R$16,2,FALSE)</f>
        <v>49800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>4459750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4263600</v>
      </c>
      <c r="S21" s="1"/>
      <c r="T21" s="49">
        <f>D175</f>
        <v>140700</v>
      </c>
      <c r="U21" s="49" t="str">
        <f>B168</f>
        <v>BHORARAMJI</v>
      </c>
      <c r="V21" s="49" t="str">
        <f>C168</f>
        <v>MIYAPUR</v>
      </c>
      <c r="W21" s="1"/>
      <c r="X21" s="49">
        <f>I175</f>
        <v>73400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1">
        <v>7</v>
      </c>
      <c r="B22" s="21">
        <v>2000000</v>
      </c>
      <c r="C22" s="21">
        <f>VLOOKUP(A22&amp;"|"&amp;B22,$O$3:$P$17,2,FALSE)</f>
        <v>9150</v>
      </c>
      <c r="D22" s="21">
        <f>VLOOKUP(A22&amp;"|"&amp;B22,$Q$3:$R$17,2,FALSE)</f>
        <v>90850</v>
      </c>
      <c r="E22" s="2"/>
      <c r="F22" s="21">
        <v>18.100000000000001</v>
      </c>
      <c r="G22" s="21">
        <v>1000000</v>
      </c>
      <c r="H22" s="21">
        <f>VLOOKUP(F22&amp;"|"&amp;G22,$O$3:$P$16,2,FALSE)</f>
        <v>300</v>
      </c>
      <c r="I22" s="21">
        <f>VLOOKUP(F22&amp;"|"&amp;G22,$Q$3:$R$16,2,FALSE)</f>
        <v>49700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49">
        <f>D184</f>
        <v>115100</v>
      </c>
      <c r="U22" s="49" t="str">
        <f>B177</f>
        <v>MADARAMJI</v>
      </c>
      <c r="V22" s="49" t="str">
        <f>C177</f>
        <v>SHAPUR</v>
      </c>
      <c r="W22" s="1"/>
      <c r="X22" s="49">
        <f>I184</f>
        <v>49700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1"/>
      <c r="B23" s="21"/>
      <c r="C23" s="21"/>
      <c r="D23" s="21"/>
      <c r="E23" s="2"/>
      <c r="F23" s="21">
        <v>18.100000000000001</v>
      </c>
      <c r="G23" s="21">
        <v>1000000</v>
      </c>
      <c r="H23" s="21">
        <f>VLOOKUP(F23&amp;"|"&amp;G23,$O$3:$P$16,2,FALSE)</f>
        <v>300</v>
      </c>
      <c r="I23" s="21">
        <f>VLOOKUP(F23&amp;"|"&amp;G23,$Q$3:$R$16,2,FALSE)</f>
        <v>49700</v>
      </c>
      <c r="J23" s="1"/>
      <c r="K23" s="1"/>
      <c r="L23" s="1"/>
      <c r="M23" s="1"/>
      <c r="N23" s="1"/>
      <c r="O23" s="49">
        <f>SUM(O21,R21)</f>
        <v>8723350</v>
      </c>
      <c r="P23" s="1"/>
      <c r="Q23" s="1"/>
      <c r="R23" s="1"/>
      <c r="S23" s="1"/>
      <c r="T23" s="49">
        <f>D193</f>
        <v>91650</v>
      </c>
      <c r="U23" s="49" t="str">
        <f>B186</f>
        <v>GENARAMJI</v>
      </c>
      <c r="V23" s="49" t="str">
        <f>C186</f>
        <v>J GUTTA</v>
      </c>
      <c r="W23" s="1"/>
      <c r="X23" s="49">
        <f>I193</f>
        <v>24900</v>
      </c>
      <c r="Y23" s="49" t="str">
        <f>G186</f>
        <v>NARENDRAJI</v>
      </c>
      <c r="Z23" s="49" t="str">
        <f>H186</f>
        <v>SACHINJI</v>
      </c>
    </row>
    <row r="24" spans="1:26" ht="20.25" thickTop="1" thickBot="1">
      <c r="A24" s="21"/>
      <c r="B24" s="21"/>
      <c r="C24" s="21"/>
      <c r="D24" s="21"/>
      <c r="E24" s="2"/>
      <c r="F24" s="21"/>
      <c r="G24" s="21"/>
      <c r="H24" s="21"/>
      <c r="I24" s="21"/>
      <c r="J24" s="1"/>
      <c r="K24" s="1"/>
      <c r="L24" s="1"/>
      <c r="M24" s="1"/>
      <c r="N24" s="1" t="s">
        <v>26</v>
      </c>
      <c r="O24" s="1"/>
      <c r="P24" s="1"/>
      <c r="Q24" s="1"/>
      <c r="R24" s="1"/>
      <c r="S24" s="1"/>
      <c r="T24" s="49">
        <f>D202</f>
        <v>95200</v>
      </c>
      <c r="U24" s="49" t="str">
        <f>B195</f>
        <v>HONARAMJI</v>
      </c>
      <c r="V24" s="49" t="str">
        <f>C195</f>
        <v>RAMARAM</v>
      </c>
      <c r="W24" s="1"/>
      <c r="X24" s="49">
        <f>I202</f>
        <v>49800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1"/>
      <c r="B25" s="21"/>
      <c r="C25" s="21"/>
      <c r="D25" s="21"/>
      <c r="E25" s="2"/>
      <c r="F25" s="21"/>
      <c r="G25" s="21"/>
      <c r="H25" s="21"/>
      <c r="I25" s="21"/>
      <c r="J25" s="1"/>
      <c r="K25" s="1"/>
      <c r="L25" s="1"/>
      <c r="M25" s="1" t="s">
        <v>182</v>
      </c>
      <c r="N25" s="1"/>
      <c r="O25" s="49"/>
      <c r="P25" s="1"/>
      <c r="Q25" s="1"/>
      <c r="R25" s="1"/>
      <c r="S25" s="1"/>
      <c r="T25" s="49">
        <f>D211</f>
        <v>99500</v>
      </c>
      <c r="U25" s="49" t="str">
        <f>B204</f>
        <v>KAILASHJI</v>
      </c>
      <c r="V25" s="49" t="str">
        <f>C204</f>
        <v>SHIVAMPET</v>
      </c>
      <c r="W25" s="1"/>
      <c r="X25" s="49">
        <f>I211</f>
        <v>87250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84" t="s">
        <v>16</v>
      </c>
      <c r="B26" s="85"/>
      <c r="C26" s="86"/>
      <c r="D26" s="8">
        <f>SUM(D21:D25)</f>
        <v>140650</v>
      </c>
      <c r="E26" s="2"/>
      <c r="F26" s="84" t="s">
        <v>27</v>
      </c>
      <c r="G26" s="85"/>
      <c r="H26" s="86"/>
      <c r="I26" s="21">
        <f>SUM(I21:I25)</f>
        <v>149200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9">
        <f>D220</f>
        <v>21500</v>
      </c>
      <c r="U26" s="49" t="str">
        <f>B213</f>
        <v>PRAKASHJI</v>
      </c>
      <c r="V26" s="49" t="str">
        <f>C213</f>
        <v>GUTTA</v>
      </c>
      <c r="W26" s="1"/>
      <c r="X26" s="49">
        <f>I220</f>
        <v>45750</v>
      </c>
      <c r="Y26" s="49" t="str">
        <f>G213</f>
        <v>RAMESHJI</v>
      </c>
      <c r="Z26" s="49" t="str">
        <f>H213</f>
        <v>RR NAGAR</v>
      </c>
    </row>
    <row r="27" spans="1:26" ht="16.5" thickTop="1" thickBo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23600</v>
      </c>
      <c r="U27" s="49" t="str">
        <f>B222</f>
        <v>GENARAMJI</v>
      </c>
      <c r="V27" s="49" t="str">
        <f>C222</f>
        <v>RAMARAM</v>
      </c>
      <c r="W27" s="1"/>
      <c r="X27" s="49">
        <f>I229</f>
        <v>23600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1" t="s">
        <v>0</v>
      </c>
      <c r="B28" s="21" t="s">
        <v>187</v>
      </c>
      <c r="C28" s="21" t="s">
        <v>28</v>
      </c>
      <c r="D28" s="9">
        <v>45935</v>
      </c>
      <c r="E28" s="2"/>
      <c r="F28" s="21" t="s">
        <v>0</v>
      </c>
      <c r="G28" s="21" t="s">
        <v>29</v>
      </c>
      <c r="H28" s="21" t="s">
        <v>30</v>
      </c>
      <c r="I28" s="9">
        <v>45935</v>
      </c>
      <c r="J28" s="1"/>
      <c r="K28" s="1"/>
      <c r="L28" s="1"/>
      <c r="M28" s="1"/>
      <c r="O28" s="1"/>
      <c r="P28" s="1"/>
      <c r="Q28" s="1"/>
      <c r="R28" s="1"/>
      <c r="S28" s="1"/>
      <c r="T28" s="49">
        <f>D238</f>
        <v>22400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90850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1" t="s">
        <v>6</v>
      </c>
      <c r="B29" s="21" t="s">
        <v>7</v>
      </c>
      <c r="C29" s="21" t="s">
        <v>8</v>
      </c>
      <c r="D29" s="21" t="s">
        <v>9</v>
      </c>
      <c r="E29" s="2"/>
      <c r="F29" s="21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43000</v>
      </c>
      <c r="U29" s="49" t="str">
        <f>B240</f>
        <v>RAMESHJI</v>
      </c>
      <c r="V29" s="49" t="str">
        <f>C240</f>
        <v>KONDAPUR</v>
      </c>
      <c r="W29" s="1"/>
      <c r="X29" s="49">
        <f>I247</f>
        <v>223050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21">
        <v>18.100000000000001</v>
      </c>
      <c r="B30" s="21">
        <v>1000000</v>
      </c>
      <c r="C30" s="21">
        <f>VLOOKUP(A30&amp;"|"&amp;B30,$O$3:$P$16,2,FALSE)</f>
        <v>300</v>
      </c>
      <c r="D30" s="21">
        <f>VLOOKUP(A30&amp;"|"&amp;B30,$Q$3:$R$16,2,FALSE)</f>
        <v>49700</v>
      </c>
      <c r="E30" s="2"/>
      <c r="F30" s="21">
        <v>7</v>
      </c>
      <c r="G30" s="21">
        <v>500000</v>
      </c>
      <c r="H30" s="21">
        <f>VLOOKUP(F30&amp;"|"&amp;G30,$O$3:$P$16,2,FALSE)</f>
        <v>2600</v>
      </c>
      <c r="I30" s="21">
        <f>VLOOKUP(F30&amp;"|"&amp;G30,$Q$3:$R$16,2,FALSE)</f>
        <v>22400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49">
        <f>D256</f>
        <v>83700</v>
      </c>
      <c r="U30" s="49" t="str">
        <f>B249</f>
        <v>OMJI</v>
      </c>
      <c r="V30" s="49" t="str">
        <f>C249</f>
        <v>IDPL</v>
      </c>
      <c r="W30" s="1"/>
      <c r="X30" s="49">
        <f>I256</f>
        <v>23600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21">
        <v>15</v>
      </c>
      <c r="B31" s="21">
        <v>500000</v>
      </c>
      <c r="C31" s="21">
        <f>VLOOKUP(A31&amp;"|"&amp;B31,$O$3:$P$16,2,FALSE)</f>
        <v>750</v>
      </c>
      <c r="D31" s="21">
        <f>VLOOKUP(A31&amp;"|"&amp;B31,$Q$3:$R$16,2,FALSE)</f>
        <v>24250</v>
      </c>
      <c r="E31" s="2"/>
      <c r="F31" s="21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70350</v>
      </c>
      <c r="U31" s="49" t="str">
        <f>B258</f>
        <v>HEMARAMJI</v>
      </c>
      <c r="V31" s="49" t="str">
        <f>C258</f>
        <v>YAMJAL</v>
      </c>
      <c r="W31" s="1"/>
      <c r="X31" s="49">
        <f>I265</f>
        <v>43000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21">
        <v>15</v>
      </c>
      <c r="B32" s="21">
        <v>500000</v>
      </c>
      <c r="C32" s="21">
        <f>VLOOKUP(A32&amp;"|"&amp;B32,$O$3:$P$16,2,FALSE)</f>
        <v>750</v>
      </c>
      <c r="D32" s="21">
        <f>VLOOKUP(A32&amp;"|"&amp;B32,$Q$3:$R$16,2,FALSE)</f>
        <v>24250</v>
      </c>
      <c r="E32" s="2"/>
      <c r="F32" s="21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22400</v>
      </c>
      <c r="U32" s="49" t="str">
        <f>B267</f>
        <v>DURGARAMJI</v>
      </c>
      <c r="V32" s="49" t="str">
        <f>C267</f>
        <v>RAMARAM</v>
      </c>
      <c r="W32" s="1"/>
      <c r="X32" s="49">
        <f>I274</f>
        <v>22400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21">
        <v>18.100000000000001</v>
      </c>
      <c r="B33" s="21">
        <v>1000000</v>
      </c>
      <c r="C33" s="21">
        <f>VLOOKUP(A33&amp;"|"&amp;B33,$O$3:$P$16,2,FALSE)</f>
        <v>300</v>
      </c>
      <c r="D33" s="21">
        <f>VLOOKUP(A33&amp;"|"&amp;B33,$Q$3:$R$16,2,FALSE)</f>
        <v>49700</v>
      </c>
      <c r="E33" s="2"/>
      <c r="F33" s="21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87450</v>
      </c>
      <c r="U33" s="49" t="str">
        <f>B276</f>
        <v>DHANARAMJI</v>
      </c>
      <c r="V33" s="49" t="str">
        <f>C276</f>
        <v>KAMAN</v>
      </c>
      <c r="W33" s="1"/>
      <c r="X33" s="49">
        <f>I284</f>
        <v>184600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1"/>
      <c r="B34" s="21"/>
      <c r="C34" s="21"/>
      <c r="D34" s="21"/>
      <c r="E34" s="2"/>
      <c r="F34" s="21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113250</v>
      </c>
      <c r="U34" s="49" t="str">
        <f>B286</f>
        <v>KHUSHVIRJI</v>
      </c>
      <c r="V34" s="49" t="str">
        <f>C286</f>
        <v>MEDCHAL</v>
      </c>
      <c r="W34" s="1"/>
      <c r="X34" s="49">
        <f>I293</f>
        <v>117600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84" t="s">
        <v>16</v>
      </c>
      <c r="B35" s="85"/>
      <c r="C35" s="86"/>
      <c r="D35" s="8">
        <f>SUM(D30:D34)</f>
        <v>147900</v>
      </c>
      <c r="E35" s="2"/>
      <c r="F35" s="84" t="s">
        <v>16</v>
      </c>
      <c r="G35" s="85"/>
      <c r="H35" s="86"/>
      <c r="I35" s="21">
        <f>SUM(I30:I34)</f>
        <v>22400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164900</v>
      </c>
      <c r="U35" s="49" t="str">
        <f>B295</f>
        <v>MUNJI</v>
      </c>
      <c r="V35" s="49" t="str">
        <f>C295</f>
        <v>RAMARAM</v>
      </c>
      <c r="W35" s="1"/>
      <c r="X35" s="49">
        <f>I302</f>
        <v>136350</v>
      </c>
      <c r="Y35" s="49" t="str">
        <f>G295</f>
        <v>JAIRUPRAMJI</v>
      </c>
      <c r="Z35" s="49" t="str">
        <f>H295</f>
        <v>RMTPUR</v>
      </c>
    </row>
    <row r="36" spans="1:26" ht="16.5" thickTop="1" thickBo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87450</v>
      </c>
      <c r="U36" s="49" t="str">
        <f>B304</f>
        <v>RAMESHJI</v>
      </c>
      <c r="V36" s="49" t="str">
        <f>C304</f>
        <v>ALWN COL</v>
      </c>
      <c r="W36" s="1"/>
      <c r="X36" s="49">
        <f>I311</f>
        <v>45500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1" t="s">
        <v>0</v>
      </c>
      <c r="B37" s="21" t="s">
        <v>31</v>
      </c>
      <c r="C37" s="21" t="s">
        <v>32</v>
      </c>
      <c r="D37" s="9">
        <v>45935</v>
      </c>
      <c r="E37" s="2"/>
      <c r="F37" s="21" t="s">
        <v>0</v>
      </c>
      <c r="G37" s="21" t="s">
        <v>33</v>
      </c>
      <c r="H37" s="21" t="s">
        <v>34</v>
      </c>
      <c r="I37" s="9">
        <v>45935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46000</v>
      </c>
      <c r="U37" s="49" t="str">
        <f>B313</f>
        <v>OM</v>
      </c>
      <c r="V37" s="49" t="str">
        <f>C313</f>
        <v>J GUTTA</v>
      </c>
      <c r="W37" s="1"/>
      <c r="X37" s="49">
        <f>I320</f>
        <v>24850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1" t="s">
        <v>6</v>
      </c>
      <c r="B38" s="21" t="s">
        <v>7</v>
      </c>
      <c r="C38" s="21" t="s">
        <v>8</v>
      </c>
      <c r="D38" s="21" t="s">
        <v>9</v>
      </c>
      <c r="E38" s="2"/>
      <c r="F38" s="21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21500</v>
      </c>
      <c r="U38" s="49" t="str">
        <f>B322</f>
        <v>BABULALJI</v>
      </c>
      <c r="V38" s="49" t="str">
        <f>C322</f>
        <v>CHILKA NGR</v>
      </c>
      <c r="W38" s="1"/>
      <c r="X38" s="49">
        <f>I329</f>
        <v>23600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21">
        <v>12</v>
      </c>
      <c r="B39" s="21">
        <v>250000</v>
      </c>
      <c r="C39" s="21">
        <f>VLOOKUP(A39&amp;"|"&amp;B39,$O$3:$P$16,2,FALSE)</f>
        <v>700</v>
      </c>
      <c r="D39" s="21">
        <f>VLOOKUP(A39&amp;"|"&amp;B39,$Q$3:$R$16,2,FALSE)</f>
        <v>11800</v>
      </c>
      <c r="E39" s="2"/>
      <c r="F39" s="21">
        <v>18.100000000000001</v>
      </c>
      <c r="G39" s="21">
        <v>1000000</v>
      </c>
      <c r="H39" s="21">
        <f>VLOOKUP(F39&amp;"|"&amp;G39,$O$3:$P$16,2,FALSE)</f>
        <v>300</v>
      </c>
      <c r="I39" s="21">
        <f>VLOOKUP(F39&amp;"|"&amp;G39,$Q$3:$R$16,2,FALSE)</f>
        <v>49700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47850</v>
      </c>
      <c r="U39" s="49" t="str">
        <f>B331</f>
        <v>MUKESHJI</v>
      </c>
      <c r="V39" s="49" t="str">
        <f>C331</f>
        <v>RAMARAM</v>
      </c>
      <c r="W39" s="1"/>
      <c r="X39" s="49">
        <f>I338</f>
        <v>23600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21">
        <v>18</v>
      </c>
      <c r="B40" s="21">
        <v>250000</v>
      </c>
      <c r="C40" s="21">
        <f>VLOOKUP(A40&amp;"|"&amp;B40,$O$3:$P$18,2,FALSE)</f>
        <v>75</v>
      </c>
      <c r="D40" s="21">
        <f>VLOOKUP(A40&amp;"|"&amp;B40,$Q$3:$R$18,2,FALSE)</f>
        <v>12425</v>
      </c>
      <c r="E40" s="2"/>
      <c r="F40" s="21">
        <v>7</v>
      </c>
      <c r="G40" s="21">
        <v>2000000</v>
      </c>
      <c r="H40" s="21">
        <f>VLOOKUP(F40&amp;"|"&amp;G40,$O$3:$P$16,2,FALSE)</f>
        <v>9150</v>
      </c>
      <c r="I40" s="21">
        <f>VLOOKUP(F40&amp;"|"&amp;G40,$Q$3:$R$16,2,FALSE)</f>
        <v>90850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24250</v>
      </c>
      <c r="U40" s="49" t="str">
        <f>B340</f>
        <v>MISRILALJI</v>
      </c>
      <c r="V40" s="49" t="str">
        <f>C340</f>
        <v>MEDCHAL</v>
      </c>
      <c r="W40" s="1"/>
      <c r="X40" s="49">
        <f>I347</f>
        <v>21500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1"/>
      <c r="B41" s="21"/>
      <c r="C41" s="21"/>
      <c r="D41" s="21"/>
      <c r="E41" s="2"/>
      <c r="F41" s="21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24850</v>
      </c>
      <c r="U41" s="49" t="str">
        <f>B349</f>
        <v>GOVIND</v>
      </c>
      <c r="V41" s="49" t="str">
        <f>C349</f>
        <v>PPR NGR</v>
      </c>
      <c r="W41" s="1"/>
      <c r="X41" s="49">
        <f>I356</f>
        <v>21500</v>
      </c>
      <c r="Y41" s="49" t="str">
        <f>G349</f>
        <v>NEMJI</v>
      </c>
      <c r="Z41" s="49" t="str">
        <f>H349</f>
        <v>SUCHITRA</v>
      </c>
    </row>
    <row r="42" spans="1:26" ht="20.25" thickTop="1" thickBot="1">
      <c r="A42" s="21"/>
      <c r="B42" s="21"/>
      <c r="C42" s="21"/>
      <c r="D42" s="21"/>
      <c r="E42" s="2"/>
      <c r="F42" s="21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64150</v>
      </c>
      <c r="U42" s="49" t="str">
        <f>B358</f>
        <v>SOHANLALJI</v>
      </c>
      <c r="V42" s="49" t="str">
        <f>C358</f>
        <v>RR NGR</v>
      </c>
      <c r="W42" s="1"/>
      <c r="X42" s="49">
        <f>I365</f>
        <v>24250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1"/>
      <c r="B43" s="21"/>
      <c r="C43" s="21"/>
      <c r="D43" s="21"/>
      <c r="E43" s="2"/>
      <c r="F43" s="21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67000</v>
      </c>
      <c r="U43" s="49" t="str">
        <f>B367</f>
        <v>KISHANJI</v>
      </c>
      <c r="V43" s="49" t="str">
        <f>C367</f>
        <v>KAMAN</v>
      </c>
      <c r="W43" s="1"/>
      <c r="X43" s="49">
        <f>I374</f>
        <v>24250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84" t="s">
        <v>16</v>
      </c>
      <c r="B44" s="85"/>
      <c r="C44" s="86"/>
      <c r="D44" s="8">
        <f>SUM(D39:D43)</f>
        <v>24225</v>
      </c>
      <c r="E44" s="2"/>
      <c r="F44" s="84" t="s">
        <v>16</v>
      </c>
      <c r="G44" s="85"/>
      <c r="H44" s="86"/>
      <c r="I44" s="21">
        <f>SUM(I39:I43)</f>
        <v>140550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22400</v>
      </c>
      <c r="U44" s="49" t="str">
        <f>B376</f>
        <v>RAMESHJI</v>
      </c>
      <c r="V44" s="49" t="str">
        <f>C376</f>
        <v>SHAPUR</v>
      </c>
      <c r="W44" s="1"/>
      <c r="X44" s="49">
        <f>I383</f>
        <v>22400</v>
      </c>
      <c r="Y44" s="49" t="str">
        <f>G376</f>
        <v>OMJI</v>
      </c>
      <c r="Z44" s="49" t="str">
        <f>H376</f>
        <v>SEC</v>
      </c>
    </row>
    <row r="45" spans="1:26" ht="16.5" thickTop="1" thickBo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99500</v>
      </c>
      <c r="U45" s="49" t="str">
        <f>B385</f>
        <v>MISRILALJI</v>
      </c>
      <c r="V45" s="49" t="str">
        <f>C385</f>
        <v>SEC</v>
      </c>
      <c r="W45" s="1"/>
      <c r="X45" s="49">
        <f>I392</f>
        <v>23600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1" t="s">
        <v>0</v>
      </c>
      <c r="B46" s="21" t="s">
        <v>35</v>
      </c>
      <c r="C46" s="21" t="s">
        <v>36</v>
      </c>
      <c r="D46" s="9">
        <v>45935</v>
      </c>
      <c r="E46" s="2"/>
      <c r="F46" s="21" t="s">
        <v>0</v>
      </c>
      <c r="G46" s="21" t="s">
        <v>37</v>
      </c>
      <c r="H46" s="21" t="s">
        <v>38</v>
      </c>
      <c r="I46" s="9">
        <v>45935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49800</v>
      </c>
      <c r="U46" s="49" t="str">
        <f>B394</f>
        <v>BAGDARAMJI</v>
      </c>
      <c r="V46" s="49" t="str">
        <f>C394</f>
        <v>GANDHINGR</v>
      </c>
      <c r="W46" s="1"/>
      <c r="X46" s="49">
        <f>I401</f>
        <v>45500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1" t="s">
        <v>6</v>
      </c>
      <c r="B47" s="21" t="s">
        <v>7</v>
      </c>
      <c r="C47" s="21" t="s">
        <v>8</v>
      </c>
      <c r="D47" s="21" t="s">
        <v>9</v>
      </c>
      <c r="E47" s="2"/>
      <c r="F47" s="21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49700</v>
      </c>
      <c r="U47" s="1" t="str">
        <f>B403</f>
        <v>NEMARANJI</v>
      </c>
      <c r="V47" s="1" t="str">
        <f>C403</f>
        <v>INDERSUM</v>
      </c>
      <c r="W47" s="1"/>
      <c r="X47" s="49">
        <f>I410</f>
        <v>46350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21">
        <v>18.100000000000001</v>
      </c>
      <c r="B48" s="21">
        <v>500000</v>
      </c>
      <c r="C48" s="21">
        <f>VLOOKUP(A48&amp;"|"&amp;B48,$O$3:$P$16,2,FALSE)</f>
        <v>100</v>
      </c>
      <c r="D48" s="21">
        <f>VLOOKUP(A48&amp;"|"&amp;B48,$Q$3:$R$16,2,FALSE)</f>
        <v>24900</v>
      </c>
      <c r="E48" s="2"/>
      <c r="F48" s="21">
        <v>15</v>
      </c>
      <c r="G48" s="21">
        <v>500000</v>
      </c>
      <c r="H48" s="21">
        <f>VLOOKUP(F48&amp;"|"&amp;G48,$O$3:$P$16,2,FALSE)</f>
        <v>750</v>
      </c>
      <c r="I48" s="21">
        <f>VLOOKUP(F48&amp;"|"&amp;G48,$Q$3:$R$16,2,FALSE)</f>
        <v>24250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22400</v>
      </c>
      <c r="U48" s="1" t="str">
        <f>B412</f>
        <v>HEMANTJI</v>
      </c>
      <c r="V48" s="1" t="str">
        <f>C412</f>
        <v>SURARAM</v>
      </c>
      <c r="W48" s="1"/>
      <c r="X48" s="49">
        <f>I419</f>
        <v>41950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1"/>
      <c r="B49" s="21"/>
      <c r="C49" s="21"/>
      <c r="D49" s="21"/>
      <c r="E49" s="2"/>
      <c r="F49" s="21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45500</v>
      </c>
      <c r="U49" s="1" t="str">
        <f>B421</f>
        <v>RAJUJI</v>
      </c>
      <c r="V49" s="1" t="str">
        <f>C421</f>
        <v>SHAPUR</v>
      </c>
      <c r="W49" s="1"/>
      <c r="X49" s="49">
        <f>I428</f>
        <v>90850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1"/>
      <c r="B50" s="21"/>
      <c r="C50" s="21"/>
      <c r="D50" s="21"/>
      <c r="E50" s="2"/>
      <c r="F50" s="21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45500</v>
      </c>
      <c r="U50" s="1" t="str">
        <f>B430</f>
        <v>GOUTAMJI</v>
      </c>
      <c r="V50" s="1" t="str">
        <f>C430</f>
        <v>RAMARAM</v>
      </c>
      <c r="W50" s="1"/>
      <c r="X50" s="49">
        <f>I437</f>
        <v>45500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1"/>
      <c r="B51" s="21"/>
      <c r="C51" s="21"/>
      <c r="D51" s="21"/>
      <c r="E51" s="2"/>
      <c r="F51" s="21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21500</v>
      </c>
      <c r="U51" s="1" t="str">
        <f>B439</f>
        <v>BHERARAMJI</v>
      </c>
      <c r="V51" s="1" t="str">
        <f>C439</f>
        <v>SURARAM</v>
      </c>
      <c r="W51" s="1"/>
      <c r="X51" s="49">
        <f>I446</f>
        <v>90850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1"/>
      <c r="B52" s="21"/>
      <c r="C52" s="21"/>
      <c r="D52" s="21"/>
      <c r="E52" s="2"/>
      <c r="F52" s="21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41950</v>
      </c>
      <c r="U52" s="1" t="str">
        <f>B448</f>
        <v>MISRILALJI</v>
      </c>
      <c r="V52" s="1" t="str">
        <f>C448</f>
        <v>GUTTA</v>
      </c>
      <c r="W52" s="1"/>
      <c r="X52" s="49">
        <f>I455</f>
        <v>41750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84" t="s">
        <v>16</v>
      </c>
      <c r="B53" s="85"/>
      <c r="C53" s="86"/>
      <c r="D53" s="8">
        <f>SUM(D48:D52)</f>
        <v>24900</v>
      </c>
      <c r="E53" s="2"/>
      <c r="F53" s="84" t="s">
        <v>16</v>
      </c>
      <c r="G53" s="85"/>
      <c r="H53" s="86"/>
      <c r="I53" s="21">
        <f>SUM(I48:I52)</f>
        <v>24250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70350</v>
      </c>
      <c r="U53" s="1" t="str">
        <f>B457</f>
        <v>RAMESHJI</v>
      </c>
      <c r="V53" s="1" t="str">
        <f>C457</f>
        <v>BOOK GUTA</v>
      </c>
      <c r="W53" s="1"/>
      <c r="X53" s="49">
        <f>I464</f>
        <v>45500</v>
      </c>
      <c r="Y53" s="1" t="str">
        <f>G457</f>
        <v>HEERJI</v>
      </c>
      <c r="Z53" s="1" t="str">
        <f>H457</f>
        <v>HANUMAN NG</v>
      </c>
    </row>
    <row r="54" spans="1:26" ht="16.5" thickTop="1" thickBo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91750</v>
      </c>
      <c r="U54" s="1" t="str">
        <f>B466</f>
        <v>VALARAMJI</v>
      </c>
      <c r="V54" s="1" t="str">
        <f>C466</f>
        <v>CHINTAL</v>
      </c>
      <c r="W54" s="1"/>
      <c r="X54" s="49">
        <f>I473</f>
        <v>49800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1" t="s">
        <v>0</v>
      </c>
      <c r="B55" s="21" t="s">
        <v>1</v>
      </c>
      <c r="C55" s="21" t="s">
        <v>39</v>
      </c>
      <c r="D55" s="9">
        <v>45935</v>
      </c>
      <c r="E55" s="2"/>
      <c r="F55" s="21" t="s">
        <v>0</v>
      </c>
      <c r="G55" s="21" t="s">
        <v>40</v>
      </c>
      <c r="H55" s="21" t="s">
        <v>41</v>
      </c>
      <c r="I55" s="9">
        <v>45935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24850</v>
      </c>
      <c r="U55" s="1" t="str">
        <f>B475</f>
        <v>NARAYANLALJI</v>
      </c>
      <c r="V55" s="1" t="str">
        <f>C475</f>
        <v>SURARAM</v>
      </c>
      <c r="W55" s="49"/>
      <c r="X55" s="49">
        <f>I482</f>
        <v>21500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1" t="s">
        <v>6</v>
      </c>
      <c r="B56" s="21" t="s">
        <v>7</v>
      </c>
      <c r="C56" s="21" t="s">
        <v>8</v>
      </c>
      <c r="D56" s="21" t="s">
        <v>9</v>
      </c>
      <c r="E56" s="2"/>
      <c r="F56" s="21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48500</v>
      </c>
      <c r="U56" s="1" t="s">
        <v>42</v>
      </c>
      <c r="V56" s="1" t="s">
        <v>43</v>
      </c>
      <c r="W56" s="1"/>
      <c r="X56" s="49">
        <f>I491</f>
        <v>22400</v>
      </c>
      <c r="Y56" s="1" t="s">
        <v>44</v>
      </c>
      <c r="Z56" s="1" t="s">
        <v>43</v>
      </c>
    </row>
    <row r="57" spans="1:26" ht="20.25" thickTop="1" thickBot="1">
      <c r="A57" s="21">
        <v>18.100000000000001</v>
      </c>
      <c r="B57" s="21">
        <v>1000000</v>
      </c>
      <c r="C57" s="21">
        <f>VLOOKUP(A57&amp;"|"&amp;B57,$O$3:$P$16,2,FALSE)</f>
        <v>300</v>
      </c>
      <c r="D57" s="21">
        <f>VLOOKUP(A57&amp;"|"&amp;B57,$Q$3:$R$16,2,FALSE)</f>
        <v>49700</v>
      </c>
      <c r="E57" s="2"/>
      <c r="F57" s="21">
        <v>2.1</v>
      </c>
      <c r="G57" s="21">
        <v>1000000</v>
      </c>
      <c r="H57" s="21">
        <f>VLOOKUP(F57&amp;"|"&amp;G57,$O$3:$P$19,2,FALSE)</f>
        <v>8250</v>
      </c>
      <c r="I57" s="21">
        <f>VLOOKUP(F57&amp;"|"&amp;G57,$Q$3:$R$19,2,FALSE)</f>
        <v>41750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23600</v>
      </c>
      <c r="U57" s="1" t="str">
        <f>B493</f>
        <v>CHANDARAMJI</v>
      </c>
      <c r="V57" s="1" t="str">
        <f>C493</f>
        <v>SURARAM</v>
      </c>
      <c r="W57" s="1"/>
      <c r="X57" s="49">
        <f>I500</f>
        <v>111550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21">
        <v>2</v>
      </c>
      <c r="B58" s="21">
        <v>1000000</v>
      </c>
      <c r="C58" s="21">
        <f>VLOOKUP(A58&amp;"|"&amp;B58,$O$3:$P$16,2,FALSE)</f>
        <v>8050</v>
      </c>
      <c r="D58" s="21">
        <f>VLOOKUP(A58&amp;"|"&amp;B58,$Q$3:$R$16,2,FALSE)</f>
        <v>41950</v>
      </c>
      <c r="E58" s="2"/>
      <c r="F58" s="21">
        <v>7</v>
      </c>
      <c r="G58" s="21">
        <v>500000</v>
      </c>
      <c r="H58" s="21">
        <f>VLOOKUP(F58&amp;"|"&amp;G58,$O$3:$P$19,2,FALSE)</f>
        <v>2600</v>
      </c>
      <c r="I58" s="21">
        <f>VLOOKUP(F58&amp;"|"&amp;G58,$Q$3:$R$19,2,FALSE)</f>
        <v>22400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90850</v>
      </c>
      <c r="U58" s="49" t="str">
        <f>B502</f>
        <v>CHAMPALALJI</v>
      </c>
      <c r="V58" s="1" t="str">
        <f>C502</f>
        <v>RNGRD</v>
      </c>
      <c r="W58" s="1"/>
      <c r="X58" s="49">
        <f>I509</f>
        <v>22400</v>
      </c>
      <c r="Y58" s="1" t="str">
        <f>G502</f>
        <v>VENKTESHVAR</v>
      </c>
      <c r="Z58" s="1" t="str">
        <f>H502</f>
        <v>AB CO</v>
      </c>
    </row>
    <row r="59" spans="1:26" ht="20.25" thickTop="1" thickBot="1">
      <c r="A59" s="21"/>
      <c r="B59" s="21"/>
      <c r="C59" s="21"/>
      <c r="D59" s="21"/>
      <c r="E59" s="2"/>
      <c r="F59" s="21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22400</v>
      </c>
      <c r="U59" s="1" t="str">
        <f>B511</f>
        <v>KEWALJI</v>
      </c>
      <c r="V59" s="1" t="str">
        <f>C511</f>
        <v>KAMMAN</v>
      </c>
      <c r="W59" s="49"/>
      <c r="X59" s="49">
        <f>I518</f>
        <v>22400</v>
      </c>
      <c r="Y59" s="1" t="str">
        <f>G511</f>
        <v>PRAKASHJI</v>
      </c>
      <c r="Z59" s="1" t="str">
        <f>H511</f>
        <v>AMEENPUR</v>
      </c>
    </row>
    <row r="60" spans="1:26" ht="20.25" thickTop="1" thickBot="1">
      <c r="A60" s="21"/>
      <c r="B60" s="21"/>
      <c r="C60" s="21"/>
      <c r="D60" s="21"/>
      <c r="E60" s="2"/>
      <c r="F60" s="21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24850</v>
      </c>
      <c r="U60" s="1" t="str">
        <f>B520</f>
        <v>NIRMALJI</v>
      </c>
      <c r="V60" s="1" t="str">
        <f>C520</f>
        <v>KKPALLY</v>
      </c>
      <c r="W60" s="1"/>
      <c r="X60" s="49">
        <f>I527</f>
        <v>91000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1"/>
      <c r="B61" s="21"/>
      <c r="C61" s="21"/>
      <c r="D61" s="21"/>
      <c r="E61" s="2"/>
      <c r="F61" s="21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83700</v>
      </c>
      <c r="U61" s="1" t="str">
        <f>B529</f>
        <v>NARAYANJI</v>
      </c>
      <c r="V61" s="1" t="str">
        <f>C529</f>
        <v>RR ROAD</v>
      </c>
      <c r="W61" s="1"/>
      <c r="X61" s="49">
        <f>I536</f>
        <v>90850</v>
      </c>
      <c r="Y61" s="1" t="str">
        <f>G529</f>
        <v>PUNJI</v>
      </c>
      <c r="Z61" s="1" t="str">
        <f>H529</f>
        <v>R ROAD</v>
      </c>
    </row>
    <row r="62" spans="1:26" ht="20.25" thickTop="1" thickBot="1">
      <c r="A62" s="84" t="s">
        <v>16</v>
      </c>
      <c r="B62" s="85"/>
      <c r="C62" s="86"/>
      <c r="D62" s="8">
        <f>SUM(D57:D61)</f>
        <v>91650</v>
      </c>
      <c r="E62" s="2"/>
      <c r="F62" s="84" t="s">
        <v>16</v>
      </c>
      <c r="G62" s="85"/>
      <c r="H62" s="86"/>
      <c r="I62" s="21">
        <f>SUM(I57:I61)</f>
        <v>64150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77">
        <f>D545</f>
        <v>41750</v>
      </c>
      <c r="U62" s="49" t="str">
        <f>B538</f>
        <v xml:space="preserve">GOTAMJI </v>
      </c>
      <c r="V62" s="1" t="str">
        <f>C538</f>
        <v>RR ROAD</v>
      </c>
      <c r="W62" s="49"/>
      <c r="X62" s="49">
        <f>I545</f>
        <v>83700</v>
      </c>
      <c r="Y62" s="1" t="str">
        <f>G538</f>
        <v>SOHANJI</v>
      </c>
      <c r="Z62" s="1" t="str">
        <f>H538</f>
        <v>RR ROAD</v>
      </c>
    </row>
    <row r="63" spans="1:26" ht="20.25" thickTop="1" thickBot="1">
      <c r="A63" s="10"/>
      <c r="B63" s="10"/>
      <c r="C63" s="10"/>
      <c r="D63" s="10"/>
      <c r="E63" s="2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77">
        <f>D554</f>
        <v>41750</v>
      </c>
      <c r="U63" s="1" t="str">
        <f>B547</f>
        <v>TEJAJAMJI</v>
      </c>
      <c r="V63" s="1" t="str">
        <f>C547</f>
        <v>YELMBNDA</v>
      </c>
      <c r="W63" s="1"/>
      <c r="X63" s="77">
        <f>I554</f>
        <v>41750</v>
      </c>
      <c r="Y63" s="1" t="str">
        <f>G547</f>
        <v>MOHANJI</v>
      </c>
      <c r="Z63" s="1" t="str">
        <f>H547</f>
        <v>CHINTAL</v>
      </c>
    </row>
    <row r="64" spans="1:26" ht="20.25" thickTop="1" thickBot="1">
      <c r="A64" s="12" t="s">
        <v>3</v>
      </c>
      <c r="B64" s="12" t="s">
        <v>45</v>
      </c>
      <c r="C64" s="12" t="s">
        <v>46</v>
      </c>
      <c r="D64" s="9">
        <v>45935</v>
      </c>
      <c r="E64" s="2"/>
      <c r="F64" s="21" t="s">
        <v>0</v>
      </c>
      <c r="G64" s="21" t="s">
        <v>47</v>
      </c>
      <c r="H64" s="21" t="s">
        <v>48</v>
      </c>
      <c r="I64" s="9">
        <v>45935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49">
        <f>D563</f>
        <v>41750</v>
      </c>
      <c r="U64" t="str">
        <f>B556</f>
        <v>BABULALJI</v>
      </c>
      <c r="V64" s="1" t="str">
        <f>C556</f>
        <v>RAMARAM</v>
      </c>
      <c r="W64" s="1"/>
      <c r="X64" s="49">
        <f>I563</f>
        <v>21500</v>
      </c>
      <c r="Y64" s="1" t="str">
        <f>G556</f>
        <v>MOHANJI</v>
      </c>
      <c r="Z64" s="1" t="str">
        <f>H556</f>
        <v>AMINPUR</v>
      </c>
    </row>
    <row r="65" spans="1:26" ht="20.25" thickTop="1" thickBot="1">
      <c r="A65" s="21" t="s">
        <v>6</v>
      </c>
      <c r="B65" s="21" t="s">
        <v>7</v>
      </c>
      <c r="C65" s="21" t="s">
        <v>8</v>
      </c>
      <c r="D65" s="21" t="s">
        <v>9</v>
      </c>
      <c r="E65" s="2"/>
      <c r="F65" s="21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49">
        <f>D572</f>
        <v>21500</v>
      </c>
      <c r="U65" s="1" t="str">
        <f>B565</f>
        <v>PUNAMJI</v>
      </c>
      <c r="V65" s="1" t="str">
        <f>C565</f>
        <v>BADURPLY</v>
      </c>
      <c r="W65" s="1"/>
      <c r="X65" s="49">
        <f>I572</f>
        <v>21500</v>
      </c>
      <c r="Y65" s="1" t="str">
        <f>G565</f>
        <v>NARAYANJI</v>
      </c>
      <c r="Z65" s="1" t="str">
        <f>H565</f>
        <v>KOTLAPUR</v>
      </c>
    </row>
    <row r="66" spans="1:26" ht="20.25" thickTop="1" thickBot="1">
      <c r="A66" s="21">
        <v>18.100000000000001</v>
      </c>
      <c r="B66" s="21">
        <v>500000</v>
      </c>
      <c r="C66" s="21">
        <f>VLOOKUP(A66&amp;"|"&amp;B66,$O$3:$P$17,2,FALSE)</f>
        <v>100</v>
      </c>
      <c r="D66" s="21">
        <f>VLOOKUP(A66&amp;"|"&amp;B66,$Q$3:$R$17,2,FALSE)</f>
        <v>24900</v>
      </c>
      <c r="E66" s="2"/>
      <c r="F66" s="21">
        <v>18.100000000000001</v>
      </c>
      <c r="G66" s="21">
        <v>500000</v>
      </c>
      <c r="H66" s="21">
        <f>VLOOKUP(F66&amp;"|"&amp;G66,$O$3:$P$16,2,FALSE)</f>
        <v>100</v>
      </c>
      <c r="I66" s="21">
        <f>VLOOKUP(F66&amp;"|"&amp;G66,$Q$3:$R$16,2,FALSE)</f>
        <v>24900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49">
        <f>D581</f>
        <v>21500</v>
      </c>
      <c r="U66" s="1" t="str">
        <f>B574</f>
        <v>MANGILALJI</v>
      </c>
      <c r="V66" t="str">
        <f>C574</f>
        <v>RAMARAM</v>
      </c>
      <c r="X66" s="49"/>
      <c r="Y66" s="1"/>
      <c r="Z66" s="1"/>
    </row>
    <row r="67" spans="1:26" ht="20.25" thickTop="1" thickBot="1">
      <c r="A67" s="21">
        <v>7</v>
      </c>
      <c r="B67" s="21">
        <v>2000000</v>
      </c>
      <c r="C67" s="21">
        <f>VLOOKUP(A67&amp;"|"&amp;B67,$O$3:$P$17,2,FALSE)</f>
        <v>9150</v>
      </c>
      <c r="D67" s="21">
        <f>VLOOKUP(A67&amp;"|"&amp;B67,$Q$3:$R$17,2,FALSE)</f>
        <v>90850</v>
      </c>
      <c r="E67" s="2"/>
      <c r="F67" s="21">
        <v>7</v>
      </c>
      <c r="G67" s="21">
        <v>500000</v>
      </c>
      <c r="H67" s="21">
        <f>VLOOKUP(F67&amp;"|"&amp;G67,$O$3:$P$16,2,FALSE)</f>
        <v>2600</v>
      </c>
      <c r="I67" s="21">
        <f>VLOOKUP(F67&amp;"|"&amp;G67,$Q$3:$R$16,2,FALSE)</f>
        <v>22400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77"/>
      <c r="U67" s="1"/>
      <c r="V67" s="1"/>
      <c r="W67" s="1"/>
      <c r="Y67" s="1"/>
      <c r="Z67" s="1"/>
    </row>
    <row r="68" spans="1:26" ht="20.25" thickTop="1" thickBot="1">
      <c r="A68" s="21"/>
      <c r="B68" s="21"/>
      <c r="C68" s="21"/>
      <c r="D68" s="21"/>
      <c r="E68" s="2"/>
      <c r="F68" s="21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1"/>
      <c r="B69" s="21"/>
      <c r="C69" s="21"/>
      <c r="D69" s="21"/>
      <c r="E69" s="2"/>
      <c r="F69" s="21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49">
        <f>SUM(T3:T67)</f>
        <v>4459750</v>
      </c>
      <c r="U69" s="1"/>
      <c r="V69" s="1"/>
      <c r="W69" s="1"/>
      <c r="X69" s="49">
        <f>SUM(X3:X66)</f>
        <v>4263600</v>
      </c>
      <c r="Y69" s="1"/>
      <c r="Z69" s="1"/>
    </row>
    <row r="70" spans="1:26" ht="20.25" thickTop="1" thickBot="1">
      <c r="A70" s="21"/>
      <c r="B70" s="21"/>
      <c r="C70" s="21"/>
      <c r="D70" s="21"/>
      <c r="E70" s="2"/>
      <c r="F70" s="52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59" t="s">
        <v>49</v>
      </c>
      <c r="B71" s="53"/>
      <c r="C71" s="54"/>
      <c r="D71" s="21">
        <f>SUM(D66:D70)</f>
        <v>115750</v>
      </c>
      <c r="E71" s="2"/>
      <c r="F71" s="84" t="s">
        <v>16</v>
      </c>
      <c r="G71" s="85"/>
      <c r="H71" s="86"/>
      <c r="I71" s="21">
        <f>SUM(I66:I70)</f>
        <v>47300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25</v>
      </c>
      <c r="W71" s="78">
        <f>SUM(T69,X69)</f>
        <v>8723350</v>
      </c>
      <c r="X71" s="49">
        <f>SUM(T69,X69)</f>
        <v>8723350</v>
      </c>
      <c r="Y71" s="1"/>
      <c r="Z71" s="1"/>
    </row>
    <row r="72" spans="1:26" ht="20.25" thickTop="1" thickBot="1">
      <c r="A72" s="10"/>
      <c r="B72" s="10"/>
      <c r="C72" s="10"/>
      <c r="D72" s="10"/>
      <c r="E72" s="2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1" t="s">
        <v>0</v>
      </c>
      <c r="B73" s="21" t="s">
        <v>50</v>
      </c>
      <c r="C73" s="21" t="s">
        <v>51</v>
      </c>
      <c r="D73" s="9">
        <v>45935</v>
      </c>
      <c r="E73" s="2"/>
      <c r="F73" s="21" t="s">
        <v>0</v>
      </c>
      <c r="G73" s="21" t="s">
        <v>50</v>
      </c>
      <c r="H73" s="21" t="s">
        <v>52</v>
      </c>
      <c r="I73" s="9">
        <v>45935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1" t="s">
        <v>6</v>
      </c>
      <c r="B74" s="21" t="s">
        <v>7</v>
      </c>
      <c r="C74" s="21" t="s">
        <v>8</v>
      </c>
      <c r="D74" s="21" t="s">
        <v>9</v>
      </c>
      <c r="E74" s="2"/>
      <c r="F74" s="21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21">
        <v>18</v>
      </c>
      <c r="B75" s="21">
        <v>1000000</v>
      </c>
      <c r="C75" s="21">
        <f t="shared" ref="C75:C81" si="4">VLOOKUP(A75&amp;"|"&amp;B75,$O$3:$P$16,2,FALSE)</f>
        <v>200</v>
      </c>
      <c r="D75" s="21">
        <f t="shared" ref="D75:D81" si="5">VLOOKUP(A75&amp;"|"&amp;B75,$Q$3:$R$16,2,FALSE)</f>
        <v>49800</v>
      </c>
      <c r="E75" s="2"/>
      <c r="F75" s="21">
        <v>2</v>
      </c>
      <c r="G75" s="21">
        <v>1000000</v>
      </c>
      <c r="H75" s="21">
        <f t="shared" ref="H75:H84" si="6">VLOOKUP(F75&amp;"|"&amp;G75,$O$3:$P$16,2,FALSE)</f>
        <v>8050</v>
      </c>
      <c r="I75" s="21">
        <f t="shared" ref="I75:I84" si="7">VLOOKUP(F75&amp;"|"&amp;G75,$Q$3:$R$16,2,FALSE)</f>
        <v>41950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21">
        <v>18.100000000000001</v>
      </c>
      <c r="B76" s="21">
        <v>1000000</v>
      </c>
      <c r="C76" s="21">
        <f t="shared" si="4"/>
        <v>300</v>
      </c>
      <c r="D76" s="21">
        <f t="shared" si="5"/>
        <v>49700</v>
      </c>
      <c r="E76" s="2"/>
      <c r="F76" s="21">
        <v>2</v>
      </c>
      <c r="G76" s="21">
        <v>1000000</v>
      </c>
      <c r="H76" s="21">
        <f t="shared" si="6"/>
        <v>8050</v>
      </c>
      <c r="I76" s="21">
        <f t="shared" si="7"/>
        <v>41950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21">
        <v>2</v>
      </c>
      <c r="B77" s="21">
        <v>1000000</v>
      </c>
      <c r="C77" s="21">
        <f t="shared" si="4"/>
        <v>8050</v>
      </c>
      <c r="D77" s="21">
        <f t="shared" si="5"/>
        <v>41950</v>
      </c>
      <c r="E77" s="2"/>
      <c r="F77" s="21">
        <v>2.1</v>
      </c>
      <c r="G77" s="21">
        <v>1000000</v>
      </c>
      <c r="H77" s="21">
        <f t="shared" si="6"/>
        <v>8250</v>
      </c>
      <c r="I77" s="21">
        <f t="shared" si="7"/>
        <v>41750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21">
        <v>2.1</v>
      </c>
      <c r="B78" s="21">
        <v>1000000</v>
      </c>
      <c r="C78" s="21">
        <f t="shared" si="4"/>
        <v>8250</v>
      </c>
      <c r="D78" s="21">
        <f t="shared" si="5"/>
        <v>41750</v>
      </c>
      <c r="E78" s="2"/>
      <c r="F78" s="21">
        <v>2.1</v>
      </c>
      <c r="G78" s="21">
        <v>1000000</v>
      </c>
      <c r="H78" s="21">
        <f t="shared" si="6"/>
        <v>8250</v>
      </c>
      <c r="I78" s="21">
        <f t="shared" si="7"/>
        <v>41750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21">
        <v>2.1</v>
      </c>
      <c r="B79" s="21">
        <v>1000000</v>
      </c>
      <c r="C79" s="21">
        <f t="shared" si="4"/>
        <v>8250</v>
      </c>
      <c r="D79" s="21">
        <f t="shared" si="5"/>
        <v>41750</v>
      </c>
      <c r="E79" s="2"/>
      <c r="F79" s="21">
        <v>7</v>
      </c>
      <c r="G79" s="21">
        <v>500000</v>
      </c>
      <c r="H79" s="21">
        <f t="shared" si="6"/>
        <v>2600</v>
      </c>
      <c r="I79" s="21">
        <f t="shared" si="7"/>
        <v>22400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21">
        <v>12</v>
      </c>
      <c r="B80" s="21">
        <v>250000</v>
      </c>
      <c r="C80" s="21">
        <f t="shared" si="4"/>
        <v>700</v>
      </c>
      <c r="D80" s="21">
        <f t="shared" si="5"/>
        <v>11800</v>
      </c>
      <c r="E80" s="2"/>
      <c r="F80" s="21">
        <v>18</v>
      </c>
      <c r="G80" s="21">
        <v>500000</v>
      </c>
      <c r="H80" s="21">
        <f t="shared" si="6"/>
        <v>150</v>
      </c>
      <c r="I80" s="21">
        <f t="shared" si="7"/>
        <v>24850</v>
      </c>
      <c r="J80" s="1"/>
      <c r="K80" s="1"/>
      <c r="L80" s="1"/>
      <c r="M80" s="1"/>
      <c r="N80" s="1"/>
      <c r="O80" s="56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21">
        <v>18.100000000000001</v>
      </c>
      <c r="B81" s="21">
        <v>500000</v>
      </c>
      <c r="C81" s="21">
        <f t="shared" si="4"/>
        <v>100</v>
      </c>
      <c r="D81" s="21">
        <f t="shared" si="5"/>
        <v>24900</v>
      </c>
      <c r="E81" s="2"/>
      <c r="F81" s="21">
        <v>18</v>
      </c>
      <c r="G81" s="21">
        <v>500000</v>
      </c>
      <c r="H81" s="21">
        <f t="shared" si="6"/>
        <v>150</v>
      </c>
      <c r="I81" s="21">
        <f t="shared" si="7"/>
        <v>24850</v>
      </c>
      <c r="J81" s="1"/>
      <c r="K81" s="1"/>
      <c r="L81" s="56"/>
      <c r="M81" s="56"/>
      <c r="N81" s="56"/>
      <c r="O81" s="44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21">
        <v>18</v>
      </c>
      <c r="B82" s="21">
        <v>250000</v>
      </c>
      <c r="C82" s="21">
        <f>VLOOKUP(A82&amp;"|"&amp;B82,$O$3:$P$18,2,FALSE)</f>
        <v>75</v>
      </c>
      <c r="D82" s="21">
        <f>VLOOKUP(A82&amp;"|"&amp;B82,$Q$3:$R$18,2,FALSE)</f>
        <v>12425</v>
      </c>
      <c r="E82" s="2"/>
      <c r="F82" s="21">
        <v>18</v>
      </c>
      <c r="G82" s="21">
        <v>1000000</v>
      </c>
      <c r="H82" s="21">
        <f t="shared" si="6"/>
        <v>200</v>
      </c>
      <c r="I82" s="21">
        <f t="shared" si="7"/>
        <v>49800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21">
        <v>7</v>
      </c>
      <c r="B83" s="21">
        <v>2000000</v>
      </c>
      <c r="C83" s="21">
        <f>VLOOKUP(A83&amp;"|"&amp;B83,$O$3:$P$18,2,FALSE)</f>
        <v>9150</v>
      </c>
      <c r="D83" s="21">
        <f>VLOOKUP(A83&amp;"|"&amp;B83,$Q$3:$R$18,2,FALSE)</f>
        <v>90850</v>
      </c>
      <c r="E83" s="2"/>
      <c r="F83" s="21">
        <v>18.100000000000001</v>
      </c>
      <c r="G83" s="21">
        <v>1000000</v>
      </c>
      <c r="H83" s="21">
        <f t="shared" si="6"/>
        <v>300</v>
      </c>
      <c r="I83" s="21">
        <f t="shared" si="7"/>
        <v>49700</v>
      </c>
      <c r="J83" s="1"/>
      <c r="K83" s="1"/>
      <c r="L83" s="44"/>
      <c r="M83" s="44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1"/>
      <c r="B84" s="21"/>
      <c r="C84" s="21"/>
      <c r="D84" s="21"/>
      <c r="E84" s="2"/>
      <c r="F84" s="21">
        <v>7</v>
      </c>
      <c r="G84" s="21">
        <v>1000000</v>
      </c>
      <c r="H84" s="21">
        <f t="shared" si="6"/>
        <v>4500</v>
      </c>
      <c r="I84" s="21">
        <f t="shared" si="7"/>
        <v>45500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21" t="s">
        <v>16</v>
      </c>
      <c r="B85" s="21"/>
      <c r="C85" s="21" t="s">
        <v>182</v>
      </c>
      <c r="D85" s="21">
        <f>SUM(D75:D84)</f>
        <v>364925</v>
      </c>
      <c r="E85" s="2"/>
      <c r="F85" s="84" t="s">
        <v>16</v>
      </c>
      <c r="G85" s="85"/>
      <c r="H85" s="86"/>
      <c r="I85" s="21">
        <f>SUM(I75:I84)</f>
        <v>384500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thickTop="1" thickBo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21" t="s">
        <v>0</v>
      </c>
      <c r="B87" s="21" t="s">
        <v>53</v>
      </c>
      <c r="C87" s="21" t="s">
        <v>54</v>
      </c>
      <c r="D87" s="9">
        <v>45935</v>
      </c>
      <c r="E87" s="2"/>
      <c r="F87" s="21" t="s">
        <v>0</v>
      </c>
      <c r="G87" s="21" t="s">
        <v>55</v>
      </c>
      <c r="H87" s="21" t="s">
        <v>56</v>
      </c>
      <c r="I87" s="9">
        <v>45935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21" t="s">
        <v>6</v>
      </c>
      <c r="B88" s="21" t="s">
        <v>7</v>
      </c>
      <c r="C88" s="21" t="s">
        <v>8</v>
      </c>
      <c r="D88" s="21" t="s">
        <v>9</v>
      </c>
      <c r="E88" s="2"/>
      <c r="F88" s="21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21">
        <v>18.100000000000001</v>
      </c>
      <c r="B89" s="21">
        <v>1000000</v>
      </c>
      <c r="C89" s="21">
        <f>VLOOKUP(A89&amp;"|"&amp;B89,$O$3:$P$18,2,FALSE)</f>
        <v>300</v>
      </c>
      <c r="D89" s="21">
        <f>VLOOKUP(A89&amp;"|"&amp;B89,$Q$3:$R$18,2,FALSE)</f>
        <v>49700</v>
      </c>
      <c r="E89" s="2"/>
      <c r="F89" s="21">
        <v>18.100000000000001</v>
      </c>
      <c r="G89" s="21">
        <v>500000</v>
      </c>
      <c r="H89" s="21">
        <f>VLOOKUP(F89&amp;"|"&amp;G89,$O$3:$P$16,2,FALSE)</f>
        <v>100</v>
      </c>
      <c r="I89" s="21">
        <f>VLOOKUP(F89&amp;"|"&amp;G89,$Q$3:$R$16,2,FALSE)</f>
        <v>24900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21">
        <v>2</v>
      </c>
      <c r="B90" s="21">
        <v>1000000</v>
      </c>
      <c r="C90" s="21">
        <f>VLOOKUP(A90&amp;"|"&amp;B90,$O$3:$P$18,2,FALSE)</f>
        <v>8050</v>
      </c>
      <c r="D90" s="21">
        <f>VLOOKUP(A90&amp;"|"&amp;B90,$Q$3:$R$18,2,FALSE)</f>
        <v>41950</v>
      </c>
      <c r="E90" s="2"/>
      <c r="F90" s="21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21">
        <v>7</v>
      </c>
      <c r="B91" s="21">
        <v>2000000</v>
      </c>
      <c r="C91" s="21">
        <f>VLOOKUP(A91&amp;"|"&amp;B91,$O$3:$P$18,2,FALSE)</f>
        <v>9150</v>
      </c>
      <c r="D91" s="21">
        <f>VLOOKUP(A91&amp;"|"&amp;B91,$Q$3:$R$18,2,FALSE)</f>
        <v>90850</v>
      </c>
      <c r="E91" s="2"/>
      <c r="F91" s="21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21">
        <v>7</v>
      </c>
      <c r="B92" s="21">
        <v>2000000</v>
      </c>
      <c r="C92" s="21">
        <f>VLOOKUP(A92&amp;"|"&amp;B92,$O$3:$P$18,2,FALSE)</f>
        <v>9150</v>
      </c>
      <c r="D92" s="21">
        <f>VLOOKUP(A92&amp;"|"&amp;B92,$Q$3:$R$18,2,FALSE)</f>
        <v>90850</v>
      </c>
      <c r="E92" s="2"/>
      <c r="F92" s="21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1"/>
      <c r="B93" s="21"/>
      <c r="C93" s="21"/>
      <c r="D93" s="21"/>
      <c r="E93" s="2"/>
      <c r="F93" s="21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1" t="s">
        <v>16</v>
      </c>
      <c r="B94" s="21"/>
      <c r="C94" s="21"/>
      <c r="D94" s="21">
        <f>SUM(D89:D93)</f>
        <v>273350</v>
      </c>
      <c r="E94" s="2"/>
      <c r="F94" s="84" t="s">
        <v>16</v>
      </c>
      <c r="G94" s="85"/>
      <c r="H94" s="86"/>
      <c r="I94" s="21">
        <f>SUM(I89:I93)</f>
        <v>24900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thickTop="1" thickBo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1" t="s">
        <v>0</v>
      </c>
      <c r="B96" s="21" t="s">
        <v>57</v>
      </c>
      <c r="C96" s="21" t="s">
        <v>58</v>
      </c>
      <c r="D96" s="9">
        <v>45935</v>
      </c>
      <c r="E96" s="2"/>
      <c r="F96" s="21" t="s">
        <v>0</v>
      </c>
      <c r="G96" s="21" t="s">
        <v>59</v>
      </c>
      <c r="H96" s="21" t="s">
        <v>60</v>
      </c>
      <c r="I96" s="9">
        <v>45935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1" t="s">
        <v>6</v>
      </c>
      <c r="B97" s="21" t="s">
        <v>7</v>
      </c>
      <c r="C97" s="21" t="s">
        <v>8</v>
      </c>
      <c r="D97" s="21" t="s">
        <v>9</v>
      </c>
      <c r="E97" s="2"/>
      <c r="F97" s="21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21">
        <v>18</v>
      </c>
      <c r="B98" s="21">
        <v>500000</v>
      </c>
      <c r="C98" s="21">
        <f>VLOOKUP(A98&amp;"|"&amp;B98,$O$3:$P$16,2,FALSE)</f>
        <v>150</v>
      </c>
      <c r="D98" s="21">
        <f>VLOOKUP(A98&amp;"|"&amp;B98,$Q$3:$R$16,2,FALSE)</f>
        <v>24850</v>
      </c>
      <c r="E98" s="2"/>
      <c r="F98" s="21">
        <v>18</v>
      </c>
      <c r="G98" s="21">
        <v>1000000</v>
      </c>
      <c r="H98" s="21">
        <f>VLOOKUP(F98&amp;"|"&amp;G98,$O$3:$P$16,2,FALSE)</f>
        <v>200</v>
      </c>
      <c r="I98" s="21">
        <f>VLOOKUP(F98&amp;"|"&amp;G98,$Q$3:$R$16,2,FALSE)</f>
        <v>49800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21">
        <v>7</v>
      </c>
      <c r="B99" s="21">
        <v>500000</v>
      </c>
      <c r="C99" s="21">
        <f>VLOOKUP(A99&amp;"|"&amp;B99,$O$3:$P$16,2,FALSE)</f>
        <v>2600</v>
      </c>
      <c r="D99" s="21">
        <f>VLOOKUP(A99&amp;"|"&amp;B99,$Q$3:$R$16,2,FALSE)</f>
        <v>22400</v>
      </c>
      <c r="E99" s="2"/>
      <c r="F99" s="21">
        <v>18.100000000000001</v>
      </c>
      <c r="G99" s="21">
        <v>1000000</v>
      </c>
      <c r="H99" s="21">
        <f>VLOOKUP(F99&amp;"|"&amp;G99,$O$3:$P$16,2,FALSE)</f>
        <v>300</v>
      </c>
      <c r="I99" s="21">
        <f>VLOOKUP(F99&amp;"|"&amp;G99,$Q$3:$R$16,2,FALSE)</f>
        <v>49700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1"/>
      <c r="B100" s="21"/>
      <c r="C100" s="21"/>
      <c r="D100" s="21"/>
      <c r="E100" s="2"/>
      <c r="F100" s="21">
        <v>2</v>
      </c>
      <c r="G100" s="21">
        <v>1000000</v>
      </c>
      <c r="H100" s="21">
        <f>VLOOKUP(F100&amp;"|"&amp;G100,$O$3:$P$16,2,FALSE)</f>
        <v>8050</v>
      </c>
      <c r="I100" s="21">
        <f>VLOOKUP(F100&amp;"|"&amp;G100,$Q$3:$R$16,2,FALSE)</f>
        <v>41950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1"/>
      <c r="B101" s="21"/>
      <c r="C101" s="21"/>
      <c r="D101" s="21"/>
      <c r="E101" s="2"/>
      <c r="F101" s="21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1"/>
      <c r="B102" s="21"/>
      <c r="C102" s="21"/>
      <c r="D102" s="21"/>
      <c r="E102" s="2"/>
      <c r="F102" s="21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1" t="s">
        <v>16</v>
      </c>
      <c r="B103" s="21"/>
      <c r="C103" s="21"/>
      <c r="D103" s="21">
        <f>SUM(D98:D102)</f>
        <v>47250</v>
      </c>
      <c r="E103" s="2"/>
      <c r="F103" s="84" t="s">
        <v>16</v>
      </c>
      <c r="G103" s="85"/>
      <c r="H103" s="86"/>
      <c r="I103" s="21">
        <f>SUM(I98:I102)</f>
        <v>141450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thickTop="1" thickBo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1" t="s">
        <v>0</v>
      </c>
      <c r="B105" s="21" t="s">
        <v>61</v>
      </c>
      <c r="C105" s="21" t="s">
        <v>62</v>
      </c>
      <c r="D105" s="9">
        <v>45935</v>
      </c>
      <c r="E105" s="2"/>
      <c r="F105" s="21" t="s">
        <v>0</v>
      </c>
      <c r="G105" s="21" t="s">
        <v>63</v>
      </c>
      <c r="H105" s="21" t="s">
        <v>34</v>
      </c>
      <c r="I105" s="9">
        <v>45935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1" t="s">
        <v>6</v>
      </c>
      <c r="B106" s="21" t="s">
        <v>7</v>
      </c>
      <c r="C106" s="21" t="s">
        <v>8</v>
      </c>
      <c r="D106" s="21" t="s">
        <v>9</v>
      </c>
      <c r="E106" s="2"/>
      <c r="F106" s="21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21">
        <v>18</v>
      </c>
      <c r="B107" s="21">
        <v>500000</v>
      </c>
      <c r="C107" s="21">
        <f>VLOOKUP(A107&amp;"|"&amp;B107,$O$3:$P$16,2,FALSE)</f>
        <v>150</v>
      </c>
      <c r="D107" s="21">
        <f>VLOOKUP(A107&amp;"|"&amp;B107,$Q$3:$R$16,2,FALSE)</f>
        <v>24850</v>
      </c>
      <c r="E107" s="2"/>
      <c r="F107" s="21">
        <v>18</v>
      </c>
      <c r="G107" s="21">
        <v>500000</v>
      </c>
      <c r="H107" s="21">
        <f>VLOOKUP(F107&amp;"|"&amp;G107,$O$3:$P$16,2,FALSE)</f>
        <v>150</v>
      </c>
      <c r="I107" s="21">
        <f>VLOOKUP(F107&amp;"|"&amp;G107,$Q$3:$R$16,2,FALSE)</f>
        <v>24850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1"/>
      <c r="B108" s="21"/>
      <c r="C108" s="21"/>
      <c r="D108" s="21"/>
      <c r="E108" s="2"/>
      <c r="F108" s="21">
        <v>18</v>
      </c>
      <c r="G108" s="21">
        <v>1000000</v>
      </c>
      <c r="H108" s="21">
        <f>VLOOKUP(F108&amp;"|"&amp;G108,$O$3:$P$16,2,FALSE)</f>
        <v>200</v>
      </c>
      <c r="I108" s="21">
        <f>VLOOKUP(F108&amp;"|"&amp;G108,$Q$3:$R$16,2,FALSE)</f>
        <v>49800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1"/>
      <c r="B109" s="21"/>
      <c r="C109" s="21"/>
      <c r="D109" s="21"/>
      <c r="E109" s="2"/>
      <c r="F109" s="21">
        <v>7</v>
      </c>
      <c r="G109" s="21">
        <v>2000000</v>
      </c>
      <c r="H109" s="21">
        <f>VLOOKUP(F109&amp;"|"&amp;G109,$O$3:$P$16,2,FALSE)</f>
        <v>9150</v>
      </c>
      <c r="I109" s="21">
        <f>VLOOKUP(F109&amp;"|"&amp;G109,$Q$3:$R$16,2,FALSE)</f>
        <v>90850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1"/>
      <c r="B110" s="21"/>
      <c r="C110" s="21"/>
      <c r="D110" s="21"/>
      <c r="E110" s="2"/>
      <c r="F110" s="21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1"/>
      <c r="B111" s="21"/>
      <c r="C111" s="21"/>
      <c r="D111" s="21"/>
      <c r="E111" s="2"/>
      <c r="F111" s="21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1" t="s">
        <v>16</v>
      </c>
      <c r="B112" s="21"/>
      <c r="C112" s="21"/>
      <c r="D112" s="21">
        <f>SUM(D107:D111)</f>
        <v>24850</v>
      </c>
      <c r="E112" s="2"/>
      <c r="F112" s="84" t="s">
        <v>16</v>
      </c>
      <c r="G112" s="85"/>
      <c r="H112" s="86"/>
      <c r="I112" s="21">
        <f>SUM(I107:I111)</f>
        <v>165500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thickTop="1" thickBo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1" t="s">
        <v>0</v>
      </c>
      <c r="B114" s="21" t="s">
        <v>47</v>
      </c>
      <c r="C114" s="21" t="s">
        <v>39</v>
      </c>
      <c r="D114" s="9">
        <v>45935</v>
      </c>
      <c r="E114" s="2"/>
      <c r="F114" s="21" t="s">
        <v>0</v>
      </c>
      <c r="G114" s="21" t="s">
        <v>64</v>
      </c>
      <c r="H114" s="21" t="s">
        <v>65</v>
      </c>
      <c r="I114" s="9">
        <v>45935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1" t="s">
        <v>6</v>
      </c>
      <c r="B115" s="21" t="s">
        <v>7</v>
      </c>
      <c r="C115" s="21" t="s">
        <v>8</v>
      </c>
      <c r="D115" s="21" t="s">
        <v>9</v>
      </c>
      <c r="E115" s="2"/>
      <c r="F115" s="21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21">
        <v>18</v>
      </c>
      <c r="B116" s="21">
        <v>500000</v>
      </c>
      <c r="C116" s="21">
        <f>VLOOKUP(A116&amp;"|"&amp;B116,$O$3:$P$16,2,FALSE)</f>
        <v>150</v>
      </c>
      <c r="D116" s="21">
        <f>VLOOKUP(A116&amp;"|"&amp;B116,$Q$3:$R$16,2,FALSE)</f>
        <v>24850</v>
      </c>
      <c r="E116" s="2"/>
      <c r="F116" s="21">
        <v>18</v>
      </c>
      <c r="G116" s="21">
        <v>1000000</v>
      </c>
      <c r="H116" s="21">
        <f>VLOOKUP(F116&amp;"|"&amp;G116,$O$3:$P$16,2,FALSE)</f>
        <v>200</v>
      </c>
      <c r="I116" s="21">
        <f>VLOOKUP(F116&amp;"|"&amp;G116,$Q$3:$R$16,2,FALSE)</f>
        <v>49800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21">
        <v>2.1</v>
      </c>
      <c r="B117" s="21">
        <v>1000000</v>
      </c>
      <c r="C117" s="21">
        <f>VLOOKUP(A117&amp;"|"&amp;B117,$O$3:$P$16,2,FALSE)</f>
        <v>8250</v>
      </c>
      <c r="D117" s="21">
        <f>VLOOKUP(A117&amp;"|"&amp;B117,$Q$3:$R$16,2,FALSE)</f>
        <v>41750</v>
      </c>
      <c r="E117" s="2"/>
      <c r="F117" s="21">
        <v>7</v>
      </c>
      <c r="G117" s="21">
        <v>2000000</v>
      </c>
      <c r="H117" s="21">
        <f>VLOOKUP(F117&amp;"|"&amp;G117,$O$3:$P$17,2,FALSE)</f>
        <v>9150</v>
      </c>
      <c r="I117" s="21">
        <f>VLOOKUP(F117&amp;"|"&amp;G117,$Q$3:$R$17,2,FALSE)</f>
        <v>90850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21">
        <v>12</v>
      </c>
      <c r="B118" s="21">
        <v>500000</v>
      </c>
      <c r="C118" s="21">
        <f>VLOOKUP(A118&amp;"|"&amp;B118,$O$3:$P$16,2,FALSE)</f>
        <v>1400</v>
      </c>
      <c r="D118" s="21">
        <f>VLOOKUP(A118&amp;"|"&amp;B118,$Q$3:$R$16,2,FALSE)</f>
        <v>23600</v>
      </c>
      <c r="E118" s="2"/>
      <c r="F118" s="21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21">
        <v>12</v>
      </c>
      <c r="B119" s="21">
        <v>500000</v>
      </c>
      <c r="C119" s="21">
        <f>VLOOKUP(A119&amp;"|"&amp;B119,$O$3:$P$16,2,FALSE)</f>
        <v>1400</v>
      </c>
      <c r="D119" s="21">
        <f>VLOOKUP(A119&amp;"|"&amp;B119,$Q$3:$R$16,2,FALSE)</f>
        <v>23600</v>
      </c>
      <c r="E119" s="2"/>
      <c r="F119" s="21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1"/>
      <c r="B120" s="21"/>
      <c r="C120" s="21"/>
      <c r="D120" s="21"/>
      <c r="E120" s="2"/>
      <c r="F120" s="21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1" t="s">
        <v>16</v>
      </c>
      <c r="B121" s="21"/>
      <c r="C121" s="21"/>
      <c r="D121" s="21">
        <f>SUM(D116:D120)</f>
        <v>113800</v>
      </c>
      <c r="E121" s="2"/>
      <c r="F121" s="84" t="s">
        <v>16</v>
      </c>
      <c r="G121" s="85"/>
      <c r="H121" s="86"/>
      <c r="I121" s="21">
        <f>SUM(I116:I120)</f>
        <v>140650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thickTop="1" thickBo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1" t="s">
        <v>0</v>
      </c>
      <c r="B123" s="21" t="s">
        <v>66</v>
      </c>
      <c r="C123" s="21" t="s">
        <v>67</v>
      </c>
      <c r="D123" s="9">
        <v>45935</v>
      </c>
      <c r="E123" s="2"/>
      <c r="F123" s="21" t="s">
        <v>0</v>
      </c>
      <c r="G123" s="21" t="s">
        <v>68</v>
      </c>
      <c r="H123" s="21" t="s">
        <v>69</v>
      </c>
      <c r="I123" s="9">
        <v>45935</v>
      </c>
      <c r="J123" s="1"/>
      <c r="K123" s="1"/>
      <c r="L123" s="1"/>
      <c r="M123" s="1" t="s">
        <v>70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1" t="s">
        <v>6</v>
      </c>
      <c r="B124" s="21" t="s">
        <v>7</v>
      </c>
      <c r="C124" s="21" t="s">
        <v>8</v>
      </c>
      <c r="D124" s="21" t="s">
        <v>9</v>
      </c>
      <c r="E124" s="2"/>
      <c r="F124" s="21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21">
        <v>18</v>
      </c>
      <c r="B125" s="21">
        <v>500000</v>
      </c>
      <c r="C125" s="21">
        <f>VLOOKUP(A125&amp;"|"&amp;B125,$O$3:$P$16,2,FALSE)</f>
        <v>150</v>
      </c>
      <c r="D125" s="21">
        <f>VLOOKUP(A125&amp;"|"&amp;B125,$Q$3:$R$16,2,FALSE)</f>
        <v>24850</v>
      </c>
      <c r="E125" s="2"/>
      <c r="F125" s="21">
        <v>18</v>
      </c>
      <c r="G125" s="21">
        <v>1000000</v>
      </c>
      <c r="H125" s="21">
        <f>VLOOKUP(F125&amp;"|"&amp;G125,$O$3:$P$16,2,FALSE)</f>
        <v>200</v>
      </c>
      <c r="I125" s="21">
        <f>VLOOKUP(F125&amp;"|"&amp;G125,$Q$3:$R$16,2,FALSE)</f>
        <v>49800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21">
        <v>7</v>
      </c>
      <c r="B126" s="21">
        <v>2000000</v>
      </c>
      <c r="C126" s="21">
        <f>VLOOKUP(A126&amp;"|"&amp;B126,$O$3:$P$16,2,FALSE)</f>
        <v>9150</v>
      </c>
      <c r="D126" s="21">
        <f>VLOOKUP(A126&amp;"|"&amp;B126,$Q$3:$R$16,2,FALSE)</f>
        <v>90850</v>
      </c>
      <c r="E126" s="2"/>
      <c r="F126" s="21">
        <v>12</v>
      </c>
      <c r="G126" s="21">
        <v>500000</v>
      </c>
      <c r="H126" s="21">
        <f>VLOOKUP(F126&amp;"|"&amp;G126,$O$3:$P$16,2,FALSE)</f>
        <v>1400</v>
      </c>
      <c r="I126" s="21">
        <f>VLOOKUP(F126&amp;"|"&amp;G126,$Q$3:$R$16,2,FALSE)</f>
        <v>23600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1"/>
      <c r="B127" s="21"/>
      <c r="C127" s="21"/>
      <c r="D127" s="21"/>
      <c r="E127" s="2"/>
      <c r="F127" s="21">
        <v>12</v>
      </c>
      <c r="G127" s="21">
        <v>500000</v>
      </c>
      <c r="H127" s="21">
        <f>VLOOKUP(F127&amp;"|"&amp;G127,$O$3:$P$16,2,FALSE)</f>
        <v>1400</v>
      </c>
      <c r="I127" s="21">
        <f>VLOOKUP(F127&amp;"|"&amp;G127,$Q$3:$R$16,2,FALSE)</f>
        <v>23600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1"/>
      <c r="B128" s="21"/>
      <c r="C128" s="21"/>
      <c r="D128" s="21"/>
      <c r="E128" s="2"/>
      <c r="F128" s="21">
        <v>2.1</v>
      </c>
      <c r="G128" s="21">
        <v>1000000</v>
      </c>
      <c r="H128" s="21">
        <f>VLOOKUP(F128&amp;"|"&amp;G128,$O$3:$P$16,2,FALSE)</f>
        <v>8250</v>
      </c>
      <c r="I128" s="21">
        <f>VLOOKUP(F128&amp;"|"&amp;G128,$Q$3:$R$16,2,FALSE)</f>
        <v>41750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1"/>
      <c r="B129" s="21"/>
      <c r="C129" s="21"/>
      <c r="D129" s="21"/>
      <c r="E129" s="2"/>
      <c r="F129" s="21">
        <v>2</v>
      </c>
      <c r="G129" s="21">
        <v>500000</v>
      </c>
      <c r="H129" s="21">
        <f>VLOOKUP(F129&amp;"|"&amp;G129,$O$3:$P$16,2,FALSE)</f>
        <v>3500</v>
      </c>
      <c r="I129" s="21">
        <f>VLOOKUP(F129&amp;"|"&amp;G129,$Q$3:$R$16,2,FALSE)</f>
        <v>21500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1" t="s">
        <v>16</v>
      </c>
      <c r="B130" s="21"/>
      <c r="C130" s="21"/>
      <c r="D130" s="21">
        <f>SUM(D125:D129)</f>
        <v>115700</v>
      </c>
      <c r="E130" s="2"/>
      <c r="F130" s="84" t="s">
        <v>16</v>
      </c>
      <c r="G130" s="85"/>
      <c r="H130" s="86"/>
      <c r="I130" s="21">
        <f>SUM(I125:I129)</f>
        <v>160250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thickTop="1" thickBo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1" t="s">
        <v>0</v>
      </c>
      <c r="B132" s="21" t="s">
        <v>71</v>
      </c>
      <c r="C132" s="21" t="s">
        <v>72</v>
      </c>
      <c r="D132" s="9">
        <v>45935</v>
      </c>
      <c r="E132" s="2"/>
      <c r="F132" s="21" t="s">
        <v>0</v>
      </c>
      <c r="G132" s="21" t="s">
        <v>73</v>
      </c>
      <c r="H132" s="21" t="s">
        <v>74</v>
      </c>
      <c r="I132" s="9">
        <v>45935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1" t="s">
        <v>6</v>
      </c>
      <c r="B133" s="21" t="s">
        <v>7</v>
      </c>
      <c r="C133" s="21" t="s">
        <v>8</v>
      </c>
      <c r="D133" s="21" t="s">
        <v>9</v>
      </c>
      <c r="E133" s="2"/>
      <c r="F133" s="21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21">
        <v>18</v>
      </c>
      <c r="B134" s="21">
        <v>500000</v>
      </c>
      <c r="C134" s="21">
        <f>VLOOKUP(A134&amp;"|"&amp;B134,$O$3:$P$16,2,FALSE)</f>
        <v>150</v>
      </c>
      <c r="D134" s="21">
        <f>VLOOKUP(A134&amp;"|"&amp;B134,$Q$3:$R$16,2,FALSE)</f>
        <v>24850</v>
      </c>
      <c r="E134" s="2"/>
      <c r="F134" s="21">
        <v>18</v>
      </c>
      <c r="G134" s="21">
        <v>500000</v>
      </c>
      <c r="H134" s="21">
        <f>VLOOKUP(F134&amp;"|"&amp;G134,$O$3:$P$16,2,FALSE)</f>
        <v>150</v>
      </c>
      <c r="I134" s="21">
        <f>VLOOKUP(F134&amp;"|"&amp;G134,$Q$3:$R$16,2,FALSE)</f>
        <v>24850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21">
        <v>2</v>
      </c>
      <c r="B135" s="21">
        <v>1000000</v>
      </c>
      <c r="C135" s="21">
        <f>VLOOKUP(A135&amp;"|"&amp;B135,$O$3:$P$16,2,FALSE)</f>
        <v>8050</v>
      </c>
      <c r="D135" s="21">
        <f>VLOOKUP(A135&amp;"|"&amp;B135,$Q$3:$R$16,2,FALSE)</f>
        <v>41950</v>
      </c>
      <c r="E135" s="2"/>
      <c r="F135" s="21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1"/>
      <c r="B136" s="21"/>
      <c r="C136" s="21"/>
      <c r="D136" s="21"/>
      <c r="E136" s="2"/>
      <c r="F136" s="21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1"/>
      <c r="B137" s="21"/>
      <c r="C137" s="21"/>
      <c r="D137" s="21"/>
      <c r="E137" s="2"/>
      <c r="F137" s="21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1"/>
      <c r="B138" s="21"/>
      <c r="C138" s="21"/>
      <c r="D138" s="21"/>
      <c r="E138" s="2"/>
      <c r="F138" s="21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1" t="s">
        <v>16</v>
      </c>
      <c r="B139" s="21"/>
      <c r="C139" s="21"/>
      <c r="D139" s="21">
        <f>SUM(D134:D138)</f>
        <v>66800</v>
      </c>
      <c r="E139" s="2"/>
      <c r="F139" s="84" t="s">
        <v>16</v>
      </c>
      <c r="G139" s="85"/>
      <c r="H139" s="86"/>
      <c r="I139" s="21">
        <f>SUM(I134:I138)</f>
        <v>24850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thickTop="1" thickBo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1" t="s">
        <v>0</v>
      </c>
      <c r="B141" s="21" t="s">
        <v>75</v>
      </c>
      <c r="C141" s="21" t="s">
        <v>76</v>
      </c>
      <c r="D141" s="9">
        <v>45935</v>
      </c>
      <c r="E141" s="2"/>
      <c r="F141" s="12" t="s">
        <v>3</v>
      </c>
      <c r="G141" s="12" t="s">
        <v>77</v>
      </c>
      <c r="H141" s="12" t="s">
        <v>78</v>
      </c>
      <c r="I141" s="9">
        <v>45935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1" t="s">
        <v>6</v>
      </c>
      <c r="B142" s="21" t="s">
        <v>7</v>
      </c>
      <c r="C142" s="21" t="s">
        <v>8</v>
      </c>
      <c r="D142" s="21" t="s">
        <v>9</v>
      </c>
      <c r="E142" s="2"/>
      <c r="F142" s="21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21">
        <v>18</v>
      </c>
      <c r="B143" s="21">
        <v>500000</v>
      </c>
      <c r="C143" s="21">
        <f>VLOOKUP(A143&amp;"|"&amp;B143,$O$3:$P$16,2,FALSE)</f>
        <v>150</v>
      </c>
      <c r="D143" s="21">
        <f>VLOOKUP(A143&amp;"|"&amp;B143,$Q$3:$R$16,2,FALSE)</f>
        <v>24850</v>
      </c>
      <c r="E143" s="2"/>
      <c r="F143" s="21">
        <v>2</v>
      </c>
      <c r="G143" s="21">
        <v>1000000</v>
      </c>
      <c r="H143" s="21">
        <f>VLOOKUP(F143&amp;"|"&amp;G143,$O$3:$P$18,2,FALSE)</f>
        <v>8050</v>
      </c>
      <c r="I143" s="21">
        <f>VLOOKUP(F143&amp;"|"&amp;G143,$Q$3:$R$17,2,FALSE)</f>
        <v>41950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21">
        <v>12</v>
      </c>
      <c r="B144" s="21">
        <v>500000</v>
      </c>
      <c r="C144" s="21">
        <f>VLOOKUP(A144&amp;"|"&amp;B144,$O$3:$P$16,2,FALSE)</f>
        <v>1400</v>
      </c>
      <c r="D144" s="21">
        <f>VLOOKUP(A144&amp;"|"&amp;B144,$Q$3:$R$16,2,FALSE)</f>
        <v>23600</v>
      </c>
      <c r="E144" s="2"/>
      <c r="F144" s="21">
        <v>2.1</v>
      </c>
      <c r="G144" s="21">
        <v>1000000</v>
      </c>
      <c r="H144" s="21">
        <f>VLOOKUP(F144&amp;"|"&amp;G144,$O$3:$P$17,2,FALSE)</f>
        <v>8250</v>
      </c>
      <c r="I144" s="21">
        <f>VLOOKUP(F144&amp;"|"&amp;G144,$Q$3:$R$17,2,FALSE)</f>
        <v>41750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21">
        <v>15</v>
      </c>
      <c r="B145" s="21">
        <v>500000</v>
      </c>
      <c r="C145" s="21">
        <f>VLOOKUP(A145&amp;"|"&amp;B145,$O$3:$P$16,2,FALSE)</f>
        <v>750</v>
      </c>
      <c r="D145" s="21">
        <f>VLOOKUP(A145&amp;"|"&amp;B145,$Q$3:$R$16,2,FALSE)</f>
        <v>24250</v>
      </c>
      <c r="E145" s="2"/>
      <c r="F145" s="21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21">
        <v>2</v>
      </c>
      <c r="B146" s="21">
        <v>1000000</v>
      </c>
      <c r="C146" s="21">
        <f>VLOOKUP(A146&amp;"|"&amp;B146,$O$3:$P$16,2,FALSE)</f>
        <v>8050</v>
      </c>
      <c r="D146" s="21">
        <f>VLOOKUP(A146&amp;"|"&amp;B146,$Q$3:$R$16,2,FALSE)</f>
        <v>41950</v>
      </c>
      <c r="E146" s="2"/>
      <c r="F146" s="21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1"/>
      <c r="B147" s="21"/>
      <c r="C147" s="21"/>
      <c r="D147" s="21"/>
      <c r="E147" s="2"/>
      <c r="F147" s="21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1" t="s">
        <v>16</v>
      </c>
      <c r="B148" s="21"/>
      <c r="C148" s="21"/>
      <c r="D148" s="21">
        <f>SUM(D143:D147)</f>
        <v>114650</v>
      </c>
      <c r="E148" s="2"/>
      <c r="F148" s="84" t="s">
        <v>16</v>
      </c>
      <c r="G148" s="85"/>
      <c r="H148" s="86"/>
      <c r="I148" s="21">
        <f>SUM(I143:I147)</f>
        <v>83700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2"/>
      <c r="B149" s="2"/>
      <c r="C149" s="2"/>
      <c r="D149" s="2"/>
      <c r="E149" s="2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1" t="s">
        <v>0</v>
      </c>
      <c r="B150" s="21" t="s">
        <v>192</v>
      </c>
      <c r="C150" s="21" t="s">
        <v>193</v>
      </c>
      <c r="D150" s="9">
        <v>45935</v>
      </c>
      <c r="E150" s="2"/>
      <c r="F150" s="21" t="s">
        <v>0</v>
      </c>
      <c r="G150" s="21" t="s">
        <v>80</v>
      </c>
      <c r="H150" s="21" t="s">
        <v>81</v>
      </c>
      <c r="I150" s="9">
        <v>45935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1" t="s">
        <v>6</v>
      </c>
      <c r="B151" s="21" t="s">
        <v>7</v>
      </c>
      <c r="C151" s="21" t="s">
        <v>8</v>
      </c>
      <c r="D151" s="21" t="s">
        <v>9</v>
      </c>
      <c r="E151" s="2"/>
      <c r="F151" s="21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21">
        <v>2</v>
      </c>
      <c r="B152" s="21">
        <v>500000</v>
      </c>
      <c r="C152" s="21">
        <f>VLOOKUP(A152&amp;"|"&amp;B152,$O$3:$P$16,2,FALSE)</f>
        <v>3500</v>
      </c>
      <c r="D152" s="21">
        <f>VLOOKUP(A152&amp;"|"&amp;B152,$Q$3:$R$16,2,FALSE)</f>
        <v>21500</v>
      </c>
      <c r="E152" s="10"/>
      <c r="F152" s="21">
        <v>18</v>
      </c>
      <c r="G152" s="21">
        <v>500000</v>
      </c>
      <c r="H152" s="21">
        <f>VLOOKUP(F152&amp;"|"&amp;G152,$O$3:$P$16,2,FALSE)</f>
        <v>150</v>
      </c>
      <c r="I152" s="21">
        <f>VLOOKUP(F152&amp;"|"&amp;G152,$Q$3:$R$16,2,FALSE)</f>
        <v>24850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1"/>
      <c r="B153" s="21"/>
      <c r="C153" s="21"/>
      <c r="D153" s="21"/>
      <c r="E153" s="2"/>
      <c r="F153" s="21">
        <v>15</v>
      </c>
      <c r="G153" s="21">
        <v>500000</v>
      </c>
      <c r="H153" s="21">
        <f>VLOOKUP(F153&amp;"|"&amp;G153,$O$3:$P$16,2,FALSE)</f>
        <v>750</v>
      </c>
      <c r="I153" s="21">
        <f>VLOOKUP(F153&amp;"|"&amp;G153,$Q$3:$R$16,2,FALSE)</f>
        <v>24250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1"/>
      <c r="B154" s="21"/>
      <c r="C154" s="21"/>
      <c r="D154" s="21"/>
      <c r="E154" s="2"/>
      <c r="F154" s="21">
        <v>2</v>
      </c>
      <c r="G154" s="21">
        <v>1000000</v>
      </c>
      <c r="H154" s="21">
        <f>VLOOKUP(F154&amp;"|"&amp;G154,$O$3:$P$16,2,FALSE)</f>
        <v>8050</v>
      </c>
      <c r="I154" s="21">
        <f>VLOOKUP(F154&amp;"|"&amp;G154,$Q$3:$R$16,2,FALSE)</f>
        <v>41950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1"/>
      <c r="B155" s="21"/>
      <c r="C155" s="21"/>
      <c r="D155" s="21"/>
      <c r="E155" s="2"/>
      <c r="F155" s="21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1"/>
      <c r="B156" s="21"/>
      <c r="C156" s="21"/>
      <c r="D156" s="21"/>
      <c r="E156" s="2"/>
      <c r="F156" s="21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1" t="s">
        <v>16</v>
      </c>
      <c r="B157" s="21"/>
      <c r="C157" s="21"/>
      <c r="D157" s="21">
        <f>SUM(D152:D156)</f>
        <v>21500</v>
      </c>
      <c r="E157" s="2"/>
      <c r="F157" s="84" t="s">
        <v>16</v>
      </c>
      <c r="G157" s="85"/>
      <c r="H157" s="86"/>
      <c r="I157" s="21">
        <f>SUM(I152:I156)</f>
        <v>91050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thickTop="1" thickBo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1" t="s">
        <v>0</v>
      </c>
      <c r="B159" s="21" t="s">
        <v>82</v>
      </c>
      <c r="C159" s="21" t="s">
        <v>24</v>
      </c>
      <c r="D159" s="9">
        <v>45935</v>
      </c>
      <c r="E159" s="2"/>
      <c r="F159" s="21" t="s">
        <v>0</v>
      </c>
      <c r="G159" s="21" t="s">
        <v>21</v>
      </c>
      <c r="H159" s="21" t="s">
        <v>83</v>
      </c>
      <c r="I159" s="9">
        <v>45935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1" t="s">
        <v>6</v>
      </c>
      <c r="B160" s="21" t="s">
        <v>7</v>
      </c>
      <c r="C160" s="21" t="s">
        <v>8</v>
      </c>
      <c r="D160" s="21" t="s">
        <v>9</v>
      </c>
      <c r="E160" s="2"/>
      <c r="F160" s="21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21">
        <v>18.100000000000001</v>
      </c>
      <c r="B161" s="21">
        <v>1000000</v>
      </c>
      <c r="C161" s="21">
        <f>VLOOKUP(A161&amp;"|"&amp;B161,$O$3:$P$16,2,FALSE)</f>
        <v>300</v>
      </c>
      <c r="D161" s="21">
        <f>VLOOKUP(A161&amp;"|"&amp;B161,$Q$3:$R$16,2,FALSE)</f>
        <v>49700</v>
      </c>
      <c r="E161" s="2"/>
      <c r="F161" s="21">
        <v>18.100000000000001</v>
      </c>
      <c r="G161" s="21">
        <v>1000000</v>
      </c>
      <c r="H161" s="21">
        <f>VLOOKUP(F161&amp;"|"&amp;G161,$O$3:$P$16,2,FALSE)</f>
        <v>300</v>
      </c>
      <c r="I161" s="21">
        <f>VLOOKUP(F161&amp;"|"&amp;G161,$Q$3:$R$16,2,FALSE)</f>
        <v>49700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1"/>
      <c r="B162" s="21"/>
      <c r="C162" s="21"/>
      <c r="D162" s="21"/>
      <c r="E162" s="2"/>
      <c r="F162" s="21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1"/>
      <c r="B163" s="21"/>
      <c r="C163" s="21"/>
      <c r="D163" s="21"/>
      <c r="E163" s="2"/>
      <c r="F163" s="21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1"/>
      <c r="B164" s="21"/>
      <c r="C164" s="21"/>
      <c r="D164" s="21"/>
      <c r="E164" s="2"/>
      <c r="F164" s="21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1"/>
      <c r="B165" s="21"/>
      <c r="C165" s="21"/>
      <c r="D165" s="21"/>
      <c r="E165" s="2"/>
      <c r="F165" s="21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1" t="s">
        <v>16</v>
      </c>
      <c r="B166" s="21"/>
      <c r="C166" s="21"/>
      <c r="D166" s="21">
        <f>SUM(D161:D165)</f>
        <v>49700</v>
      </c>
      <c r="E166" s="2"/>
      <c r="F166" s="84" t="s">
        <v>16</v>
      </c>
      <c r="G166" s="85"/>
      <c r="H166" s="86"/>
      <c r="I166" s="21">
        <f>SUM(I161:I165)</f>
        <v>49700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thickTop="1" thickBo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1" t="s">
        <v>0</v>
      </c>
      <c r="B168" s="21" t="s">
        <v>84</v>
      </c>
      <c r="C168" s="21" t="s">
        <v>72</v>
      </c>
      <c r="D168" s="9">
        <v>45935</v>
      </c>
      <c r="E168" s="2"/>
      <c r="F168" s="21" t="s">
        <v>0</v>
      </c>
      <c r="G168" s="21" t="s">
        <v>29</v>
      </c>
      <c r="H168" s="21" t="s">
        <v>43</v>
      </c>
      <c r="I168" s="9">
        <v>45935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1" t="s">
        <v>6</v>
      </c>
      <c r="B169" s="21" t="s">
        <v>7</v>
      </c>
      <c r="C169" s="21" t="s">
        <v>8</v>
      </c>
      <c r="D169" s="21" t="s">
        <v>9</v>
      </c>
      <c r="E169" s="2"/>
      <c r="F169" s="21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21">
        <v>18.100000000000001</v>
      </c>
      <c r="B170" s="21">
        <v>1000000</v>
      </c>
      <c r="C170" s="21">
        <f>VLOOKUP(A170&amp;"|"&amp;B170,$O$3:$P$16,2,FALSE)</f>
        <v>300</v>
      </c>
      <c r="D170" s="21">
        <f>VLOOKUP(A170&amp;"|"&amp;B170,$Q$3:$R$16,2,FALSE)</f>
        <v>49700</v>
      </c>
      <c r="E170" s="2" t="s">
        <v>85</v>
      </c>
      <c r="F170" s="21">
        <v>18</v>
      </c>
      <c r="G170" s="21">
        <v>1000000</v>
      </c>
      <c r="H170" s="21">
        <f>VLOOKUP(F170&amp;"|"&amp;G170,$O$3:$P$16,2,FALSE)</f>
        <v>200</v>
      </c>
      <c r="I170" s="21">
        <f>VLOOKUP(F170&amp;"|"&amp;G170,$Q$3:$R$16,2,FALSE)</f>
        <v>49800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21">
        <v>7</v>
      </c>
      <c r="B171" s="21">
        <v>1000000</v>
      </c>
      <c r="C171" s="21">
        <f>VLOOKUP(A171&amp;"|"&amp;B171,$O$3:$P$16,2,FALSE)</f>
        <v>4500</v>
      </c>
      <c r="D171" s="21">
        <f>VLOOKUP(A171&amp;"|"&amp;B171,$Q$3:$R$16,2,FALSE)</f>
        <v>45500</v>
      </c>
      <c r="E171" s="2"/>
      <c r="F171" s="21">
        <v>12</v>
      </c>
      <c r="G171" s="21">
        <v>500000</v>
      </c>
      <c r="H171" s="21">
        <f>VLOOKUP(F171&amp;"|"&amp;G171,$O$3:$P$16,2,FALSE)</f>
        <v>1400</v>
      </c>
      <c r="I171" s="21">
        <f>VLOOKUP(F171&amp;"|"&amp;G171,$Q$3:$R$16,2,FALSE)</f>
        <v>23600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21">
        <v>7</v>
      </c>
      <c r="B172" s="21">
        <v>1000000</v>
      </c>
      <c r="C172" s="21">
        <f>VLOOKUP(A172&amp;"|"&amp;B172,$O$3:$P$16,2,FALSE)</f>
        <v>4500</v>
      </c>
      <c r="D172" s="21">
        <f>VLOOKUP(A172&amp;"|"&amp;B172,$Q$3:$R$16,2,FALSE)</f>
        <v>45500</v>
      </c>
      <c r="E172" s="2"/>
      <c r="F172" s="21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1"/>
      <c r="B173" s="21"/>
      <c r="C173" s="21"/>
      <c r="D173" s="21"/>
      <c r="E173" s="2"/>
      <c r="F173" s="21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1"/>
      <c r="B174" s="21"/>
      <c r="C174" s="21"/>
      <c r="D174" s="21"/>
      <c r="E174" s="2"/>
      <c r="F174" s="21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1" t="s">
        <v>16</v>
      </c>
      <c r="B175" s="21"/>
      <c r="C175" s="21"/>
      <c r="D175" s="21">
        <f>SUM(D170:D174)</f>
        <v>140700</v>
      </c>
      <c r="E175" s="2"/>
      <c r="F175" s="84" t="s">
        <v>16</v>
      </c>
      <c r="G175" s="85"/>
      <c r="H175" s="86"/>
      <c r="I175" s="21">
        <f>SUM(I170:I174)</f>
        <v>73400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thickTop="1" thickBo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1" t="s">
        <v>0</v>
      </c>
      <c r="B177" s="21" t="s">
        <v>86</v>
      </c>
      <c r="C177" s="21" t="s">
        <v>62</v>
      </c>
      <c r="D177" s="9">
        <v>45935</v>
      </c>
      <c r="E177" s="2"/>
      <c r="F177" s="21" t="s">
        <v>0</v>
      </c>
      <c r="G177" s="21" t="s">
        <v>87</v>
      </c>
      <c r="H177" s="21" t="s">
        <v>76</v>
      </c>
      <c r="I177" s="9">
        <v>45935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1" t="s">
        <v>6</v>
      </c>
      <c r="B178" s="21" t="s">
        <v>7</v>
      </c>
      <c r="C178" s="21" t="s">
        <v>8</v>
      </c>
      <c r="D178" s="21" t="s">
        <v>9</v>
      </c>
      <c r="E178" s="2"/>
      <c r="F178" s="21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21">
        <v>7</v>
      </c>
      <c r="B179" s="21">
        <v>2000000</v>
      </c>
      <c r="C179" s="21">
        <f>VLOOKUP(A179&amp;"|"&amp;B179,$O$3:$P$16,2,FALSE)</f>
        <v>9150</v>
      </c>
      <c r="D179" s="21">
        <f>VLOOKUP(A179&amp;"|"&amp;B179,$Q$3:$R$16,2,FALSE)</f>
        <v>90850</v>
      </c>
      <c r="E179" s="2"/>
      <c r="F179" s="21">
        <v>18.100000000000001</v>
      </c>
      <c r="G179" s="21">
        <v>1000000</v>
      </c>
      <c r="H179" s="21">
        <f>VLOOKUP(F179&amp;"|"&amp;G179,$O$3:$P$16,2,FALSE)</f>
        <v>300</v>
      </c>
      <c r="I179" s="21">
        <f>VLOOKUP(F179&amp;"|"&amp;G179,$Q$3:$R$16,2,FALSE)</f>
        <v>49700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21">
        <v>15</v>
      </c>
      <c r="B180" s="21">
        <v>500000</v>
      </c>
      <c r="C180" s="21">
        <f>VLOOKUP(A180&amp;"|"&amp;B180,$O$3:$P$16,2,FALSE)</f>
        <v>750</v>
      </c>
      <c r="D180" s="21">
        <f>VLOOKUP(A180&amp;"|"&amp;B180,$Q$3:$R$16,2,FALSE)</f>
        <v>24250</v>
      </c>
      <c r="E180" s="2"/>
      <c r="F180" s="21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1"/>
      <c r="B181" s="21"/>
      <c r="C181" s="21"/>
      <c r="D181" s="21"/>
      <c r="E181" s="2"/>
      <c r="F181" s="21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1"/>
      <c r="B182" s="21"/>
      <c r="C182" s="21"/>
      <c r="D182" s="21"/>
      <c r="E182" s="2"/>
      <c r="F182" s="21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1"/>
      <c r="B183" s="21"/>
      <c r="C183" s="21"/>
      <c r="D183" s="21"/>
      <c r="E183" s="2"/>
      <c r="F183" s="21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1" t="s">
        <v>16</v>
      </c>
      <c r="B184" s="21"/>
      <c r="C184" s="21"/>
      <c r="D184" s="21">
        <f>SUM(D179:D183)</f>
        <v>115100</v>
      </c>
      <c r="E184" s="2"/>
      <c r="F184" s="84" t="s">
        <v>16</v>
      </c>
      <c r="G184" s="85"/>
      <c r="H184" s="86"/>
      <c r="I184" s="21">
        <f>SUM(I179:I183)</f>
        <v>49700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thickTop="1" thickBot="1">
      <c r="A185" s="2" t="s">
        <v>182</v>
      </c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2" t="s">
        <v>3</v>
      </c>
      <c r="B186" s="12" t="s">
        <v>88</v>
      </c>
      <c r="C186" s="12" t="s">
        <v>76</v>
      </c>
      <c r="D186" s="9">
        <v>45935</v>
      </c>
      <c r="E186" s="2"/>
      <c r="F186" s="21" t="s">
        <v>0</v>
      </c>
      <c r="G186" s="21" t="s">
        <v>89</v>
      </c>
      <c r="H186" s="21" t="s">
        <v>90</v>
      </c>
      <c r="I186" s="9">
        <v>45935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1" t="s">
        <v>91</v>
      </c>
      <c r="B187" s="21" t="s">
        <v>92</v>
      </c>
      <c r="C187" s="21" t="s">
        <v>93</v>
      </c>
      <c r="D187" s="21" t="s">
        <v>9</v>
      </c>
      <c r="E187" s="2"/>
      <c r="F187" s="21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21">
        <v>2</v>
      </c>
      <c r="B188" s="21">
        <v>1000000</v>
      </c>
      <c r="C188" s="21">
        <f>VLOOKUP(A188&amp;"|"&amp;B188,$O$3:$P$17,2,FALSE)</f>
        <v>8050</v>
      </c>
      <c r="D188" s="21">
        <f>VLOOKUP(A188&amp;"|"&amp;B188,$Q$3:$R$17,2,FALSE)</f>
        <v>41950</v>
      </c>
      <c r="E188" s="2"/>
      <c r="F188" s="21">
        <v>18.100000000000001</v>
      </c>
      <c r="G188" s="21">
        <v>500000</v>
      </c>
      <c r="H188" s="21">
        <f>VLOOKUP(F188&amp;"|"&amp;G188,$O$3:$P$16,2,FALSE)</f>
        <v>100</v>
      </c>
      <c r="I188" s="21">
        <f>VLOOKUP(F188&amp;"|"&amp;G188,$Q$3:$R$16,2,FALSE)</f>
        <v>24900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21">
        <v>18.100000000000001</v>
      </c>
      <c r="B189" s="21">
        <v>1000000</v>
      </c>
      <c r="C189" s="21">
        <f>VLOOKUP(A189&amp;"|"&amp;B189,$O$3:$P$17,2,FALSE)</f>
        <v>300</v>
      </c>
      <c r="D189" s="21">
        <f>VLOOKUP(A189&amp;"|"&amp;B189,$Q$3:$R$17,2,FALSE)</f>
        <v>49700</v>
      </c>
      <c r="E189" s="2"/>
      <c r="F189" s="21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21"/>
      <c r="B190" s="21"/>
      <c r="C190" s="21"/>
      <c r="D190" s="21"/>
      <c r="E190" s="2"/>
      <c r="F190" s="21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1"/>
      <c r="B191" s="21"/>
      <c r="C191" s="21"/>
      <c r="D191" s="21"/>
      <c r="E191" s="2"/>
      <c r="F191" s="21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1"/>
      <c r="B192" s="21"/>
      <c r="C192" s="21"/>
      <c r="D192" s="21"/>
      <c r="E192" s="2"/>
      <c r="F192" s="21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1" t="s">
        <v>16</v>
      </c>
      <c r="B193" s="21"/>
      <c r="C193" s="21"/>
      <c r="D193" s="21">
        <f>SUM(D188:D192)</f>
        <v>91650</v>
      </c>
      <c r="E193" s="2"/>
      <c r="F193" s="84" t="s">
        <v>16</v>
      </c>
      <c r="G193" s="85"/>
      <c r="H193" s="86"/>
      <c r="I193" s="21">
        <f>SUM(I188:I192)</f>
        <v>24900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thickTop="1" thickBo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1" t="s">
        <v>0</v>
      </c>
      <c r="B195" s="21" t="s">
        <v>94</v>
      </c>
      <c r="C195" s="21" t="s">
        <v>24</v>
      </c>
      <c r="D195" s="9">
        <v>45935</v>
      </c>
      <c r="E195" s="2"/>
      <c r="F195" s="21" t="s">
        <v>0</v>
      </c>
      <c r="G195" s="21" t="s">
        <v>95</v>
      </c>
      <c r="H195" s="21" t="s">
        <v>96</v>
      </c>
      <c r="I195" s="9">
        <v>45935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1" t="s">
        <v>6</v>
      </c>
      <c r="B196" s="21" t="s">
        <v>7</v>
      </c>
      <c r="C196" s="21" t="s">
        <v>8</v>
      </c>
      <c r="D196" s="21" t="s">
        <v>9</v>
      </c>
      <c r="E196" s="2"/>
      <c r="F196" s="21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21">
        <v>18.100000000000001</v>
      </c>
      <c r="B197" s="21">
        <v>1000000</v>
      </c>
      <c r="C197" s="21">
        <f>VLOOKUP(A197&amp;"|"&amp;B197,$O$3:$P$16,2,FALSE)</f>
        <v>300</v>
      </c>
      <c r="D197" s="21">
        <f>VLOOKUP(A197&amp;"|"&amp;B197,$Q$3:$R$16,2,FALSE)</f>
        <v>49700</v>
      </c>
      <c r="E197" s="2"/>
      <c r="F197" s="21">
        <v>18</v>
      </c>
      <c r="G197" s="21">
        <v>1000000</v>
      </c>
      <c r="H197" s="21">
        <f>VLOOKUP(F197&amp;"|"&amp;G197,$O$3:$P$16,2,FALSE)</f>
        <v>200</v>
      </c>
      <c r="I197" s="21">
        <f>VLOOKUP(F197&amp;"|"&amp;G197,$Q$3:$R$16,2,FALSE)</f>
        <v>49800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21">
        <v>7</v>
      </c>
      <c r="B198" s="21">
        <v>1000000</v>
      </c>
      <c r="C198" s="21">
        <f>VLOOKUP(A198&amp;"|"&amp;B198,$O$3:$P$16,2,FALSE)</f>
        <v>4500</v>
      </c>
      <c r="D198" s="21">
        <f>VLOOKUP(A198&amp;"|"&amp;B198,$Q$3:$R$16,2,FALSE)</f>
        <v>45500</v>
      </c>
      <c r="E198" s="2"/>
      <c r="F198" s="21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1"/>
      <c r="B199" s="21"/>
      <c r="C199" s="21"/>
      <c r="D199" s="21"/>
      <c r="E199" s="2"/>
      <c r="F199" s="21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1"/>
      <c r="B200" s="21"/>
      <c r="C200" s="21"/>
      <c r="D200" s="21"/>
      <c r="E200" s="2"/>
      <c r="F200" s="21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1"/>
      <c r="B201" s="21"/>
      <c r="C201" s="21"/>
      <c r="D201" s="21"/>
      <c r="E201" s="2"/>
      <c r="F201" s="21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1" t="s">
        <v>16</v>
      </c>
      <c r="B202" s="21"/>
      <c r="C202" s="21"/>
      <c r="D202" s="21">
        <f>SUM(D197:D201)</f>
        <v>95200</v>
      </c>
      <c r="E202" s="2"/>
      <c r="F202" s="84" t="s">
        <v>16</v>
      </c>
      <c r="G202" s="85"/>
      <c r="H202" s="86"/>
      <c r="I202" s="21">
        <f>SUM(I197:I201)</f>
        <v>49800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thickTop="1" thickBo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2" t="s">
        <v>3</v>
      </c>
      <c r="B204" s="12" t="s">
        <v>97</v>
      </c>
      <c r="C204" s="12" t="s">
        <v>98</v>
      </c>
      <c r="D204" s="9">
        <v>45935</v>
      </c>
      <c r="F204" s="12" t="s">
        <v>3</v>
      </c>
      <c r="G204" s="12" t="s">
        <v>99</v>
      </c>
      <c r="H204" s="12" t="s">
        <v>100</v>
      </c>
      <c r="I204" s="9">
        <v>45935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1" t="s">
        <v>6</v>
      </c>
      <c r="B205" s="21" t="s">
        <v>7</v>
      </c>
      <c r="C205" s="21" t="s">
        <v>8</v>
      </c>
      <c r="D205" s="21" t="s">
        <v>9</v>
      </c>
      <c r="F205" s="21" t="s">
        <v>6</v>
      </c>
      <c r="G205" s="21" t="s">
        <v>92</v>
      </c>
      <c r="H205" s="21" t="s">
        <v>8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21">
        <v>18</v>
      </c>
      <c r="B206" s="21">
        <v>1000000</v>
      </c>
      <c r="C206" s="21">
        <f>VLOOKUP(A206&amp;"|"&amp;B206,$O$3:$P$18,2,FALSE)</f>
        <v>200</v>
      </c>
      <c r="D206" s="21">
        <f>VLOOKUP(A206&amp;"|"&amp;B206,$Q$3:$R$17,2,FALSE)</f>
        <v>49800</v>
      </c>
      <c r="F206" s="21">
        <v>2.1</v>
      </c>
      <c r="G206" s="21">
        <v>1000000</v>
      </c>
      <c r="H206" s="21">
        <f>VLOOKUP(F206&amp;"|"&amp;G206,$O$3:$P$17,2,FALSE)</f>
        <v>8250</v>
      </c>
      <c r="I206" s="21">
        <f>VLOOKUP(F206&amp;"|"&amp;G206,$Q$3:$R$17,2,FALSE)</f>
        <v>41750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21">
        <v>18.100000000000001</v>
      </c>
      <c r="B207" s="21">
        <v>1000000</v>
      </c>
      <c r="C207" s="21">
        <f>VLOOKUP(A207&amp;"|"&amp;B207,$O$3:$P$17,2,FALSE)</f>
        <v>300</v>
      </c>
      <c r="D207" s="21">
        <f>VLOOKUP(A207&amp;"|"&amp;B207,$Q$3:$R$17,2,FALSE)</f>
        <v>49700</v>
      </c>
      <c r="F207" s="21">
        <v>7</v>
      </c>
      <c r="G207" s="21">
        <v>1000000</v>
      </c>
      <c r="H207" s="21">
        <f>VLOOKUP(F207&amp;"|"&amp;G207,$O$3:$P$17,2,FALSE)</f>
        <v>4500</v>
      </c>
      <c r="I207" s="21">
        <f>VLOOKUP(F207&amp;"|"&amp;G207,$Q$3:$R$17,2,FALSE)</f>
        <v>45500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1"/>
      <c r="B208" s="21"/>
      <c r="C208" s="21"/>
      <c r="D208" s="21"/>
      <c r="E208" s="2"/>
      <c r="F208" s="21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1"/>
      <c r="B209" s="21"/>
      <c r="C209" s="21"/>
      <c r="D209" s="21"/>
      <c r="E209" s="2"/>
      <c r="F209" s="21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1"/>
      <c r="B210" s="21"/>
      <c r="C210" s="21"/>
      <c r="D210" s="21"/>
      <c r="E210" s="2"/>
      <c r="F210" s="21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1" t="s">
        <v>16</v>
      </c>
      <c r="B211" s="21"/>
      <c r="C211" s="21"/>
      <c r="D211" s="21">
        <f>SUM(D206:D210)</f>
        <v>99500</v>
      </c>
      <c r="E211" s="2"/>
      <c r="F211" s="84" t="s">
        <v>16</v>
      </c>
      <c r="G211" s="85"/>
      <c r="H211" s="86"/>
      <c r="I211" s="21">
        <f>SUM(I206:I210)</f>
        <v>87250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thickTop="1" thickBo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1" t="s">
        <v>0</v>
      </c>
      <c r="B213" s="21" t="s">
        <v>57</v>
      </c>
      <c r="C213" s="21" t="s">
        <v>101</v>
      </c>
      <c r="D213" s="9">
        <v>45935</v>
      </c>
      <c r="E213" s="2"/>
      <c r="F213" s="21" t="s">
        <v>0</v>
      </c>
      <c r="G213" s="21" t="s">
        <v>35</v>
      </c>
      <c r="H213" s="21" t="s">
        <v>102</v>
      </c>
      <c r="I213" s="9">
        <v>45935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1" t="s">
        <v>6</v>
      </c>
      <c r="B214" s="21" t="s">
        <v>7</v>
      </c>
      <c r="C214" s="21" t="s">
        <v>8</v>
      </c>
      <c r="D214" s="21" t="s">
        <v>9</v>
      </c>
      <c r="E214" s="2"/>
      <c r="F214" s="21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21">
        <v>2</v>
      </c>
      <c r="B215" s="21">
        <v>500000</v>
      </c>
      <c r="C215" s="21">
        <f>VLOOKUP(A215&amp;"|"&amp;B215,$O$3:$P$16,2,FALSE)</f>
        <v>3500</v>
      </c>
      <c r="D215" s="21">
        <f>VLOOKUP(A215&amp;"|"&amp;B215,$Q$3:$R$16,2,FALSE)</f>
        <v>21500</v>
      </c>
      <c r="E215" s="2"/>
      <c r="F215" s="21">
        <v>2</v>
      </c>
      <c r="G215" s="21">
        <v>500000</v>
      </c>
      <c r="H215" s="21">
        <f>VLOOKUP(F215&amp;"|"&amp;G215,$O$3:$P$16,2,FALSE)</f>
        <v>3500</v>
      </c>
      <c r="I215" s="21">
        <f>VLOOKUP(F215&amp;"|"&amp;G215,$Q$3:$R$16,2,FALSE)</f>
        <v>21500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1"/>
      <c r="B216" s="21"/>
      <c r="C216" s="21"/>
      <c r="D216" s="21"/>
      <c r="E216" s="2"/>
      <c r="F216" s="21">
        <v>15</v>
      </c>
      <c r="G216" s="21">
        <v>500000</v>
      </c>
      <c r="H216" s="21">
        <f>VLOOKUP(F216&amp;"|"&amp;G216,$O$3:$P$16,2,FALSE)</f>
        <v>750</v>
      </c>
      <c r="I216" s="21">
        <f>VLOOKUP(F216&amp;"|"&amp;G216,$Q$3:$R$16,2,FALSE)</f>
        <v>24250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1"/>
      <c r="B217" s="21"/>
      <c r="C217" s="21"/>
      <c r="D217" s="21"/>
      <c r="E217" s="2"/>
      <c r="F217" s="21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1"/>
      <c r="B218" s="21"/>
      <c r="C218" s="21"/>
      <c r="D218" s="21"/>
      <c r="E218" s="2"/>
      <c r="F218" s="21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1"/>
      <c r="B219" s="21"/>
      <c r="C219" s="21"/>
      <c r="D219" s="21"/>
      <c r="E219" s="2"/>
      <c r="F219" s="21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1" t="s">
        <v>16</v>
      </c>
      <c r="B220" s="21"/>
      <c r="C220" s="21"/>
      <c r="D220" s="21">
        <f>SUM(D215:D219)</f>
        <v>21500</v>
      </c>
      <c r="E220" s="2"/>
      <c r="F220" s="84" t="s">
        <v>16</v>
      </c>
      <c r="G220" s="85"/>
      <c r="H220" s="86"/>
      <c r="I220" s="21">
        <f>SUM(I215:I219)</f>
        <v>45750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thickTop="1" thickBo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1" t="s">
        <v>0</v>
      </c>
      <c r="B222" s="21" t="s">
        <v>88</v>
      </c>
      <c r="C222" s="21" t="s">
        <v>24</v>
      </c>
      <c r="D222" s="9">
        <v>45935</v>
      </c>
      <c r="E222" s="2"/>
      <c r="F222" s="21" t="s">
        <v>0</v>
      </c>
      <c r="G222" s="21" t="s">
        <v>103</v>
      </c>
      <c r="H222" s="21" t="s">
        <v>104</v>
      </c>
      <c r="I222" s="9">
        <v>45935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1" t="s">
        <v>6</v>
      </c>
      <c r="B223" s="21" t="s">
        <v>7</v>
      </c>
      <c r="C223" s="21" t="s">
        <v>8</v>
      </c>
      <c r="D223" s="21" t="s">
        <v>9</v>
      </c>
      <c r="E223" s="2"/>
      <c r="F223" s="21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21">
        <v>12</v>
      </c>
      <c r="B224" s="21">
        <v>500000</v>
      </c>
      <c r="C224" s="21">
        <f>VLOOKUP(A224&amp;"|"&amp;B224,$O$3:$P$16,2,FALSE)</f>
        <v>1400</v>
      </c>
      <c r="D224" s="21">
        <f>VLOOKUP(A224&amp;"|"&amp;B224,$Q$3:$R$16,2,FALSE)</f>
        <v>23600</v>
      </c>
      <c r="E224" s="2"/>
      <c r="F224" s="21">
        <v>12</v>
      </c>
      <c r="G224" s="21">
        <v>500000</v>
      </c>
      <c r="H224" s="21">
        <f>VLOOKUP(F224&amp;"|"&amp;G224,$O$3:$P$16,2,FALSE)</f>
        <v>1400</v>
      </c>
      <c r="I224" s="21">
        <f>VLOOKUP(F224&amp;"|"&amp;G224,$Q$3:$R$16,2,FALSE)</f>
        <v>23600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1"/>
      <c r="B225" s="21"/>
      <c r="C225" s="21"/>
      <c r="D225" s="21"/>
      <c r="E225" s="2"/>
      <c r="F225" s="21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1"/>
      <c r="B226" s="21"/>
      <c r="C226" s="21"/>
      <c r="D226" s="21"/>
      <c r="E226" s="2"/>
      <c r="F226" s="21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1"/>
      <c r="B227" s="21"/>
      <c r="C227" s="21"/>
      <c r="D227" s="21"/>
      <c r="E227" s="2"/>
      <c r="F227" s="21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1"/>
      <c r="B228" s="21"/>
      <c r="C228" s="21"/>
      <c r="D228" s="21"/>
      <c r="E228" s="2"/>
      <c r="F228" s="21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1" t="s">
        <v>16</v>
      </c>
      <c r="B229" s="21"/>
      <c r="C229" s="21"/>
      <c r="D229" s="21">
        <f>SUM(D224:D228)</f>
        <v>23600</v>
      </c>
      <c r="E229" s="2"/>
      <c r="F229" s="84" t="s">
        <v>16</v>
      </c>
      <c r="G229" s="85"/>
      <c r="H229" s="86"/>
      <c r="I229" s="21">
        <f>SUM(I224:I228)</f>
        <v>23600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thickTop="1" thickBo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1" t="s">
        <v>0</v>
      </c>
      <c r="B231" s="21" t="s">
        <v>71</v>
      </c>
      <c r="C231" s="21" t="s">
        <v>105</v>
      </c>
      <c r="D231" s="9">
        <v>45935</v>
      </c>
      <c r="E231" s="2"/>
      <c r="F231" s="21" t="s">
        <v>0</v>
      </c>
      <c r="G231" s="21" t="s">
        <v>106</v>
      </c>
      <c r="H231" s="21" t="s">
        <v>81</v>
      </c>
      <c r="I231" s="9">
        <v>45935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1" t="s">
        <v>6</v>
      </c>
      <c r="B232" s="21" t="s">
        <v>7</v>
      </c>
      <c r="C232" s="21" t="s">
        <v>8</v>
      </c>
      <c r="D232" s="21" t="s">
        <v>9</v>
      </c>
      <c r="E232" s="2"/>
      <c r="F232" s="21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21">
        <v>7</v>
      </c>
      <c r="B233" s="21">
        <v>500000</v>
      </c>
      <c r="C233" s="21">
        <f>VLOOKUP(A233&amp;"|"&amp;B233,$O$3:$P$16,2,FALSE)</f>
        <v>2600</v>
      </c>
      <c r="D233" s="21">
        <f>VLOOKUP(A233&amp;"|"&amp;B233,$Q$3:$R$16,2,FALSE)</f>
        <v>22400</v>
      </c>
      <c r="E233" s="2"/>
      <c r="F233" s="21">
        <v>7</v>
      </c>
      <c r="G233" s="21">
        <v>2000000</v>
      </c>
      <c r="H233" s="21">
        <f>VLOOKUP(F233&amp;"|"&amp;G233,$O$3:$P$19,2,FALSE)</f>
        <v>9150</v>
      </c>
      <c r="I233" s="21">
        <f>VLOOKUP(F233&amp;"|"&amp;G233,$Q$3:$R$19,2,FALSE)</f>
        <v>90850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1"/>
      <c r="B234" s="21"/>
      <c r="C234" s="21"/>
      <c r="D234" s="21"/>
      <c r="E234" s="2"/>
      <c r="F234" s="21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1"/>
      <c r="B235" s="21"/>
      <c r="C235" s="21"/>
      <c r="D235" s="21"/>
      <c r="E235" s="2"/>
      <c r="F235" s="21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1"/>
      <c r="B236" s="21"/>
      <c r="C236" s="21"/>
      <c r="D236" s="21"/>
      <c r="E236" s="2"/>
      <c r="F236" s="21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1"/>
      <c r="B237" s="21"/>
      <c r="C237" s="21"/>
      <c r="D237" s="21"/>
      <c r="E237" s="2"/>
      <c r="F237" s="21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1" t="s">
        <v>16</v>
      </c>
      <c r="B238" s="21"/>
      <c r="C238" s="21"/>
      <c r="D238" s="21">
        <f>SUM(D233:D237)</f>
        <v>22400</v>
      </c>
      <c r="E238" s="2"/>
      <c r="F238" s="84" t="s">
        <v>16</v>
      </c>
      <c r="G238" s="85"/>
      <c r="H238" s="86"/>
      <c r="I238" s="21">
        <f>SUM(I233:I237)</f>
        <v>90850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thickTop="1" thickBo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1" t="s">
        <v>0</v>
      </c>
      <c r="B240" s="21" t="s">
        <v>35</v>
      </c>
      <c r="C240" s="21" t="s">
        <v>58</v>
      </c>
      <c r="D240" s="9">
        <v>45935</v>
      </c>
      <c r="E240" s="2"/>
      <c r="F240" s="21" t="s">
        <v>0</v>
      </c>
      <c r="G240" s="21" t="s">
        <v>107</v>
      </c>
      <c r="H240" s="21" t="s">
        <v>108</v>
      </c>
      <c r="I240" s="9">
        <v>45935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1" t="s">
        <v>6</v>
      </c>
      <c r="B241" s="21" t="s">
        <v>7</v>
      </c>
      <c r="C241" s="21" t="s">
        <v>8</v>
      </c>
      <c r="D241" s="21" t="s">
        <v>9</v>
      </c>
      <c r="E241" s="2"/>
      <c r="F241" s="21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21">
        <v>2</v>
      </c>
      <c r="B242" s="21">
        <v>500000</v>
      </c>
      <c r="C242" s="21">
        <f>VLOOKUP(A242&amp;"|"&amp;B242,$O$3:$P$19,2,FALSE)</f>
        <v>3500</v>
      </c>
      <c r="D242" s="21">
        <f>VLOOKUP(A242&amp;"|"&amp;B242,$Q$3:$R$19,2,FALSE)</f>
        <v>21500</v>
      </c>
      <c r="E242" s="2"/>
      <c r="F242" s="21">
        <v>2</v>
      </c>
      <c r="G242" s="21">
        <v>1000000</v>
      </c>
      <c r="H242" s="21">
        <f>VLOOKUP(F242&amp;"|"&amp;G242,$O$3:$P$16,2,FALSE)</f>
        <v>8050</v>
      </c>
      <c r="I242" s="21">
        <f>VLOOKUP(F242&amp;"|"&amp;G242,$Q$3:$R$16,2,FALSE)</f>
        <v>41950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21">
        <v>2</v>
      </c>
      <c r="B243" s="21">
        <v>500000</v>
      </c>
      <c r="C243" s="21">
        <f>VLOOKUP(A243&amp;"|"&amp;B243,$O$3:$P$19,2,FALSE)</f>
        <v>3500</v>
      </c>
      <c r="D243" s="21">
        <f>VLOOKUP(A243&amp;"|"&amp;B243,$Q$3:$R$19,2,FALSE)</f>
        <v>21500</v>
      </c>
      <c r="E243" s="2"/>
      <c r="F243" s="21">
        <v>7</v>
      </c>
      <c r="G243" s="21">
        <v>2000000</v>
      </c>
      <c r="H243" s="21">
        <f>VLOOKUP(F243&amp;"|"&amp;G243,$O$3:$P$16,2,FALSE)</f>
        <v>9150</v>
      </c>
      <c r="I243" s="21">
        <f>VLOOKUP(F243&amp;"|"&amp;G243,$Q$3:$R$16,2,FALSE)</f>
        <v>90850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1"/>
      <c r="B244" s="21"/>
      <c r="C244" s="21"/>
      <c r="D244" s="21"/>
      <c r="E244" s="2"/>
      <c r="F244" s="21">
        <v>15</v>
      </c>
      <c r="G244" s="21">
        <v>500000</v>
      </c>
      <c r="H244" s="21">
        <f>VLOOKUP(F244&amp;"|"&amp;G244,$O$3:$P$16,2,FALSE)</f>
        <v>750</v>
      </c>
      <c r="I244" s="21">
        <f>VLOOKUP(F244&amp;"|"&amp;G244,$Q$3:$R$16,2,FALSE)</f>
        <v>24250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1"/>
      <c r="B245" s="21"/>
      <c r="C245" s="21"/>
      <c r="D245" s="21"/>
      <c r="E245" s="2"/>
      <c r="F245" s="21">
        <v>15</v>
      </c>
      <c r="G245" s="21">
        <v>500000</v>
      </c>
      <c r="H245" s="21">
        <f>VLOOKUP(F245&amp;"|"&amp;G245,$O$3:$P$16,2,FALSE)</f>
        <v>750</v>
      </c>
      <c r="I245" s="21">
        <f>VLOOKUP(F245&amp;"|"&amp;G245,$Q$3:$R$16,2,FALSE)</f>
        <v>24250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1"/>
      <c r="B246" s="21"/>
      <c r="C246" s="21"/>
      <c r="D246" s="21"/>
      <c r="E246" s="2"/>
      <c r="F246" s="21">
        <v>2.1</v>
      </c>
      <c r="G246" s="21">
        <v>1000000</v>
      </c>
      <c r="H246" s="21">
        <f>VLOOKUP(F246&amp;"|"&amp;G246,$O$3:$P$16,2,FALSE)</f>
        <v>8250</v>
      </c>
      <c r="I246" s="21">
        <f>VLOOKUP(F246&amp;"|"&amp;G246,$Q$3:$R$16,2,FALSE)</f>
        <v>41750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1" t="s">
        <v>16</v>
      </c>
      <c r="B247" s="21"/>
      <c r="C247" s="21"/>
      <c r="D247" s="21">
        <f>SUM(D242:D246)</f>
        <v>43000</v>
      </c>
      <c r="E247" s="2"/>
      <c r="F247" s="84" t="s">
        <v>16</v>
      </c>
      <c r="G247" s="85"/>
      <c r="H247" s="86"/>
      <c r="I247" s="21">
        <f>SUM(I242:I246)</f>
        <v>223050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thickTop="1" thickBo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1" t="s">
        <v>0</v>
      </c>
      <c r="B249" s="21" t="s">
        <v>109</v>
      </c>
      <c r="C249" s="21" t="s">
        <v>110</v>
      </c>
      <c r="D249" s="9">
        <v>45935</v>
      </c>
      <c r="E249" s="2"/>
      <c r="F249" s="21" t="s">
        <v>0</v>
      </c>
      <c r="G249" s="21" t="s">
        <v>187</v>
      </c>
      <c r="H249" s="21" t="s">
        <v>38</v>
      </c>
      <c r="I249" s="9">
        <v>45935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1" t="s">
        <v>6</v>
      </c>
      <c r="B250" s="21" t="s">
        <v>7</v>
      </c>
      <c r="C250" s="21" t="s">
        <v>8</v>
      </c>
      <c r="D250" s="21" t="s">
        <v>9</v>
      </c>
      <c r="E250" s="2"/>
      <c r="F250" s="21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21">
        <v>2</v>
      </c>
      <c r="B251" s="21">
        <v>1000000</v>
      </c>
      <c r="C251" s="21">
        <f>VLOOKUP(A251&amp;"|"&amp;B251,$O$3:$P$16,2,FALSE)</f>
        <v>8050</v>
      </c>
      <c r="D251" s="21">
        <f>VLOOKUP(A251&amp;"|"&amp;B251,$Q$3:$R$16,2,FALSE)</f>
        <v>41950</v>
      </c>
      <c r="E251" s="2"/>
      <c r="F251" s="21">
        <v>12</v>
      </c>
      <c r="G251" s="21">
        <v>500000</v>
      </c>
      <c r="H251" s="21">
        <f>VLOOKUP(F251&amp;"|"&amp;G251,$O$3:$P$16,2,FALSE)</f>
        <v>1400</v>
      </c>
      <c r="I251" s="21">
        <f>VLOOKUP(F251&amp;"|"&amp;G251,$Q$3:$R$16,2,FALSE)</f>
        <v>23600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21">
        <v>2.1</v>
      </c>
      <c r="B252" s="21">
        <v>1000000</v>
      </c>
      <c r="C252" s="21">
        <f>VLOOKUP(A252&amp;"|"&amp;B252,$O$3:$P$16,2,FALSE)</f>
        <v>8250</v>
      </c>
      <c r="D252" s="21">
        <f>VLOOKUP(A252&amp;"|"&amp;B252,$Q$3:$R$16,2,FALSE)</f>
        <v>41750</v>
      </c>
      <c r="E252" s="2"/>
      <c r="F252" s="21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1"/>
      <c r="B253" s="21"/>
      <c r="C253" s="21"/>
      <c r="D253" s="21"/>
      <c r="E253" s="2"/>
      <c r="F253" s="21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1"/>
      <c r="B254" s="21"/>
      <c r="C254" s="21"/>
      <c r="D254" s="21"/>
      <c r="E254" s="2"/>
      <c r="F254" s="21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1"/>
      <c r="B255" s="21"/>
      <c r="C255" s="21"/>
      <c r="D255" s="21"/>
      <c r="E255" s="2"/>
      <c r="F255" s="21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1" t="s">
        <v>16</v>
      </c>
      <c r="B256" s="21"/>
      <c r="C256" s="21"/>
      <c r="D256" s="21">
        <f>SUM(D251:D255)</f>
        <v>83700</v>
      </c>
      <c r="E256" s="2"/>
      <c r="F256" s="84" t="s">
        <v>16</v>
      </c>
      <c r="G256" s="85"/>
      <c r="H256" s="86"/>
      <c r="I256" s="21">
        <f>SUM(I251:I255)</f>
        <v>23600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thickTop="1" thickBo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1" t="s">
        <v>0</v>
      </c>
      <c r="B258" s="21" t="s">
        <v>111</v>
      </c>
      <c r="C258" s="21" t="s">
        <v>18</v>
      </c>
      <c r="D258" s="9">
        <v>45935</v>
      </c>
      <c r="E258" s="2"/>
      <c r="F258" s="21" t="s">
        <v>0</v>
      </c>
      <c r="G258" s="21" t="s">
        <v>112</v>
      </c>
      <c r="H258" s="21" t="s">
        <v>113</v>
      </c>
      <c r="I258" s="9">
        <v>45935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1" t="s">
        <v>6</v>
      </c>
      <c r="B259" s="21" t="s">
        <v>7</v>
      </c>
      <c r="C259" s="21" t="s">
        <v>8</v>
      </c>
      <c r="D259" s="21" t="s">
        <v>9</v>
      </c>
      <c r="E259" s="2"/>
      <c r="F259" s="21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21">
        <v>18</v>
      </c>
      <c r="B260" s="21">
        <v>500000</v>
      </c>
      <c r="C260" s="21">
        <f>VLOOKUP(A260&amp;"|"&amp;B260,$O$3:$P$18,2,FALSE)</f>
        <v>150</v>
      </c>
      <c r="D260" s="21">
        <f>VLOOKUP(A260&amp;"|"&amp;B260,$Q$3:$R$18,2,FALSE)</f>
        <v>24850</v>
      </c>
      <c r="E260" s="2"/>
      <c r="F260" s="21">
        <v>2</v>
      </c>
      <c r="G260" s="21">
        <v>500000</v>
      </c>
      <c r="H260" s="21">
        <f>VLOOKUP(F260&amp;"|"&amp;G260,$O$3:$P$16,2,FALSE)</f>
        <v>3500</v>
      </c>
      <c r="I260" s="21">
        <f>VLOOKUP(F260&amp;"|"&amp;G260,$Q$3:$R$16,2,FALSE)</f>
        <v>21500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21">
        <v>7</v>
      </c>
      <c r="B261" s="21">
        <v>1000000</v>
      </c>
      <c r="C261" s="21">
        <f>VLOOKUP(A261&amp;"|"&amp;B261,$O$3:$P$18,2,FALSE)</f>
        <v>4500</v>
      </c>
      <c r="D261" s="21">
        <f>VLOOKUP(A261&amp;"|"&amp;B261,$Q$3:$R$18,2,FALSE)</f>
        <v>45500</v>
      </c>
      <c r="E261" s="2"/>
      <c r="F261" s="21">
        <v>2</v>
      </c>
      <c r="G261" s="21">
        <v>500000</v>
      </c>
      <c r="H261" s="21">
        <f>VLOOKUP(F261&amp;"|"&amp;G261,$O$3:$P$16,2,FALSE)</f>
        <v>3500</v>
      </c>
      <c r="I261" s="21">
        <f>VLOOKUP(F261&amp;"|"&amp;G261,$Q$3:$R$16,2,FALSE)</f>
        <v>21500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1"/>
      <c r="B262" s="21"/>
      <c r="C262" s="21"/>
      <c r="D262" s="21"/>
      <c r="E262" s="2"/>
      <c r="F262" s="21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1"/>
      <c r="B263" s="21"/>
      <c r="C263" s="21"/>
      <c r="D263" s="21"/>
      <c r="E263" s="2"/>
      <c r="F263" s="21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1"/>
      <c r="B264" s="21"/>
      <c r="C264" s="21"/>
      <c r="D264" s="21"/>
      <c r="E264" s="2"/>
      <c r="F264" s="21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1" t="s">
        <v>16</v>
      </c>
      <c r="B265" s="21"/>
      <c r="C265" s="21"/>
      <c r="D265" s="21">
        <f>SUM(D260:D264)</f>
        <v>70350</v>
      </c>
      <c r="E265" s="2"/>
      <c r="F265" s="84" t="s">
        <v>16</v>
      </c>
      <c r="G265" s="85"/>
      <c r="H265" s="86"/>
      <c r="I265" s="21">
        <f>SUM(I260:I264)</f>
        <v>43000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thickTop="1" thickBo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1" t="s">
        <v>0</v>
      </c>
      <c r="B267" s="21" t="s">
        <v>114</v>
      </c>
      <c r="C267" s="21" t="s">
        <v>24</v>
      </c>
      <c r="D267" s="9">
        <v>45935</v>
      </c>
      <c r="E267" s="2"/>
      <c r="F267" s="21" t="s">
        <v>0</v>
      </c>
      <c r="G267" s="21" t="s">
        <v>21</v>
      </c>
      <c r="H267" s="21" t="s">
        <v>43</v>
      </c>
      <c r="I267" s="9">
        <v>45935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1" t="s">
        <v>6</v>
      </c>
      <c r="B268" s="21" t="s">
        <v>7</v>
      </c>
      <c r="C268" s="21" t="s">
        <v>8</v>
      </c>
      <c r="D268" s="21" t="s">
        <v>9</v>
      </c>
      <c r="E268" s="2"/>
      <c r="F268" s="21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21">
        <v>7</v>
      </c>
      <c r="B269" s="21">
        <v>500000</v>
      </c>
      <c r="C269" s="21">
        <f>VLOOKUP(A269&amp;"|"&amp;B269,$O$3:$P$17,2,FALSE)</f>
        <v>2600</v>
      </c>
      <c r="D269" s="21">
        <f>VLOOKUP(A269&amp;"|"&amp;B269,$Q$3:$R$16,2,FALSE)</f>
        <v>22400</v>
      </c>
      <c r="E269" s="2"/>
      <c r="F269" s="21">
        <v>7</v>
      </c>
      <c r="G269" s="21">
        <v>500000</v>
      </c>
      <c r="H269" s="21">
        <f>VLOOKUP(F269&amp;"|"&amp;G269,$O$3:$P$16,2,FALSE)</f>
        <v>2600</v>
      </c>
      <c r="I269" s="21">
        <f>VLOOKUP(F269&amp;"|"&amp;G269,$Q$3:$R$16,2,FALSE)</f>
        <v>22400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1"/>
      <c r="B270" s="21"/>
      <c r="C270" s="21"/>
      <c r="D270" s="21"/>
      <c r="E270" s="2"/>
      <c r="F270" s="21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1"/>
      <c r="B271" s="21"/>
      <c r="C271" s="21"/>
      <c r="D271" s="21"/>
      <c r="E271" s="2"/>
      <c r="F271" s="21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1"/>
      <c r="B272" s="21"/>
      <c r="C272" s="21"/>
      <c r="D272" s="21"/>
      <c r="E272" s="2"/>
      <c r="F272" s="21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1"/>
      <c r="B273" s="21"/>
      <c r="C273" s="21"/>
      <c r="D273" s="21"/>
      <c r="E273" s="2"/>
      <c r="F273" s="21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1" t="s">
        <v>16</v>
      </c>
      <c r="B274" s="21"/>
      <c r="C274" s="21"/>
      <c r="D274" s="21">
        <f>SUM(D269:D273)</f>
        <v>22400</v>
      </c>
      <c r="E274" s="2"/>
      <c r="F274" s="84" t="s">
        <v>16</v>
      </c>
      <c r="G274" s="85"/>
      <c r="H274" s="86"/>
      <c r="I274" s="21">
        <f>SUM(I269:I273)</f>
        <v>22400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thickTop="1" thickBo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1" t="s">
        <v>0</v>
      </c>
      <c r="B276" s="21" t="s">
        <v>115</v>
      </c>
      <c r="C276" s="21" t="s">
        <v>28</v>
      </c>
      <c r="D276" s="9">
        <v>45935</v>
      </c>
      <c r="E276" s="2"/>
      <c r="F276" s="21" t="s">
        <v>0</v>
      </c>
      <c r="G276" s="21" t="s">
        <v>61</v>
      </c>
      <c r="H276" s="21" t="s">
        <v>28</v>
      </c>
      <c r="I276" s="9">
        <v>45935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1" t="s">
        <v>6</v>
      </c>
      <c r="B277" s="21" t="s">
        <v>7</v>
      </c>
      <c r="C277" s="21" t="s">
        <v>8</v>
      </c>
      <c r="D277" s="21" t="s">
        <v>9</v>
      </c>
      <c r="E277" s="2"/>
      <c r="F277" s="21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21">
        <v>7</v>
      </c>
      <c r="B278" s="21">
        <v>1000000</v>
      </c>
      <c r="C278" s="21">
        <f>VLOOKUP(A278&amp;"|"&amp;B278,$O$3:$P$16,2,FALSE)</f>
        <v>4500</v>
      </c>
      <c r="D278" s="21">
        <f>VLOOKUP(A278&amp;"|"&amp;B278,$Q$3:$R$16,2,FALSE)</f>
        <v>45500</v>
      </c>
      <c r="E278" s="2"/>
      <c r="F278" s="21">
        <v>7</v>
      </c>
      <c r="G278" s="21">
        <v>1000000</v>
      </c>
      <c r="H278" s="21">
        <f>VLOOKUP(F278&amp;"|"&amp;G278,$O$3:$P$18,2,FALSE)</f>
        <v>4500</v>
      </c>
      <c r="I278" s="21">
        <f>VLOOKUP(F278&amp;"|"&amp;G278,$Q$3:$R$18,2,FALSE)</f>
        <v>45500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21">
        <v>2</v>
      </c>
      <c r="B279" s="21">
        <v>1000000</v>
      </c>
      <c r="C279" s="21">
        <f>VLOOKUP(A279&amp;"|"&amp;B279,$O$3:$P$16,2,FALSE)</f>
        <v>8050</v>
      </c>
      <c r="D279" s="21">
        <f>VLOOKUP(A279&amp;"|"&amp;B279,$Q$3:$R$16,2,FALSE)</f>
        <v>41950</v>
      </c>
      <c r="E279" s="2"/>
      <c r="F279" s="21">
        <v>2</v>
      </c>
      <c r="G279" s="21">
        <v>500000</v>
      </c>
      <c r="H279" s="21">
        <f>VLOOKUP(F279&amp;"|"&amp;G279,$O$3:$P$16,2,FALSE)</f>
        <v>3500</v>
      </c>
      <c r="I279" s="21">
        <f>VLOOKUP(F279&amp;"|"&amp;G279,$Q$3:$R$16,2,FALSE)</f>
        <v>21500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1"/>
      <c r="B280" s="21"/>
      <c r="C280" s="21"/>
      <c r="D280" s="21"/>
      <c r="E280" s="2"/>
      <c r="F280" s="21">
        <v>15</v>
      </c>
      <c r="G280" s="21">
        <v>500000</v>
      </c>
      <c r="H280" s="21">
        <f>VLOOKUP(F280&amp;"|"&amp;G280,$O$3:$P$16,2,FALSE)</f>
        <v>750</v>
      </c>
      <c r="I280" s="21">
        <f>VLOOKUP(F280&amp;"|"&amp;G280,$Q$3:$R$16,2,FALSE)</f>
        <v>24250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1"/>
      <c r="B281" s="21"/>
      <c r="C281" s="21"/>
      <c r="D281" s="21"/>
      <c r="E281" s="2"/>
      <c r="F281" s="21">
        <v>15</v>
      </c>
      <c r="G281" s="21">
        <v>500000</v>
      </c>
      <c r="H281" s="21">
        <f>VLOOKUP(F281&amp;"|"&amp;G281,$O$3:$P$16,2,FALSE)</f>
        <v>750</v>
      </c>
      <c r="I281" s="21">
        <f>VLOOKUP(F281&amp;"|"&amp;G281,$Q$3:$R$16,2,FALSE)</f>
        <v>24250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1"/>
      <c r="B282" s="21"/>
      <c r="C282" s="21"/>
      <c r="D282" s="21"/>
      <c r="E282" s="2"/>
      <c r="F282" s="21">
        <v>7</v>
      </c>
      <c r="G282" s="21">
        <v>1000000</v>
      </c>
      <c r="H282" s="21">
        <f>VLOOKUP(F282&amp;"|"&amp;G282,$O$3:$P$16,2,FALSE)</f>
        <v>4500</v>
      </c>
      <c r="I282" s="21">
        <f>VLOOKUP(F282&amp;"|"&amp;G282,$Q$3:$R$16,2,FALSE)</f>
        <v>45500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1"/>
      <c r="B283" s="21"/>
      <c r="C283" s="21"/>
      <c r="D283" s="21"/>
      <c r="E283" s="2"/>
      <c r="F283" s="21">
        <v>12</v>
      </c>
      <c r="G283" s="21">
        <v>500000</v>
      </c>
      <c r="H283" s="21">
        <f>VLOOKUP(F283&amp;"|"&amp;G283,$O$3:$P$16,2,FALSE)</f>
        <v>1400</v>
      </c>
      <c r="I283" s="21">
        <f>VLOOKUP(F283&amp;"|"&amp;G283,$Q$3:$R$16,2,FALSE)</f>
        <v>23600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1" t="s">
        <v>16</v>
      </c>
      <c r="B284" s="21"/>
      <c r="C284" s="21"/>
      <c r="D284" s="21">
        <f>SUM(D278:D283)</f>
        <v>87450</v>
      </c>
      <c r="E284" s="2"/>
      <c r="F284" s="84" t="s">
        <v>16</v>
      </c>
      <c r="G284" s="85"/>
      <c r="H284" s="86"/>
      <c r="I284" s="21">
        <f>SUM(I278:I283)</f>
        <v>184600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10"/>
      <c r="B285" s="10"/>
      <c r="C285" s="10"/>
      <c r="D285" s="10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2" t="s">
        <v>0</v>
      </c>
      <c r="B286" s="12" t="s">
        <v>116</v>
      </c>
      <c r="C286" s="12" t="s">
        <v>34</v>
      </c>
      <c r="D286" s="9">
        <v>45935</v>
      </c>
      <c r="E286" s="2"/>
      <c r="F286" s="21" t="s">
        <v>0</v>
      </c>
      <c r="G286" s="21" t="s">
        <v>73</v>
      </c>
      <c r="H286" s="21" t="s">
        <v>76</v>
      </c>
      <c r="I286" s="9">
        <v>45935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1" t="s">
        <v>6</v>
      </c>
      <c r="B287" s="21" t="s">
        <v>7</v>
      </c>
      <c r="C287" s="21" t="s">
        <v>8</v>
      </c>
      <c r="D287" s="21" t="s">
        <v>9</v>
      </c>
      <c r="E287" s="2"/>
      <c r="F287" s="21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21">
        <v>7</v>
      </c>
      <c r="B288" s="21">
        <v>2000000</v>
      </c>
      <c r="C288" s="21">
        <f>VLOOKUP(A288&amp;"|"&amp;B288,$O$3:$P$17,2,FALSE)</f>
        <v>9150</v>
      </c>
      <c r="D288" s="21">
        <f>VLOOKUP(A288&amp;"|"&amp;B288,$Q$3:$R$17,2,FALSE)</f>
        <v>90850</v>
      </c>
      <c r="E288" s="2"/>
      <c r="F288" s="21">
        <v>7</v>
      </c>
      <c r="G288" s="21">
        <v>1000000</v>
      </c>
      <c r="H288" s="21">
        <f>VLOOKUP(F288&amp;"|"&amp;G288,$O$3:$P$16,2,FALSE)</f>
        <v>4500</v>
      </c>
      <c r="I288" s="21">
        <f>VLOOKUP(F288&amp;"|"&amp;G288,$Q$3:$R$16,2,FALSE)</f>
        <v>45500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21">
        <v>7</v>
      </c>
      <c r="B289" s="21">
        <v>500000</v>
      </c>
      <c r="C289" s="21">
        <f>VLOOKUP(A289&amp;"|"&amp;B289,$O$3:$P$17,2,FALSE)</f>
        <v>2600</v>
      </c>
      <c r="D289" s="21">
        <f>VLOOKUP(A289&amp;"|"&amp;B289,$Q$3:$R$17,2,FALSE)</f>
        <v>22400</v>
      </c>
      <c r="E289" s="2"/>
      <c r="F289" s="21">
        <v>12</v>
      </c>
      <c r="G289" s="21">
        <v>500000</v>
      </c>
      <c r="H289" s="21">
        <f>VLOOKUP(F289&amp;"|"&amp;G289,$O$3:$P$16,2,FALSE)</f>
        <v>1400</v>
      </c>
      <c r="I289" s="21">
        <f>VLOOKUP(F289&amp;"|"&amp;G289,$Q$3:$R$16,2,FALSE)</f>
        <v>23600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1"/>
      <c r="B290" s="21"/>
      <c r="C290" s="21"/>
      <c r="D290" s="21"/>
      <c r="E290" s="2"/>
      <c r="F290" s="21">
        <v>15</v>
      </c>
      <c r="G290" s="21">
        <v>500000</v>
      </c>
      <c r="H290" s="21">
        <f>VLOOKUP(F290&amp;"|"&amp;G290,$O$3:$P$16,2,FALSE)</f>
        <v>750</v>
      </c>
      <c r="I290" s="21">
        <f>VLOOKUP(F290&amp;"|"&amp;G290,$Q$3:$R$16,2,FALSE)</f>
        <v>24250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1"/>
      <c r="B291" s="21"/>
      <c r="C291" s="21"/>
      <c r="D291" s="21"/>
      <c r="E291" s="2"/>
      <c r="F291" s="21">
        <v>15</v>
      </c>
      <c r="G291" s="21">
        <v>500000</v>
      </c>
      <c r="H291" s="21">
        <f>VLOOKUP(F291&amp;"|"&amp;G291,$O$3:$P$16,2,FALSE)</f>
        <v>750</v>
      </c>
      <c r="I291" s="21">
        <f>VLOOKUP(F291&amp;"|"&amp;G291,$Q$3:$R$16,2,FALSE)</f>
        <v>24250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1"/>
      <c r="B292" s="21"/>
      <c r="C292" s="21"/>
      <c r="D292" s="21"/>
      <c r="E292" s="2"/>
      <c r="F292" s="21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59" t="s">
        <v>49</v>
      </c>
      <c r="B293" s="53"/>
      <c r="C293" s="54"/>
      <c r="D293" s="21">
        <f>SUM(D288:D292)</f>
        <v>113250</v>
      </c>
      <c r="E293" s="2"/>
      <c r="F293" s="84" t="s">
        <v>16</v>
      </c>
      <c r="G293" s="85"/>
      <c r="H293" s="86"/>
      <c r="I293" s="21">
        <f>SUM(I288:I292)</f>
        <v>117600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thickTop="1" thickBo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1" t="s">
        <v>0</v>
      </c>
      <c r="B295" s="21" t="s">
        <v>117</v>
      </c>
      <c r="C295" s="21" t="s">
        <v>24</v>
      </c>
      <c r="D295" s="9">
        <v>45935</v>
      </c>
      <c r="E295" s="2"/>
      <c r="F295" s="21" t="s">
        <v>0</v>
      </c>
      <c r="G295" s="21" t="s">
        <v>118</v>
      </c>
      <c r="H295" s="21" t="s">
        <v>119</v>
      </c>
      <c r="I295" s="9">
        <v>45935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1" t="s">
        <v>6</v>
      </c>
      <c r="B296" s="21" t="s">
        <v>7</v>
      </c>
      <c r="C296" s="21" t="s">
        <v>8</v>
      </c>
      <c r="D296" s="21" t="s">
        <v>9</v>
      </c>
      <c r="E296" s="2"/>
      <c r="F296" s="21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21">
        <v>7</v>
      </c>
      <c r="B297" s="21">
        <v>2000000</v>
      </c>
      <c r="C297" s="21">
        <f>VLOOKUP(A297&amp;"|"&amp;B297,$O$3:$P$16,2,FALSE)</f>
        <v>9150</v>
      </c>
      <c r="D297" s="21">
        <f>VLOOKUP(A297&amp;"|"&amp;B297,$Q$3:$R$16,2,FALSE)</f>
        <v>90850</v>
      </c>
      <c r="E297" s="2"/>
      <c r="F297" s="21">
        <v>7</v>
      </c>
      <c r="G297" s="21">
        <v>2000000</v>
      </c>
      <c r="H297" s="21">
        <f>VLOOKUP(F297&amp;"|"&amp;G297,$O$3:$P$16,2,FALSE)</f>
        <v>9150</v>
      </c>
      <c r="I297" s="21">
        <f>VLOOKUP(F297&amp;"|"&amp;G297,$Q$3:$R$16,2,FALSE)</f>
        <v>90850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21">
        <v>15</v>
      </c>
      <c r="B298" s="21">
        <v>500000</v>
      </c>
      <c r="C298" s="21">
        <f>VLOOKUP(A298&amp;"|"&amp;B298,$O$3:$P$16,2,FALSE)</f>
        <v>750</v>
      </c>
      <c r="D298" s="21">
        <f>VLOOKUP(A298&amp;"|"&amp;B298,$Q$3:$R$16,2,FALSE)</f>
        <v>24250</v>
      </c>
      <c r="E298" s="2"/>
      <c r="F298" s="21">
        <v>7</v>
      </c>
      <c r="G298" s="21">
        <v>1000000</v>
      </c>
      <c r="H298" s="21">
        <f>VLOOKUP(F298&amp;"|"&amp;G298,$O$3:$P$16,2,FALSE)</f>
        <v>4500</v>
      </c>
      <c r="I298" s="21">
        <f>VLOOKUP(F298&amp;"|"&amp;G298,$Q$3:$R$16,2,FALSE)</f>
        <v>45500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21">
        <v>18</v>
      </c>
      <c r="B299" s="21">
        <v>1000000</v>
      </c>
      <c r="C299" s="21">
        <f>VLOOKUP(A299&amp;"|"&amp;B299,$O$3:$P$17,2,FALSE)</f>
        <v>200</v>
      </c>
      <c r="D299" s="21">
        <f>VLOOKUP(A299&amp;"|"&amp;B299,$Q$3:$R$17,2,FALSE)</f>
        <v>49800</v>
      </c>
      <c r="E299" s="2"/>
      <c r="F299" s="21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1"/>
      <c r="B300" s="21"/>
      <c r="C300" s="21"/>
      <c r="D300" s="21"/>
      <c r="E300" s="2"/>
      <c r="F300" s="21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1"/>
      <c r="B301" s="21"/>
      <c r="C301" s="21"/>
      <c r="D301" s="21"/>
      <c r="E301" s="2"/>
      <c r="F301" s="21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1" t="s">
        <v>16</v>
      </c>
      <c r="B302" s="21"/>
      <c r="C302" s="21"/>
      <c r="D302" s="21">
        <f>SUM(D297:D301)</f>
        <v>164900</v>
      </c>
      <c r="E302" s="2"/>
      <c r="F302" s="84" t="s">
        <v>16</v>
      </c>
      <c r="G302" s="85"/>
      <c r="H302" s="86"/>
      <c r="I302" s="21">
        <f>SUM(I297:I301)</f>
        <v>136350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thickTop="1" thickBot="1">
      <c r="A303" s="2"/>
      <c r="B303" s="2"/>
      <c r="C303" s="2" t="s">
        <v>191</v>
      </c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1" t="s">
        <v>0</v>
      </c>
      <c r="B304" s="21" t="s">
        <v>35</v>
      </c>
      <c r="C304" s="21" t="s">
        <v>120</v>
      </c>
      <c r="D304" s="9">
        <v>45935</v>
      </c>
      <c r="E304" s="2"/>
      <c r="F304" s="21" t="s">
        <v>0</v>
      </c>
      <c r="G304" s="21" t="s">
        <v>121</v>
      </c>
      <c r="H304" s="21" t="s">
        <v>28</v>
      </c>
      <c r="I304" s="9">
        <v>45935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1" t="s">
        <v>6</v>
      </c>
      <c r="B305" s="21" t="s">
        <v>7</v>
      </c>
      <c r="C305" s="21" t="s">
        <v>8</v>
      </c>
      <c r="D305" s="21" t="s">
        <v>9</v>
      </c>
      <c r="E305" s="2"/>
      <c r="F305" s="21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21">
        <v>7</v>
      </c>
      <c r="B306" s="21">
        <v>1000000</v>
      </c>
      <c r="C306" s="21">
        <f>VLOOKUP(A306&amp;"|"&amp;B306,$O$3:$P$17,2,FALSE)</f>
        <v>4500</v>
      </c>
      <c r="D306" s="21">
        <f>VLOOKUP(A306&amp;"|"&amp;B306,$Q$3:$R$17,2,FALSE)</f>
        <v>45500</v>
      </c>
      <c r="E306" s="2"/>
      <c r="F306" s="21">
        <v>7</v>
      </c>
      <c r="G306" s="21">
        <v>1000000</v>
      </c>
      <c r="H306" s="21">
        <f>VLOOKUP(F306&amp;"|"&amp;G306,$O$3:$P$18,2,FALSE)</f>
        <v>4500</v>
      </c>
      <c r="I306" s="21">
        <f>VLOOKUP(F306&amp;"|"&amp;G306,$Q$3:$R$17,2,FALSE)</f>
        <v>45500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21">
        <v>2</v>
      </c>
      <c r="B307" s="21">
        <v>1000000</v>
      </c>
      <c r="C307" s="21">
        <f>VLOOKUP(A307&amp;"|"&amp;B307,$O$3:$P$16,2,FALSE)</f>
        <v>8050</v>
      </c>
      <c r="D307" s="21">
        <f>VLOOKUP(A307&amp;"|"&amp;B307,$Q$3:$R$16,2,FALSE)</f>
        <v>41950</v>
      </c>
      <c r="E307" s="2"/>
      <c r="F307" s="21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1"/>
      <c r="B308" s="21"/>
      <c r="C308" s="21"/>
      <c r="D308" s="21"/>
      <c r="E308" s="2"/>
      <c r="F308" s="21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1"/>
      <c r="B309" s="21"/>
      <c r="C309" s="21"/>
      <c r="D309" s="21"/>
      <c r="E309" s="2"/>
      <c r="F309" s="21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1"/>
      <c r="B310" s="21"/>
      <c r="C310" s="21"/>
      <c r="D310" s="21"/>
      <c r="E310" s="2"/>
      <c r="F310" s="21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1" t="s">
        <v>16</v>
      </c>
      <c r="B311" s="21"/>
      <c r="C311" s="21"/>
      <c r="D311" s="21">
        <f>SUM(D306:D310)</f>
        <v>87450</v>
      </c>
      <c r="E311" s="2"/>
      <c r="F311" s="84" t="s">
        <v>16</v>
      </c>
      <c r="G311" s="85"/>
      <c r="H311" s="86"/>
      <c r="I311" s="21">
        <f>SUM(I306:I310)</f>
        <v>45500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thickTop="1" thickBo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1" t="s">
        <v>0</v>
      </c>
      <c r="B313" s="21" t="s">
        <v>122</v>
      </c>
      <c r="C313" s="21" t="s">
        <v>76</v>
      </c>
      <c r="D313" s="9">
        <v>45935</v>
      </c>
      <c r="E313" s="2"/>
      <c r="F313" s="21" t="s">
        <v>0</v>
      </c>
      <c r="G313" s="21" t="s">
        <v>61</v>
      </c>
      <c r="H313" s="21" t="s">
        <v>123</v>
      </c>
      <c r="I313" s="9">
        <v>45935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1" t="s">
        <v>6</v>
      </c>
      <c r="B314" s="21" t="s">
        <v>7</v>
      </c>
      <c r="C314" s="21" t="s">
        <v>8</v>
      </c>
      <c r="D314" s="21" t="s">
        <v>9</v>
      </c>
      <c r="E314" s="2"/>
      <c r="F314" s="21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21">
        <v>7</v>
      </c>
      <c r="B315" s="21">
        <v>500000</v>
      </c>
      <c r="C315" s="21">
        <f>VLOOKUP(A315&amp;"|"&amp;B315,$O$3:$P$16,2,FALSE)</f>
        <v>2600</v>
      </c>
      <c r="D315" s="21">
        <f>VLOOKUP(A315&amp;"|"&amp;B315,$Q$3:$R$16,2,FALSE)</f>
        <v>22400</v>
      </c>
      <c r="E315" s="2"/>
      <c r="F315" s="21">
        <v>18</v>
      </c>
      <c r="G315" s="21">
        <v>500000</v>
      </c>
      <c r="H315" s="21">
        <f>VLOOKUP(F315&amp;"|"&amp;G315,$O$3:$P$16,2,FALSE)</f>
        <v>150</v>
      </c>
      <c r="I315" s="21">
        <f>VLOOKUP(F315&amp;"|"&amp;G315,$Q$3:$R$16,2,FALSE)</f>
        <v>24850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21">
        <v>12</v>
      </c>
      <c r="B316" s="21">
        <v>500000</v>
      </c>
      <c r="C316" s="21">
        <f>VLOOKUP(A316&amp;"|"&amp;B316,$O$3:$P$16,2,FALSE)</f>
        <v>1400</v>
      </c>
      <c r="D316" s="21">
        <f>VLOOKUP(A316&amp;"|"&amp;B316,$Q$3:$R$16,2,FALSE)</f>
        <v>23600</v>
      </c>
      <c r="E316" s="2"/>
      <c r="F316" s="21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1"/>
      <c r="B317" s="21"/>
      <c r="C317" s="21"/>
      <c r="D317" s="21"/>
      <c r="E317" s="2"/>
      <c r="F317" s="21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1"/>
      <c r="B318" s="21"/>
      <c r="C318" s="21"/>
      <c r="D318" s="21"/>
      <c r="E318" s="2"/>
      <c r="F318" s="21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1"/>
      <c r="B319" s="21"/>
      <c r="C319" s="21"/>
      <c r="D319" s="21"/>
      <c r="E319" s="2"/>
      <c r="F319" s="21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1" t="s">
        <v>16</v>
      </c>
      <c r="B320" s="21"/>
      <c r="C320" s="21"/>
      <c r="D320" s="21">
        <f>SUM(D315:D319)</f>
        <v>46000</v>
      </c>
      <c r="E320" s="2"/>
      <c r="F320" s="84" t="s">
        <v>16</v>
      </c>
      <c r="G320" s="85"/>
      <c r="H320" s="86"/>
      <c r="I320" s="21">
        <f>SUM(I315:I319)</f>
        <v>24850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thickTop="1" thickBo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1" t="s">
        <v>0</v>
      </c>
      <c r="B322" s="21" t="s">
        <v>124</v>
      </c>
      <c r="C322" s="21" t="s">
        <v>125</v>
      </c>
      <c r="D322" s="9">
        <v>45935</v>
      </c>
      <c r="E322" s="2"/>
      <c r="F322" s="21" t="s">
        <v>0</v>
      </c>
      <c r="G322" s="21" t="s">
        <v>126</v>
      </c>
      <c r="H322" s="21" t="s">
        <v>22</v>
      </c>
      <c r="I322" s="9">
        <v>45935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1" t="s">
        <v>6</v>
      </c>
      <c r="B323" s="21" t="s">
        <v>7</v>
      </c>
      <c r="C323" s="21" t="s">
        <v>8</v>
      </c>
      <c r="D323" s="21" t="s">
        <v>9</v>
      </c>
      <c r="E323" s="2"/>
      <c r="F323" s="21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21">
        <v>2</v>
      </c>
      <c r="B324" s="21">
        <v>500000</v>
      </c>
      <c r="C324" s="21">
        <f>VLOOKUP(A324&amp;"|"&amp;B324,$O$3:$P$16,2,FALSE)</f>
        <v>3500</v>
      </c>
      <c r="D324" s="21">
        <f>VLOOKUP(A324&amp;"|"&amp;B324,$Q$3:$R$16,2,FALSE)</f>
        <v>21500</v>
      </c>
      <c r="E324" s="2"/>
      <c r="F324" s="21">
        <v>12</v>
      </c>
      <c r="G324" s="21">
        <v>500000</v>
      </c>
      <c r="H324" s="21">
        <f>VLOOKUP(F324&amp;"|"&amp;G324,$O$3:$P$16,2,FALSE)</f>
        <v>1400</v>
      </c>
      <c r="I324" s="21">
        <f>VLOOKUP(F324&amp;"|"&amp;G324,$Q$3:$R$16,2,FALSE)</f>
        <v>23600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1"/>
      <c r="B325" s="21"/>
      <c r="C325" s="21"/>
      <c r="D325" s="21"/>
      <c r="E325" s="2"/>
      <c r="F325" s="21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1"/>
      <c r="B326" s="21"/>
      <c r="C326" s="21"/>
      <c r="D326" s="21"/>
      <c r="E326" s="2"/>
      <c r="F326" s="21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1"/>
      <c r="B327" s="21"/>
      <c r="C327" s="21"/>
      <c r="D327" s="21"/>
      <c r="E327" s="10"/>
      <c r="F327" s="21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1"/>
      <c r="B328" s="21"/>
      <c r="C328" s="21"/>
      <c r="D328" s="21"/>
      <c r="E328" s="2"/>
      <c r="F328" s="21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1" t="s">
        <v>16</v>
      </c>
      <c r="B329" s="21"/>
      <c r="C329" s="21"/>
      <c r="D329" s="21">
        <f>SUM(D324:D328)</f>
        <v>21500</v>
      </c>
      <c r="E329" s="2"/>
      <c r="F329" s="84" t="s">
        <v>16</v>
      </c>
      <c r="G329" s="85"/>
      <c r="H329" s="86"/>
      <c r="I329" s="21">
        <f>SUM(I324:I328)</f>
        <v>23600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thickTop="1" thickBo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1" t="s">
        <v>0</v>
      </c>
      <c r="B331" s="21" t="s">
        <v>127</v>
      </c>
      <c r="C331" s="21" t="s">
        <v>24</v>
      </c>
      <c r="D331" s="9">
        <v>45935</v>
      </c>
      <c r="E331" s="2"/>
      <c r="F331" s="21" t="s">
        <v>0</v>
      </c>
      <c r="G331" s="21" t="s">
        <v>73</v>
      </c>
      <c r="H331" s="21" t="s">
        <v>18</v>
      </c>
      <c r="I331" s="9">
        <v>45935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1" t="s">
        <v>6</v>
      </c>
      <c r="B332" s="21" t="s">
        <v>7</v>
      </c>
      <c r="C332" s="21" t="s">
        <v>8</v>
      </c>
      <c r="D332" s="21" t="s">
        <v>9</v>
      </c>
      <c r="E332" s="2"/>
      <c r="F332" s="21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21">
        <v>12</v>
      </c>
      <c r="B333" s="21">
        <v>500000</v>
      </c>
      <c r="C333" s="21">
        <f>VLOOKUP(A333&amp;"|"&amp;B333,$O$3:$P$16,2,FALSE)</f>
        <v>1400</v>
      </c>
      <c r="D333" s="21">
        <f>VLOOKUP(A333&amp;"|"&amp;B333,$Q$3:$R$16,2,FALSE)</f>
        <v>23600</v>
      </c>
      <c r="E333" s="2"/>
      <c r="F333" s="21">
        <v>12</v>
      </c>
      <c r="G333" s="21">
        <v>500000</v>
      </c>
      <c r="H333" s="21">
        <f>VLOOKUP(F333&amp;"|"&amp;G333,$O$3:$P$16,2,FALSE)</f>
        <v>1400</v>
      </c>
      <c r="I333" s="21">
        <f>VLOOKUP(F333&amp;"|"&amp;G333,$Q$3:$R$16,2,FALSE)</f>
        <v>23600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21">
        <v>15</v>
      </c>
      <c r="B334" s="21">
        <v>500000</v>
      </c>
      <c r="C334" s="21">
        <f>VLOOKUP(A334&amp;"|"&amp;B334,$O$3:$P$16,2,FALSE)</f>
        <v>750</v>
      </c>
      <c r="D334" s="21">
        <f>VLOOKUP(A334&amp;"|"&amp;B334,$Q$3:$R$16,2,FALSE)</f>
        <v>24250</v>
      </c>
      <c r="E334" s="2"/>
      <c r="F334" s="21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1"/>
      <c r="B335" s="21"/>
      <c r="C335" s="21"/>
      <c r="D335" s="21"/>
      <c r="E335" s="2"/>
      <c r="F335" s="21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1"/>
      <c r="B336" s="21"/>
      <c r="C336" s="21"/>
      <c r="D336" s="21"/>
      <c r="E336" s="2"/>
      <c r="F336" s="21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1"/>
      <c r="B337" s="21"/>
      <c r="C337" s="21"/>
      <c r="D337" s="21"/>
      <c r="E337" s="2"/>
      <c r="F337" s="21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1" t="s">
        <v>16</v>
      </c>
      <c r="B338" s="21"/>
      <c r="C338" s="21"/>
      <c r="D338" s="21">
        <f>SUM(D333:D337)</f>
        <v>47850</v>
      </c>
      <c r="E338" s="10"/>
      <c r="F338" s="84" t="s">
        <v>16</v>
      </c>
      <c r="G338" s="85"/>
      <c r="H338" s="86"/>
      <c r="I338" s="21">
        <f>SUM(I333:I337)</f>
        <v>23600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thickTop="1" thickBo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1" t="s">
        <v>0</v>
      </c>
      <c r="B340" s="21" t="s">
        <v>128</v>
      </c>
      <c r="C340" s="21" t="s">
        <v>34</v>
      </c>
      <c r="D340" s="9">
        <v>45935</v>
      </c>
      <c r="E340" s="2"/>
      <c r="F340" s="21" t="s">
        <v>0</v>
      </c>
      <c r="G340" s="21" t="s">
        <v>129</v>
      </c>
      <c r="H340" s="21" t="s">
        <v>39</v>
      </c>
      <c r="I340" s="9">
        <v>45935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1" t="s">
        <v>6</v>
      </c>
      <c r="B341" s="21" t="s">
        <v>7</v>
      </c>
      <c r="C341" s="21" t="s">
        <v>8</v>
      </c>
      <c r="D341" s="21" t="s">
        <v>9</v>
      </c>
      <c r="E341" s="2"/>
      <c r="F341" s="21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21">
        <v>15</v>
      </c>
      <c r="B342" s="21">
        <v>500000</v>
      </c>
      <c r="C342" s="21">
        <f>VLOOKUP(A342&amp;"|"&amp;B342,$O$3:$P$16,2,FALSE)</f>
        <v>750</v>
      </c>
      <c r="D342" s="21">
        <f>VLOOKUP(A342&amp;"|"&amp;B342,$Q$3:$R$16,2,FALSE)</f>
        <v>24250</v>
      </c>
      <c r="E342" s="2"/>
      <c r="F342" s="21">
        <v>2</v>
      </c>
      <c r="G342" s="21">
        <v>500000</v>
      </c>
      <c r="H342" s="21">
        <f>VLOOKUP(F342&amp;"|"&amp;G342,$O$3:$P$16,2,FALSE)</f>
        <v>3500</v>
      </c>
      <c r="I342" s="21">
        <f>VLOOKUP(F342&amp;"|"&amp;G342,$Q$3:$R$16,2,FALSE)</f>
        <v>21500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1"/>
      <c r="B343" s="21"/>
      <c r="C343" s="21"/>
      <c r="D343" s="21"/>
      <c r="E343" s="2"/>
      <c r="F343" s="21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1"/>
      <c r="B344" s="21"/>
      <c r="C344" s="21"/>
      <c r="D344" s="21"/>
      <c r="E344" s="2"/>
      <c r="F344" s="21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1"/>
      <c r="B345" s="21"/>
      <c r="C345" s="21"/>
      <c r="D345" s="21"/>
      <c r="E345" s="2"/>
      <c r="F345" s="21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1"/>
      <c r="B346" s="21"/>
      <c r="C346" s="21"/>
      <c r="D346" s="21"/>
      <c r="E346" s="2"/>
      <c r="F346" s="21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1" t="s">
        <v>16</v>
      </c>
      <c r="B347" s="21"/>
      <c r="C347" s="21"/>
      <c r="D347" s="21">
        <f>SUM(D342:D346)</f>
        <v>24250</v>
      </c>
      <c r="E347" s="2"/>
      <c r="F347" s="84" t="s">
        <v>16</v>
      </c>
      <c r="G347" s="85"/>
      <c r="H347" s="86"/>
      <c r="I347" s="21">
        <f>SUM(I342:I346)</f>
        <v>21500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10"/>
      <c r="B348" s="10"/>
      <c r="C348" s="10"/>
      <c r="D348" s="10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1" t="s">
        <v>0</v>
      </c>
      <c r="B349" s="21" t="s">
        <v>130</v>
      </c>
      <c r="C349" s="21" t="s">
        <v>104</v>
      </c>
      <c r="D349" s="9">
        <v>45935</v>
      </c>
      <c r="E349" s="2"/>
      <c r="F349" s="21" t="s">
        <v>0</v>
      </c>
      <c r="G349" s="21" t="s">
        <v>131</v>
      </c>
      <c r="H349" s="21" t="s">
        <v>41</v>
      </c>
      <c r="I349" s="9">
        <v>45935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1" t="s">
        <v>6</v>
      </c>
      <c r="B350" s="21" t="s">
        <v>7</v>
      </c>
      <c r="C350" s="21" t="s">
        <v>8</v>
      </c>
      <c r="D350" s="21" t="s">
        <v>9</v>
      </c>
      <c r="E350" s="2"/>
      <c r="F350" s="21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21">
        <v>18</v>
      </c>
      <c r="B351" s="21">
        <v>500000</v>
      </c>
      <c r="C351" s="21">
        <f>VLOOKUP(A351&amp;"|"&amp;B351,$O$3:$P$16,2,FALSE)</f>
        <v>150</v>
      </c>
      <c r="D351" s="21">
        <f>VLOOKUP(A351&amp;"|"&amp;B351,$Q$3:$R$16,2,FALSE)</f>
        <v>24850</v>
      </c>
      <c r="E351" s="2"/>
      <c r="F351" s="21">
        <v>2</v>
      </c>
      <c r="G351" s="21">
        <v>500000</v>
      </c>
      <c r="H351" s="21">
        <f>VLOOKUP(F351&amp;"|"&amp;G351,$O$3:$P$16,2,FALSE)</f>
        <v>3500</v>
      </c>
      <c r="I351" s="21">
        <f>VLOOKUP(F351&amp;"|"&amp;G351,$Q$3:$R$16,2,FALSE)</f>
        <v>21500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1"/>
      <c r="B352" s="21"/>
      <c r="C352" s="21"/>
      <c r="D352" s="21"/>
      <c r="E352" s="2"/>
      <c r="F352" s="21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1"/>
      <c r="B353" s="21"/>
      <c r="C353" s="21"/>
      <c r="D353" s="21"/>
      <c r="E353" s="2"/>
      <c r="F353" s="21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1"/>
      <c r="B354" s="21"/>
      <c r="C354" s="21"/>
      <c r="D354" s="21"/>
      <c r="E354" s="2"/>
      <c r="F354" s="21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1"/>
      <c r="B355" s="21"/>
      <c r="C355" s="21"/>
      <c r="D355" s="21"/>
      <c r="E355" s="2"/>
      <c r="F355" s="21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1" t="s">
        <v>16</v>
      </c>
      <c r="B356" s="21"/>
      <c r="C356" s="21"/>
      <c r="D356" s="21">
        <f>SUM(D351:D355)</f>
        <v>24850</v>
      </c>
      <c r="E356" s="2"/>
      <c r="F356" s="84" t="s">
        <v>16</v>
      </c>
      <c r="G356" s="85"/>
      <c r="H356" s="86"/>
      <c r="I356" s="21">
        <f>SUM(I351:I355)</f>
        <v>21500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10"/>
      <c r="B357" s="10"/>
      <c r="C357" s="10"/>
      <c r="D357" s="10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1" t="s">
        <v>0</v>
      </c>
      <c r="B358" s="21" t="s">
        <v>132</v>
      </c>
      <c r="C358" s="21" t="s">
        <v>133</v>
      </c>
      <c r="D358" s="9">
        <v>45935</v>
      </c>
      <c r="E358" s="2"/>
      <c r="F358" s="21" t="s">
        <v>0</v>
      </c>
      <c r="G358" s="21" t="s">
        <v>63</v>
      </c>
      <c r="H358" s="21" t="s">
        <v>43</v>
      </c>
      <c r="I358" s="9">
        <v>45935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1" t="s">
        <v>6</v>
      </c>
      <c r="B359" s="21" t="s">
        <v>7</v>
      </c>
      <c r="C359" s="21" t="s">
        <v>8</v>
      </c>
      <c r="D359" s="21" t="s">
        <v>9</v>
      </c>
      <c r="E359" s="2"/>
      <c r="F359" s="21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21">
        <v>7</v>
      </c>
      <c r="B360" s="21">
        <v>500000</v>
      </c>
      <c r="C360" s="21">
        <f>VLOOKUP(A360&amp;"|"&amp;B360,$O$3:$P$16,2,FALSE)</f>
        <v>2600</v>
      </c>
      <c r="D360" s="21">
        <f>VLOOKUP(A360&amp;"|"&amp;B360,$Q$3:$R$16,2,FALSE)</f>
        <v>22400</v>
      </c>
      <c r="E360" s="2"/>
      <c r="F360" s="21">
        <v>15</v>
      </c>
      <c r="G360" s="21">
        <v>500000</v>
      </c>
      <c r="H360" s="21">
        <f>VLOOKUP(F360&amp;"|"&amp;G360,$O$3:$P$16,2,FALSE)</f>
        <v>750</v>
      </c>
      <c r="I360" s="21">
        <f>VLOOKUP(F360&amp;"|"&amp;G360,$Q$3:$R$16,2,FALSE)</f>
        <v>24250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21">
        <v>2.1</v>
      </c>
      <c r="B361" s="21">
        <v>1000000</v>
      </c>
      <c r="C361" s="21">
        <f>VLOOKUP(A361&amp;"|"&amp;B361,$O$3:$P$16,2,FALSE)</f>
        <v>8250</v>
      </c>
      <c r="D361" s="21">
        <f>VLOOKUP(A361&amp;"|"&amp;B361,$Q$3:$R$16,2,FALSE)</f>
        <v>41750</v>
      </c>
      <c r="E361" s="2"/>
      <c r="F361" s="21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1"/>
      <c r="B362" s="21"/>
      <c r="C362" s="21"/>
      <c r="D362" s="21"/>
      <c r="E362" s="2"/>
      <c r="F362" s="21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1"/>
      <c r="B363" s="21"/>
      <c r="C363" s="21"/>
      <c r="D363" s="21"/>
      <c r="E363" s="2"/>
      <c r="F363" s="21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1"/>
      <c r="B364" s="21"/>
      <c r="C364" s="21"/>
      <c r="D364" s="21"/>
      <c r="E364" s="2"/>
      <c r="F364" s="21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1" t="s">
        <v>16</v>
      </c>
      <c r="B365" s="21"/>
      <c r="C365" s="21"/>
      <c r="D365" s="21">
        <f>SUM(D360:D364)</f>
        <v>64150</v>
      </c>
      <c r="E365" s="2"/>
      <c r="F365" s="84" t="s">
        <v>16</v>
      </c>
      <c r="G365" s="85"/>
      <c r="H365" s="86"/>
      <c r="I365" s="21">
        <f>SUM(I360:I364)</f>
        <v>24250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thickTop="1" thickBo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1" t="s">
        <v>0</v>
      </c>
      <c r="B367" s="21" t="s">
        <v>187</v>
      </c>
      <c r="C367" s="21" t="s">
        <v>28</v>
      </c>
      <c r="D367" s="9">
        <v>45935</v>
      </c>
      <c r="E367" s="2"/>
      <c r="F367" s="21" t="s">
        <v>0</v>
      </c>
      <c r="G367" s="21" t="s">
        <v>126</v>
      </c>
      <c r="H367" s="21" t="s">
        <v>43</v>
      </c>
      <c r="I367" s="9">
        <v>45935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1" t="s">
        <v>6</v>
      </c>
      <c r="B368" s="21" t="s">
        <v>7</v>
      </c>
      <c r="C368" s="21" t="s">
        <v>8</v>
      </c>
      <c r="D368" s="21" t="s">
        <v>9</v>
      </c>
      <c r="E368" s="2"/>
      <c r="F368" s="21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21">
        <v>7</v>
      </c>
      <c r="B369" s="21">
        <v>1000000</v>
      </c>
      <c r="C369" s="21">
        <f>VLOOKUP(A369&amp;"|"&amp;B369,$O$3:$P$16,2,FALSE)</f>
        <v>4500</v>
      </c>
      <c r="D369" s="21">
        <f>VLOOKUP(A369&amp;"|"&amp;B369,$Q$3:$R$16,2,FALSE)</f>
        <v>45500</v>
      </c>
      <c r="E369" s="2"/>
      <c r="F369" s="21">
        <v>15</v>
      </c>
      <c r="G369" s="21">
        <v>500000</v>
      </c>
      <c r="H369" s="21">
        <f>VLOOKUP(F369&amp;"|"&amp;G369,$O$3:$P$16,2,FALSE)</f>
        <v>750</v>
      </c>
      <c r="I369" s="21">
        <f>VLOOKUP(F369&amp;"|"&amp;G369,$Q$3:$R$16,2,FALSE)</f>
        <v>24250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21">
        <v>2</v>
      </c>
      <c r="B370" s="21">
        <v>500000</v>
      </c>
      <c r="C370" s="21">
        <f>VLOOKUP(A370&amp;"|"&amp;B370,$O$3:$P$16,2,FALSE)</f>
        <v>3500</v>
      </c>
      <c r="D370" s="21">
        <f>VLOOKUP(A370&amp;"|"&amp;B370,$Q$3:$R$16,2,FALSE)</f>
        <v>21500</v>
      </c>
      <c r="E370" s="4"/>
      <c r="F370" s="21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1"/>
      <c r="B371" s="21"/>
      <c r="C371" s="21"/>
      <c r="D371" s="21"/>
      <c r="E371" s="4"/>
      <c r="F371" s="21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1"/>
      <c r="B372" s="21"/>
      <c r="C372" s="21"/>
      <c r="D372" s="21"/>
      <c r="E372" s="4"/>
      <c r="F372" s="21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1"/>
      <c r="B373" s="21"/>
      <c r="C373" s="21"/>
      <c r="D373" s="21"/>
      <c r="E373" s="4"/>
      <c r="F373" s="21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1" t="s">
        <v>16</v>
      </c>
      <c r="B374" s="21"/>
      <c r="C374" s="21"/>
      <c r="D374" s="21">
        <f>SUM(D369:D373)</f>
        <v>67000</v>
      </c>
      <c r="E374" s="4"/>
      <c r="F374" s="84" t="s">
        <v>16</v>
      </c>
      <c r="G374" s="85"/>
      <c r="H374" s="86"/>
      <c r="I374" s="21">
        <f>SUM(I369:I373)</f>
        <v>24250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thickTop="1" thickBo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1" t="s">
        <v>0</v>
      </c>
      <c r="B376" s="21" t="s">
        <v>35</v>
      </c>
      <c r="C376" s="21" t="s">
        <v>62</v>
      </c>
      <c r="D376" s="9">
        <v>45935</v>
      </c>
      <c r="E376" s="4"/>
      <c r="F376" s="21" t="s">
        <v>0</v>
      </c>
      <c r="G376" s="21" t="s">
        <v>109</v>
      </c>
      <c r="H376" s="21" t="s">
        <v>134</v>
      </c>
      <c r="I376" s="9">
        <v>45935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1" t="s">
        <v>6</v>
      </c>
      <c r="B377" s="21" t="s">
        <v>7</v>
      </c>
      <c r="C377" s="21" t="s">
        <v>8</v>
      </c>
      <c r="D377" s="21" t="s">
        <v>9</v>
      </c>
      <c r="E377" s="4"/>
      <c r="F377" s="21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21">
        <v>7</v>
      </c>
      <c r="B378" s="21">
        <v>500000</v>
      </c>
      <c r="C378" s="21">
        <f>VLOOKUP(A378&amp;"|"&amp;B378,$O$3:$P$17,2,FALSE)</f>
        <v>2600</v>
      </c>
      <c r="D378" s="21">
        <f>VLOOKUP(A378&amp;"|"&amp;B378,$Q$3:$R$17,2,FALSE)</f>
        <v>22400</v>
      </c>
      <c r="E378" s="4"/>
      <c r="F378" s="21">
        <v>7</v>
      </c>
      <c r="G378" s="21">
        <v>500000</v>
      </c>
      <c r="H378" s="21">
        <f>VLOOKUP(F378&amp;"|"&amp;G378,$O$3:$P$17,2,FALSE)</f>
        <v>2600</v>
      </c>
      <c r="I378" s="21">
        <f>VLOOKUP(F378&amp;"|"&amp;G378,$Q$3:$R$17,2,FALSE)</f>
        <v>22400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1"/>
      <c r="B379" s="21"/>
      <c r="C379" s="21"/>
      <c r="D379" s="21"/>
      <c r="E379" s="4"/>
      <c r="F379" s="21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1"/>
      <c r="B380" s="21"/>
      <c r="C380" s="21"/>
      <c r="D380" s="21"/>
      <c r="E380" s="4"/>
      <c r="F380" s="21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1"/>
      <c r="B381" s="21"/>
      <c r="C381" s="21"/>
      <c r="D381" s="21"/>
      <c r="E381" s="4"/>
      <c r="F381" s="21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1"/>
      <c r="B382" s="21"/>
      <c r="C382" s="21"/>
      <c r="D382" s="21"/>
      <c r="E382" s="4"/>
      <c r="F382" s="21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1" t="s">
        <v>16</v>
      </c>
      <c r="B383" s="21"/>
      <c r="C383" s="21"/>
      <c r="D383" s="21">
        <f>SUM(D378:D382)</f>
        <v>22400</v>
      </c>
      <c r="E383" s="4"/>
      <c r="F383" s="84" t="s">
        <v>16</v>
      </c>
      <c r="G383" s="85"/>
      <c r="H383" s="86"/>
      <c r="I383" s="21">
        <f>SUM(I378:I382)</f>
        <v>22400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thickTop="1" thickBo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1" t="s">
        <v>0</v>
      </c>
      <c r="B385" s="21" t="s">
        <v>128</v>
      </c>
      <c r="C385" s="21" t="s">
        <v>134</v>
      </c>
      <c r="D385" s="9">
        <v>45935</v>
      </c>
      <c r="E385" s="4"/>
      <c r="F385" s="21" t="s">
        <v>0</v>
      </c>
      <c r="G385" s="21" t="s">
        <v>135</v>
      </c>
      <c r="H385" s="21" t="s">
        <v>136</v>
      </c>
      <c r="I385" s="9">
        <v>45935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1" t="s">
        <v>6</v>
      </c>
      <c r="B386" s="21" t="s">
        <v>7</v>
      </c>
      <c r="C386" s="21" t="s">
        <v>8</v>
      </c>
      <c r="D386" s="21" t="s">
        <v>9</v>
      </c>
      <c r="E386" s="4"/>
      <c r="F386" s="21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21">
        <v>18</v>
      </c>
      <c r="B387" s="21">
        <v>1000000</v>
      </c>
      <c r="C387" s="21">
        <f>VLOOKUP(A387&amp;"|"&amp;B387,$O$3:$P$16,2,FALSE)</f>
        <v>200</v>
      </c>
      <c r="D387" s="21">
        <f>VLOOKUP(A387&amp;"|"&amp;B387,$Q$3:$R$16,2,FALSE)</f>
        <v>49800</v>
      </c>
      <c r="E387" s="4"/>
      <c r="F387" s="21">
        <v>12</v>
      </c>
      <c r="G387" s="21">
        <v>500000</v>
      </c>
      <c r="H387" s="21">
        <f>VLOOKUP(F387&amp;"|"&amp;G387,$O$3:$P$16,2,FALSE)</f>
        <v>1400</v>
      </c>
      <c r="I387" s="21">
        <f>VLOOKUP(F387&amp;"|"&amp;G387,$Q$3:$R$16,2,FALSE)</f>
        <v>23600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21">
        <v>18.100000000000001</v>
      </c>
      <c r="B388" s="21">
        <v>1000000</v>
      </c>
      <c r="C388" s="21">
        <f>VLOOKUP(A388&amp;"|"&amp;B388,$O$3:$P$16,2,FALSE)</f>
        <v>300</v>
      </c>
      <c r="D388" s="21">
        <f>VLOOKUP(A388&amp;"|"&amp;B388,$Q$3:$R$16,2,FALSE)</f>
        <v>49700</v>
      </c>
      <c r="E388" s="4"/>
      <c r="F388" s="21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1"/>
      <c r="B389" s="21"/>
      <c r="C389" s="21"/>
      <c r="D389" s="21"/>
      <c r="E389" s="4"/>
      <c r="F389" s="21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1"/>
      <c r="B390" s="21"/>
      <c r="C390" s="21"/>
      <c r="D390" s="21"/>
      <c r="E390" s="4"/>
      <c r="F390" s="21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1"/>
      <c r="B391" s="21"/>
      <c r="C391" s="21"/>
      <c r="D391" s="21"/>
      <c r="E391" s="4"/>
      <c r="F391" s="21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59" t="s">
        <v>49</v>
      </c>
      <c r="B392" s="53"/>
      <c r="C392" s="54"/>
      <c r="D392" s="21">
        <f>SUM(D387:D391)</f>
        <v>99500</v>
      </c>
      <c r="E392" s="4"/>
      <c r="F392" s="84" t="s">
        <v>16</v>
      </c>
      <c r="G392" s="85"/>
      <c r="H392" s="86"/>
      <c r="I392" s="21">
        <f>SUM(I387:I391)</f>
        <v>23600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2"/>
      <c r="B393" s="2"/>
      <c r="C393" s="2"/>
      <c r="D393" s="10"/>
      <c r="E393" s="4"/>
      <c r="F393" s="2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1" t="s">
        <v>0</v>
      </c>
      <c r="B394" s="21" t="s">
        <v>137</v>
      </c>
      <c r="C394" s="21" t="s">
        <v>138</v>
      </c>
      <c r="D394" s="9">
        <v>45935</v>
      </c>
      <c r="E394" s="4"/>
      <c r="F394" s="21" t="s">
        <v>0</v>
      </c>
      <c r="G394" s="21" t="s">
        <v>139</v>
      </c>
      <c r="H394" s="21" t="s">
        <v>140</v>
      </c>
      <c r="I394" s="9">
        <v>45935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1" t="s">
        <v>6</v>
      </c>
      <c r="B395" s="21" t="s">
        <v>7</v>
      </c>
      <c r="C395" s="21" t="s">
        <v>8</v>
      </c>
      <c r="D395" s="21" t="s">
        <v>9</v>
      </c>
      <c r="E395" s="4"/>
      <c r="F395" s="21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21">
        <v>18</v>
      </c>
      <c r="B396" s="21">
        <v>1000000</v>
      </c>
      <c r="C396" s="21">
        <f>VLOOKUP(A396&amp;"|"&amp;B396,$O$3:$P$16,2,FALSE)</f>
        <v>200</v>
      </c>
      <c r="D396" s="21">
        <f>VLOOKUP(A396&amp;"|"&amp;B396,$Q$3:$R$16,2,FALSE)</f>
        <v>49800</v>
      </c>
      <c r="E396" s="4"/>
      <c r="F396" s="21">
        <v>7</v>
      </c>
      <c r="G396" s="21">
        <v>1000000</v>
      </c>
      <c r="H396" s="21">
        <f>VLOOKUP(F396&amp;"|"&amp;G396,$O$3:$P$16,2,FALSE)</f>
        <v>4500</v>
      </c>
      <c r="I396" s="21">
        <f>VLOOKUP(F396&amp;"|"&amp;G396,$Q$3:$R$16,2,FALSE)</f>
        <v>45500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1"/>
      <c r="B397" s="21"/>
      <c r="C397" s="21"/>
      <c r="D397" s="21"/>
      <c r="E397" s="4"/>
      <c r="F397" s="21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1"/>
      <c r="B398" s="21"/>
      <c r="C398" s="21"/>
      <c r="D398" s="21"/>
      <c r="E398" s="4"/>
      <c r="F398" s="21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1"/>
      <c r="B399" s="21"/>
      <c r="C399" s="21"/>
      <c r="D399" s="21"/>
      <c r="E399" s="4"/>
      <c r="F399" s="21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1"/>
      <c r="B400" s="21"/>
      <c r="C400" s="21"/>
      <c r="D400" s="21"/>
      <c r="E400" s="4"/>
      <c r="F400" s="21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59" t="s">
        <v>49</v>
      </c>
      <c r="B401" s="53"/>
      <c r="C401" s="54"/>
      <c r="D401" s="21">
        <f>SUM(D396:D400)</f>
        <v>49800</v>
      </c>
      <c r="E401" s="4"/>
      <c r="F401" s="84" t="s">
        <v>16</v>
      </c>
      <c r="G401" s="85"/>
      <c r="H401" s="86"/>
      <c r="I401" s="21">
        <f>SUM(I396:I400)</f>
        <v>45500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2"/>
      <c r="B402" s="2"/>
      <c r="C402" s="2"/>
      <c r="D402" s="2"/>
      <c r="E402" s="4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2" t="s">
        <v>0</v>
      </c>
      <c r="B403" s="12" t="s">
        <v>141</v>
      </c>
      <c r="C403" s="12" t="s">
        <v>142</v>
      </c>
      <c r="D403" s="9">
        <v>45935</v>
      </c>
      <c r="E403" s="4"/>
      <c r="F403" s="21" t="s">
        <v>0</v>
      </c>
      <c r="G403" s="21" t="s">
        <v>143</v>
      </c>
      <c r="H403" s="21" t="s">
        <v>144</v>
      </c>
      <c r="I403" s="9">
        <v>45935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1" t="s">
        <v>6</v>
      </c>
      <c r="B404" s="21" t="s">
        <v>7</v>
      </c>
      <c r="C404" s="21" t="s">
        <v>8</v>
      </c>
      <c r="D404" s="21" t="s">
        <v>9</v>
      </c>
      <c r="E404" s="4"/>
      <c r="F404" s="21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21">
        <v>18.100000000000001</v>
      </c>
      <c r="B405" s="21">
        <v>1000000</v>
      </c>
      <c r="C405" s="21">
        <f>VLOOKUP(A405&amp;"|"&amp;B405,$O$3:$P$16,2,FALSE)</f>
        <v>300</v>
      </c>
      <c r="D405" s="21">
        <f>VLOOKUP(A405&amp;"|"&amp;B405,$Q$3:$R$16,2,FALSE)</f>
        <v>49700</v>
      </c>
      <c r="E405" s="4"/>
      <c r="F405" s="21">
        <v>18</v>
      </c>
      <c r="G405" s="21">
        <v>500000</v>
      </c>
      <c r="H405" s="21">
        <f>VLOOKUP(F405&amp;"|"&amp;G405,$O$3:$P$16,2,FALSE)</f>
        <v>150</v>
      </c>
      <c r="I405" s="21">
        <f>VLOOKUP(F405&amp;"|"&amp;G405,$Q$3:$R$16,2,FALSE)</f>
        <v>24850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1"/>
      <c r="B406" s="21"/>
      <c r="C406" s="21"/>
      <c r="D406" s="21"/>
      <c r="E406" s="4"/>
      <c r="F406" s="21">
        <v>2</v>
      </c>
      <c r="G406" s="21">
        <v>500000</v>
      </c>
      <c r="H406" s="21">
        <f>VLOOKUP(F406&amp;"|"&amp;G406,$O$3:$P$16,2,FALSE)</f>
        <v>3500</v>
      </c>
      <c r="I406" s="21">
        <f>VLOOKUP(F406&amp;"|"&amp;G406,$Q$3:$R$16,2,FALSE)</f>
        <v>21500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1"/>
      <c r="B407" s="21"/>
      <c r="C407" s="21"/>
      <c r="D407" s="21"/>
      <c r="E407" s="4"/>
      <c r="F407" s="21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1"/>
      <c r="B408" s="21"/>
      <c r="C408" s="21"/>
      <c r="D408" s="21"/>
      <c r="E408" s="4"/>
      <c r="F408" s="21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1"/>
      <c r="B409" s="21"/>
      <c r="C409" s="21"/>
      <c r="D409" s="21"/>
      <c r="E409" s="4"/>
      <c r="F409" s="21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59" t="s">
        <v>49</v>
      </c>
      <c r="B410" s="53"/>
      <c r="C410" s="54"/>
      <c r="D410" s="21">
        <f>SUM(D405:D409)</f>
        <v>49700</v>
      </c>
      <c r="E410" s="4"/>
      <c r="F410" s="84" t="s">
        <v>16</v>
      </c>
      <c r="G410" s="85"/>
      <c r="H410" s="86"/>
      <c r="I410" s="21">
        <f>SUM(I405:I409)</f>
        <v>46350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thickTop="1" thickBot="1">
      <c r="A411" s="2"/>
      <c r="B411" s="2"/>
      <c r="C411" s="2"/>
      <c r="D411" s="2"/>
      <c r="E411" s="4"/>
      <c r="F411" s="2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2" t="s">
        <v>0</v>
      </c>
      <c r="B412" s="12" t="s">
        <v>145</v>
      </c>
      <c r="C412" s="12" t="s">
        <v>43</v>
      </c>
      <c r="D412" s="9">
        <v>45935</v>
      </c>
      <c r="E412" s="4"/>
      <c r="F412" s="21" t="s">
        <v>0</v>
      </c>
      <c r="G412" s="21" t="s">
        <v>146</v>
      </c>
      <c r="H412" s="21" t="s">
        <v>147</v>
      </c>
      <c r="I412" s="9">
        <v>45935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1" t="s">
        <v>6</v>
      </c>
      <c r="B413" s="21" t="s">
        <v>7</v>
      </c>
      <c r="C413" s="21" t="s">
        <v>8</v>
      </c>
      <c r="D413" s="21" t="s">
        <v>9</v>
      </c>
      <c r="E413" s="4"/>
      <c r="F413" s="21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1">
        <v>7</v>
      </c>
      <c r="B414" s="21">
        <v>500000</v>
      </c>
      <c r="C414" s="21">
        <f>VLOOKUP(A414&amp;"|"&amp;B414,$O$3:$P$17,2,FALSE)</f>
        <v>2600</v>
      </c>
      <c r="D414" s="21">
        <f>VLOOKUP(A414&amp;"|"&amp;B414,$Q$3:$R$17,2,FALSE)</f>
        <v>22400</v>
      </c>
      <c r="E414" s="4"/>
      <c r="F414" s="21">
        <v>2</v>
      </c>
      <c r="G414" s="21">
        <v>1000000</v>
      </c>
      <c r="H414" s="21">
        <f>VLOOKUP(F414&amp;"|"&amp;G414,$O$3:$P$16,2,FALSE)</f>
        <v>8050</v>
      </c>
      <c r="I414" s="21">
        <f>VLOOKUP(F414&amp;"|"&amp;G414,$Q$3:$R$16,2,FALSE)</f>
        <v>41950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1"/>
      <c r="B415" s="21"/>
      <c r="C415" s="21"/>
      <c r="D415" s="21"/>
      <c r="E415" s="4"/>
      <c r="F415" s="21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1"/>
      <c r="B416" s="21"/>
      <c r="C416" s="21"/>
      <c r="D416" s="21"/>
      <c r="E416" s="4"/>
      <c r="F416" s="21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1"/>
      <c r="B417" s="21"/>
      <c r="C417" s="21"/>
      <c r="D417" s="21"/>
      <c r="E417" s="4"/>
      <c r="F417" s="21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1"/>
      <c r="B418" s="21"/>
      <c r="C418" s="21"/>
      <c r="D418" s="21"/>
      <c r="E418" s="4"/>
      <c r="F418" s="21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59" t="s">
        <v>49</v>
      </c>
      <c r="B419" s="53"/>
      <c r="C419" s="54"/>
      <c r="D419" s="21">
        <f>SUM(D414:D418)</f>
        <v>22400</v>
      </c>
      <c r="E419" s="4"/>
      <c r="F419" s="84" t="s">
        <v>16</v>
      </c>
      <c r="G419" s="85"/>
      <c r="H419" s="86"/>
      <c r="I419" s="21">
        <f>SUM(I414:I418)</f>
        <v>41950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thickTop="1" thickBot="1">
      <c r="A420" s="2"/>
      <c r="B420" s="2"/>
      <c r="C420" s="2"/>
      <c r="D420" s="2"/>
      <c r="E420" s="4"/>
      <c r="F420" s="2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2" t="s">
        <v>0</v>
      </c>
      <c r="B421" s="12" t="s">
        <v>148</v>
      </c>
      <c r="C421" s="12" t="s">
        <v>62</v>
      </c>
      <c r="D421" s="9">
        <v>45935</v>
      </c>
      <c r="E421" s="4"/>
      <c r="F421" s="12" t="s">
        <v>0</v>
      </c>
      <c r="G421" s="12" t="s">
        <v>33</v>
      </c>
      <c r="H421" s="12" t="s">
        <v>76</v>
      </c>
      <c r="I421" s="9">
        <v>45935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1" t="s">
        <v>6</v>
      </c>
      <c r="B422" s="21" t="s">
        <v>7</v>
      </c>
      <c r="C422" s="21" t="s">
        <v>8</v>
      </c>
      <c r="D422" s="21" t="s">
        <v>9</v>
      </c>
      <c r="E422" s="4"/>
      <c r="F422" s="21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21">
        <v>7</v>
      </c>
      <c r="B423" s="21">
        <v>1000000</v>
      </c>
      <c r="C423" s="21">
        <f>VLOOKUP(A423&amp;"|"&amp;B423,$O$3:$P$17,2,FALSE)</f>
        <v>4500</v>
      </c>
      <c r="D423" s="21">
        <f>VLOOKUP(A423&amp;"|"&amp;B423,$Q$3:$R$17,2,FALSE)</f>
        <v>45500</v>
      </c>
      <c r="E423" s="4"/>
      <c r="F423" s="21">
        <v>7</v>
      </c>
      <c r="G423" s="21">
        <v>2000000</v>
      </c>
      <c r="H423" s="21">
        <f>VLOOKUP(F423&amp;"|"&amp;G423,$O$3:$P$16,2,FALSE)</f>
        <v>9150</v>
      </c>
      <c r="I423" s="21">
        <f>VLOOKUP(F423&amp;"|"&amp;G423,$Q$3:$R$16,2,FALSE)</f>
        <v>90850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1"/>
      <c r="B424" s="21"/>
      <c r="C424" s="21"/>
      <c r="D424" s="21"/>
      <c r="E424" s="4"/>
      <c r="F424" s="21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1"/>
      <c r="B425" s="21"/>
      <c r="C425" s="21"/>
      <c r="D425" s="21"/>
      <c r="E425" s="4"/>
      <c r="F425" s="21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1"/>
      <c r="B426" s="21"/>
      <c r="C426" s="21"/>
      <c r="D426" s="21"/>
      <c r="E426" s="4"/>
      <c r="F426" s="21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1"/>
      <c r="B427" s="21"/>
      <c r="C427" s="21"/>
      <c r="D427" s="21"/>
      <c r="E427" s="4"/>
      <c r="F427" s="21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59" t="s">
        <v>49</v>
      </c>
      <c r="B428" s="53"/>
      <c r="C428" s="54"/>
      <c r="D428" s="21">
        <f>SUM(D423:D427)</f>
        <v>45500</v>
      </c>
      <c r="E428" s="4"/>
      <c r="F428" s="81" t="s">
        <v>49</v>
      </c>
      <c r="G428" s="82"/>
      <c r="H428" s="83"/>
      <c r="I428" s="21">
        <f>SUM(I423:I427)</f>
        <v>90850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thickTop="1" thickBot="1">
      <c r="A429" s="2"/>
      <c r="B429" s="2"/>
      <c r="C429" s="2"/>
      <c r="D429" s="2"/>
      <c r="E429" s="4"/>
      <c r="F429" s="2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2" t="s">
        <v>0</v>
      </c>
      <c r="B430" s="12" t="s">
        <v>149</v>
      </c>
      <c r="C430" s="12" t="s">
        <v>24</v>
      </c>
      <c r="D430" s="9">
        <v>45935</v>
      </c>
      <c r="E430" s="4"/>
      <c r="F430" s="12" t="s">
        <v>0</v>
      </c>
      <c r="G430" s="12" t="s">
        <v>57</v>
      </c>
      <c r="H430" s="12" t="s">
        <v>150</v>
      </c>
      <c r="I430" s="9">
        <v>45935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1" t="s">
        <v>6</v>
      </c>
      <c r="B431" s="21" t="s">
        <v>7</v>
      </c>
      <c r="C431" s="21" t="s">
        <v>8</v>
      </c>
      <c r="D431" s="21" t="s">
        <v>9</v>
      </c>
      <c r="E431" s="4"/>
      <c r="F431" s="21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21">
        <v>7</v>
      </c>
      <c r="B432" s="21">
        <v>1000000</v>
      </c>
      <c r="C432" s="21">
        <f>VLOOKUP(A432&amp;"|"&amp;B432,$O$3:$P$16,2,FALSE)</f>
        <v>4500</v>
      </c>
      <c r="D432" s="21">
        <f>VLOOKUP(A432&amp;"|"&amp;B432,$Q$3:$R$16,2,FALSE)</f>
        <v>45500</v>
      </c>
      <c r="E432" s="4"/>
      <c r="F432" s="21">
        <v>7</v>
      </c>
      <c r="G432" s="21">
        <v>1000000</v>
      </c>
      <c r="H432" s="21">
        <f>VLOOKUP(F432&amp;"|"&amp;G432,$O$3:$P$16,2,FALSE)</f>
        <v>4500</v>
      </c>
      <c r="I432" s="21">
        <f>VLOOKUP(F432&amp;"|"&amp;G432,$Q$3:$R$16,2,FALSE)</f>
        <v>45500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1"/>
      <c r="B433" s="21"/>
      <c r="C433" s="21"/>
      <c r="D433" s="21"/>
      <c r="E433" s="4"/>
      <c r="F433" s="21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1"/>
      <c r="B434" s="21"/>
      <c r="C434" s="21"/>
      <c r="D434" s="21"/>
      <c r="E434" s="4"/>
      <c r="F434" s="21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1"/>
      <c r="B435" s="21"/>
      <c r="C435" s="21"/>
      <c r="D435" s="21"/>
      <c r="E435" s="4"/>
      <c r="F435" s="21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1"/>
      <c r="B436" s="21"/>
      <c r="C436" s="21"/>
      <c r="D436" s="21"/>
      <c r="E436" s="4"/>
      <c r="F436" s="21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59" t="s">
        <v>49</v>
      </c>
      <c r="B437" s="53"/>
      <c r="C437" s="54"/>
      <c r="D437" s="21">
        <f>SUM(D432:D436)</f>
        <v>45500</v>
      </c>
      <c r="E437" s="4"/>
      <c r="F437" s="81" t="s">
        <v>49</v>
      </c>
      <c r="G437" s="82"/>
      <c r="H437" s="83"/>
      <c r="I437" s="21">
        <f>SUM(I432:I436)</f>
        <v>45500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2"/>
      <c r="B438" s="6"/>
      <c r="C438" s="2"/>
      <c r="D438" s="10"/>
      <c r="E438" s="4"/>
      <c r="F438" s="2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2" t="s">
        <v>0</v>
      </c>
      <c r="B439" s="12" t="s">
        <v>151</v>
      </c>
      <c r="C439" s="12" t="s">
        <v>43</v>
      </c>
      <c r="D439" s="9">
        <v>45935</v>
      </c>
      <c r="E439" s="4"/>
      <c r="F439" s="12" t="s">
        <v>0</v>
      </c>
      <c r="G439" s="12" t="s">
        <v>152</v>
      </c>
      <c r="H439" s="12" t="s">
        <v>43</v>
      </c>
      <c r="I439" s="9">
        <v>45935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1" t="s">
        <v>6</v>
      </c>
      <c r="B440" s="21" t="s">
        <v>7</v>
      </c>
      <c r="C440" s="21" t="s">
        <v>8</v>
      </c>
      <c r="D440" s="21" t="s">
        <v>9</v>
      </c>
      <c r="E440" s="4"/>
      <c r="F440" s="21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21">
        <v>2</v>
      </c>
      <c r="B441" s="21">
        <v>500000</v>
      </c>
      <c r="C441" s="21">
        <f>VLOOKUP(A441&amp;"|"&amp;B441,$O$3:$P$16,2,FALSE)</f>
        <v>3500</v>
      </c>
      <c r="D441" s="21">
        <f>VLOOKUP(A441&amp;"|"&amp;B441,$Q$3:$R$16,2,FALSE)</f>
        <v>21500</v>
      </c>
      <c r="E441" s="4"/>
      <c r="F441" s="21">
        <v>7</v>
      </c>
      <c r="G441" s="21">
        <v>2000000</v>
      </c>
      <c r="H441" s="21">
        <f>VLOOKUP(F441&amp;"|"&amp;G441,$O$3:$P$16,2,FALSE)</f>
        <v>9150</v>
      </c>
      <c r="I441" s="21">
        <f>VLOOKUP(F441&amp;"|"&amp;G441,$Q$3:$R$16,2,FALSE)</f>
        <v>90850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1"/>
      <c r="B442" s="21"/>
      <c r="C442" s="21"/>
      <c r="D442" s="21"/>
      <c r="E442" s="4"/>
      <c r="F442" s="21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1"/>
      <c r="B443" s="21"/>
      <c r="C443" s="21"/>
      <c r="D443" s="21"/>
      <c r="E443" s="4"/>
      <c r="F443" s="21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1"/>
      <c r="B444" s="21"/>
      <c r="C444" s="21"/>
      <c r="D444" s="21"/>
      <c r="E444" s="4"/>
      <c r="F444" s="21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1"/>
      <c r="B445" s="21"/>
      <c r="C445" s="21"/>
      <c r="D445" s="21"/>
      <c r="E445" s="4"/>
      <c r="F445" s="21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59" t="s">
        <v>49</v>
      </c>
      <c r="B446" s="53"/>
      <c r="C446" s="54"/>
      <c r="D446" s="21">
        <f>SUM(D441:D445)</f>
        <v>21500</v>
      </c>
      <c r="E446" s="4"/>
      <c r="F446" s="81" t="s">
        <v>49</v>
      </c>
      <c r="G446" s="82"/>
      <c r="H446" s="83"/>
      <c r="I446" s="21">
        <f>SUM(I441:I445)</f>
        <v>90850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2"/>
      <c r="B447" s="2"/>
      <c r="C447" s="2"/>
      <c r="D447" s="2"/>
      <c r="E447" s="4"/>
      <c r="F447" s="2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2" t="s">
        <v>0</v>
      </c>
      <c r="B448" s="12" t="s">
        <v>128</v>
      </c>
      <c r="C448" s="12" t="s">
        <v>101</v>
      </c>
      <c r="D448" s="9">
        <v>45935</v>
      </c>
      <c r="E448" s="4"/>
      <c r="F448" s="12" t="s">
        <v>0</v>
      </c>
      <c r="G448" s="12" t="s">
        <v>153</v>
      </c>
      <c r="H448" s="12" t="s">
        <v>101</v>
      </c>
      <c r="I448" s="9">
        <v>45935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1" t="s">
        <v>6</v>
      </c>
      <c r="B449" s="21" t="s">
        <v>7</v>
      </c>
      <c r="C449" s="21" t="s">
        <v>8</v>
      </c>
      <c r="D449" s="21" t="s">
        <v>9</v>
      </c>
      <c r="E449" s="4"/>
      <c r="F449" s="21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21">
        <v>2</v>
      </c>
      <c r="B450" s="21">
        <v>1000000</v>
      </c>
      <c r="C450" s="21">
        <f>VLOOKUP(A450&amp;"|"&amp;B450,$O$3:$P$16,2,FALSE)</f>
        <v>8050</v>
      </c>
      <c r="D450" s="21">
        <f>VLOOKUP(A450&amp;"|"&amp;B450,$Q$3:$R$16,2,FALSE)</f>
        <v>41950</v>
      </c>
      <c r="E450" s="4"/>
      <c r="F450" s="21">
        <v>2.1</v>
      </c>
      <c r="G450" s="21">
        <v>1000000</v>
      </c>
      <c r="H450" s="21">
        <f>VLOOKUP(F450&amp;"|"&amp;G450,$O$3:$P$19,2,FALSE)</f>
        <v>8250</v>
      </c>
      <c r="I450" s="21">
        <f>VLOOKUP(F450&amp;"|"&amp;G450,$Q$3:$R$19,2,FALSE)</f>
        <v>41750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1"/>
      <c r="B451" s="21"/>
      <c r="C451" s="21"/>
      <c r="D451" s="21"/>
      <c r="E451" s="4"/>
      <c r="F451" s="21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1"/>
      <c r="B452" s="21"/>
      <c r="C452" s="21"/>
      <c r="D452" s="21"/>
      <c r="E452" s="4"/>
      <c r="F452" s="21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1"/>
      <c r="B453" s="21"/>
      <c r="C453" s="21"/>
      <c r="D453" s="21"/>
      <c r="E453" s="4"/>
      <c r="F453" s="21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1"/>
      <c r="B454" s="21"/>
      <c r="C454" s="21"/>
      <c r="D454" s="21"/>
      <c r="E454" s="4"/>
      <c r="F454" s="21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59" t="s">
        <v>49</v>
      </c>
      <c r="B455" s="53"/>
      <c r="C455" s="54"/>
      <c r="D455" s="21">
        <f>SUM(D450:D454)</f>
        <v>41950</v>
      </c>
      <c r="E455" s="4"/>
      <c r="F455" s="81" t="s">
        <v>49</v>
      </c>
      <c r="G455" s="82"/>
      <c r="H455" s="83"/>
      <c r="I455" s="21">
        <f>SUM(I450:I454)</f>
        <v>41750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thickTop="1" thickBot="1">
      <c r="A456" s="2"/>
      <c r="B456" s="2"/>
      <c r="C456" s="2"/>
      <c r="D456" s="2"/>
      <c r="E456" s="4"/>
      <c r="F456" s="2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2" t="s">
        <v>0</v>
      </c>
      <c r="B457" s="12" t="s">
        <v>35</v>
      </c>
      <c r="C457" s="12" t="s">
        <v>154</v>
      </c>
      <c r="D457" s="9">
        <v>45935</v>
      </c>
      <c r="E457" s="4"/>
      <c r="F457" s="12" t="s">
        <v>0</v>
      </c>
      <c r="G457" s="12" t="s">
        <v>155</v>
      </c>
      <c r="H457" s="12" t="s">
        <v>156</v>
      </c>
      <c r="I457" s="9">
        <v>45935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1" t="s">
        <v>6</v>
      </c>
      <c r="B458" s="21" t="s">
        <v>7</v>
      </c>
      <c r="C458" s="21" t="s">
        <v>8</v>
      </c>
      <c r="D458" s="21" t="s">
        <v>9</v>
      </c>
      <c r="E458" s="4"/>
      <c r="F458" s="21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21">
        <v>18</v>
      </c>
      <c r="B459" s="21">
        <v>500000</v>
      </c>
      <c r="C459" s="21">
        <f>VLOOKUP(A459&amp;"|"&amp;B459,$O$3:$P$16,2,FALSE)</f>
        <v>150</v>
      </c>
      <c r="D459" s="21">
        <f>VLOOKUP(A459&amp;"|"&amp;B459,$Q$3:$R$16,2,FALSE)</f>
        <v>24850</v>
      </c>
      <c r="E459" s="4"/>
      <c r="F459" s="21">
        <v>7</v>
      </c>
      <c r="G459" s="21">
        <v>1000000</v>
      </c>
      <c r="H459" s="21">
        <f>VLOOKUP(F459&amp;"|"&amp;G459,$O$3:$P$17,2,FALSE)</f>
        <v>4500</v>
      </c>
      <c r="I459" s="21">
        <f>VLOOKUP(F459&amp;"|"&amp;G459,$Q$3:$R$17,2,FALSE)</f>
        <v>45500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21">
        <v>7</v>
      </c>
      <c r="B460" s="21">
        <v>1000000</v>
      </c>
      <c r="C460" s="21">
        <f>VLOOKUP(A460&amp;"|"&amp;B460,$O$3:$P$16,2,FALSE)</f>
        <v>4500</v>
      </c>
      <c r="D460" s="21">
        <f>VLOOKUP(A460&amp;"|"&amp;B460,$Q$3:$R$16,2,FALSE)</f>
        <v>45500</v>
      </c>
      <c r="E460" s="4"/>
      <c r="F460" s="21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1"/>
      <c r="B461" s="21"/>
      <c r="C461" s="21"/>
      <c r="D461" s="21"/>
      <c r="E461" s="4"/>
      <c r="F461" s="21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1"/>
      <c r="B462" s="21"/>
      <c r="C462" s="21"/>
      <c r="D462" s="21"/>
      <c r="E462" s="4"/>
      <c r="F462" s="21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1"/>
      <c r="B463" s="21"/>
      <c r="C463" s="21"/>
      <c r="D463" s="21"/>
      <c r="E463" s="4"/>
      <c r="F463" s="21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59" t="s">
        <v>49</v>
      </c>
      <c r="B464" s="53"/>
      <c r="C464" s="54"/>
      <c r="D464" s="21">
        <f>SUM(D459:D463)</f>
        <v>70350</v>
      </c>
      <c r="E464" s="4"/>
      <c r="F464" s="81" t="s">
        <v>49</v>
      </c>
      <c r="G464" s="82"/>
      <c r="H464" s="83"/>
      <c r="I464" s="21">
        <f>SUM(I459:I463)</f>
        <v>45500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thickTop="1" thickBot="1">
      <c r="A465" s="2"/>
      <c r="B465" s="2"/>
      <c r="C465" s="2"/>
      <c r="D465" s="2"/>
      <c r="E465" s="4"/>
      <c r="F465" s="2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2" t="s">
        <v>0</v>
      </c>
      <c r="B466" s="12" t="s">
        <v>157</v>
      </c>
      <c r="C466" s="12" t="s">
        <v>48</v>
      </c>
      <c r="D466" s="9">
        <v>45935</v>
      </c>
      <c r="E466" s="4"/>
      <c r="F466" s="12" t="s">
        <v>0</v>
      </c>
      <c r="G466" s="12" t="s">
        <v>59</v>
      </c>
      <c r="H466" s="12" t="s">
        <v>158</v>
      </c>
      <c r="I466" s="9">
        <v>45935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1" t="s">
        <v>6</v>
      </c>
      <c r="B467" s="21" t="s">
        <v>7</v>
      </c>
      <c r="C467" s="21" t="s">
        <v>8</v>
      </c>
      <c r="D467" s="21" t="s">
        <v>9</v>
      </c>
      <c r="E467" s="4"/>
      <c r="F467" s="21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21">
        <v>18</v>
      </c>
      <c r="B468" s="21">
        <v>1000000</v>
      </c>
      <c r="C468" s="21">
        <f>VLOOKUP(A468&amp;"|"&amp;B468,$O$3:$P$16,2,FALSE)</f>
        <v>200</v>
      </c>
      <c r="D468" s="21">
        <f>VLOOKUP(A468&amp;"|"&amp;B468,$Q$3:$R$16,2,FALSE)</f>
        <v>49800</v>
      </c>
      <c r="E468" s="4"/>
      <c r="F468" s="21">
        <v>18</v>
      </c>
      <c r="G468" s="21">
        <v>1000000</v>
      </c>
      <c r="H468" s="21">
        <f>VLOOKUP(F468&amp;"|"&amp;G468,$O$3:$P$16,2,FALSE)</f>
        <v>200</v>
      </c>
      <c r="I468" s="21">
        <f>VLOOKUP(F468&amp;"|"&amp;G468,$Q$3:$R$16,2,FALSE)</f>
        <v>49800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21">
        <v>2</v>
      </c>
      <c r="B469" s="21">
        <v>1000000</v>
      </c>
      <c r="C469" s="21">
        <f>VLOOKUP(A469&amp;"|"&amp;B469,$O$3:$P$17,2,FALSE)</f>
        <v>8050</v>
      </c>
      <c r="D469" s="21">
        <f>VLOOKUP(A469&amp;"|"&amp;B469,$Q$3:$R$17,2,FALSE)</f>
        <v>41950</v>
      </c>
      <c r="E469" s="4"/>
      <c r="F469" s="21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1"/>
      <c r="B470" s="21"/>
      <c r="C470" s="21"/>
      <c r="D470" s="21"/>
      <c r="E470" s="4"/>
      <c r="F470" s="21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1"/>
      <c r="B471" s="21"/>
      <c r="C471" s="21"/>
      <c r="D471" s="21"/>
      <c r="E471" s="4"/>
      <c r="F471" s="21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1"/>
      <c r="B472" s="21"/>
      <c r="C472" s="21"/>
      <c r="D472" s="21"/>
      <c r="E472" s="4"/>
      <c r="F472" s="21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59" t="s">
        <v>49</v>
      </c>
      <c r="B473" s="53"/>
      <c r="C473" s="54"/>
      <c r="D473" s="21">
        <f>SUM(D468:D472)</f>
        <v>91750</v>
      </c>
      <c r="E473" s="4"/>
      <c r="F473" s="81" t="s">
        <v>49</v>
      </c>
      <c r="G473" s="82"/>
      <c r="H473" s="83"/>
      <c r="I473" s="21">
        <f>SUM(I468:I472)</f>
        <v>49800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thickTop="1" thickBot="1">
      <c r="A474" s="2"/>
      <c r="B474" s="2"/>
      <c r="C474" s="2"/>
      <c r="D474" s="2"/>
      <c r="E474" s="4"/>
      <c r="F474" s="2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2" t="s">
        <v>0</v>
      </c>
      <c r="B475" s="12" t="s">
        <v>66</v>
      </c>
      <c r="C475" s="12" t="s">
        <v>43</v>
      </c>
      <c r="D475" s="9">
        <v>45935</v>
      </c>
      <c r="E475" s="4"/>
      <c r="F475" s="12" t="s">
        <v>0</v>
      </c>
      <c r="G475" s="12" t="s">
        <v>159</v>
      </c>
      <c r="H475" s="12" t="s">
        <v>41</v>
      </c>
      <c r="I475" s="9">
        <v>45935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1" t="s">
        <v>6</v>
      </c>
      <c r="B476" s="21" t="s">
        <v>7</v>
      </c>
      <c r="C476" s="21" t="s">
        <v>8</v>
      </c>
      <c r="D476" s="21" t="s">
        <v>9</v>
      </c>
      <c r="E476" s="4"/>
      <c r="F476" s="21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21">
        <v>18</v>
      </c>
      <c r="B477" s="21">
        <v>500000</v>
      </c>
      <c r="C477" s="21">
        <f>VLOOKUP(A477&amp;"|"&amp;B477,$O$3:$P$16,2,FALSE)</f>
        <v>150</v>
      </c>
      <c r="D477" s="21">
        <f>VLOOKUP(A477&amp;"|"&amp;B477,$Q$3:$R$16,2,FALSE)</f>
        <v>24850</v>
      </c>
      <c r="E477" s="4"/>
      <c r="F477" s="21">
        <v>2</v>
      </c>
      <c r="G477" s="21">
        <v>500000</v>
      </c>
      <c r="H477" s="21">
        <f>VLOOKUP(F477&amp;"|"&amp;G477,$O$3:$P$16,2,FALSE)</f>
        <v>3500</v>
      </c>
      <c r="I477" s="21">
        <f>VLOOKUP(F477&amp;"|"&amp;G477,$Q$3:$R$16,2,FALSE)</f>
        <v>21500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1"/>
      <c r="B478" s="21"/>
      <c r="C478" s="21"/>
      <c r="D478" s="21"/>
      <c r="E478" s="4"/>
      <c r="F478" s="21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1"/>
      <c r="B479" s="21"/>
      <c r="C479" s="21"/>
      <c r="D479" s="21"/>
      <c r="E479" s="4"/>
      <c r="F479" s="21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1"/>
      <c r="B480" s="21"/>
      <c r="C480" s="21"/>
      <c r="D480" s="21"/>
      <c r="E480" s="4"/>
      <c r="F480" s="21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1"/>
      <c r="B481" s="21"/>
      <c r="C481" s="21"/>
      <c r="D481" s="21"/>
      <c r="E481" s="4"/>
      <c r="F481" s="21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59" t="s">
        <v>49</v>
      </c>
      <c r="B482" s="53"/>
      <c r="C482" s="54"/>
      <c r="D482" s="21">
        <f>SUM(D477:D481)</f>
        <v>24850</v>
      </c>
      <c r="E482" s="4"/>
      <c r="F482" s="81" t="s">
        <v>49</v>
      </c>
      <c r="G482" s="82"/>
      <c r="H482" s="83"/>
      <c r="I482" s="21">
        <f>SUM(I477:I481)</f>
        <v>21500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2"/>
      <c r="B483" s="6"/>
      <c r="C483" s="2"/>
      <c r="D483" s="10"/>
      <c r="E483" s="4"/>
      <c r="F483" s="2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2" t="s">
        <v>0</v>
      </c>
      <c r="B484" s="12" t="s">
        <v>160</v>
      </c>
      <c r="C484" s="12" t="s">
        <v>43</v>
      </c>
      <c r="D484" s="9">
        <v>45935</v>
      </c>
      <c r="E484" s="4"/>
      <c r="F484" s="12" t="s">
        <v>0</v>
      </c>
      <c r="G484" s="12" t="s">
        <v>44</v>
      </c>
      <c r="H484" s="12" t="s">
        <v>43</v>
      </c>
      <c r="I484" s="9">
        <v>45935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1" t="s">
        <v>6</v>
      </c>
      <c r="B485" s="21" t="s">
        <v>7</v>
      </c>
      <c r="C485" s="21" t="s">
        <v>8</v>
      </c>
      <c r="D485" s="21" t="s">
        <v>9</v>
      </c>
      <c r="E485" s="4"/>
      <c r="F485" s="21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21">
        <v>15</v>
      </c>
      <c r="B486" s="21">
        <v>500000</v>
      </c>
      <c r="C486" s="21">
        <f>VLOOKUP(A486&amp;"|"&amp;B486,$O$3:$P$16,2,FALSE)</f>
        <v>750</v>
      </c>
      <c r="D486" s="21">
        <f>VLOOKUP(A486&amp;"|"&amp;B486,$Q$3:$R$16,2,FALSE)</f>
        <v>24250</v>
      </c>
      <c r="E486" s="4"/>
      <c r="F486" s="21">
        <v>7</v>
      </c>
      <c r="G486" s="21">
        <v>500000</v>
      </c>
      <c r="H486" s="21">
        <f>VLOOKUP(F486&amp;"|"&amp;G486,$O$3:$P$16,2,FALSE)</f>
        <v>2600</v>
      </c>
      <c r="I486" s="21">
        <f>VLOOKUP(F486&amp;"|"&amp;G486,$Q$3:$R$16,2,FALSE)</f>
        <v>22400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21">
        <v>15</v>
      </c>
      <c r="B487" s="21">
        <v>500000</v>
      </c>
      <c r="C487" s="21">
        <f>VLOOKUP(A487&amp;"|"&amp;B487,$O$3:$P$16,2,FALSE)</f>
        <v>750</v>
      </c>
      <c r="D487" s="21">
        <f>VLOOKUP(A487&amp;"|"&amp;B487,$Q$3:$R$16,2,FALSE)</f>
        <v>24250</v>
      </c>
      <c r="E487" s="4"/>
      <c r="F487" s="21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1"/>
      <c r="B488" s="21"/>
      <c r="C488" s="21"/>
      <c r="D488" s="21"/>
      <c r="E488" s="4"/>
      <c r="F488" s="21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1"/>
      <c r="B489" s="21"/>
      <c r="C489" s="21"/>
      <c r="D489" s="21"/>
      <c r="E489" s="4"/>
      <c r="F489" s="21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1"/>
      <c r="B490" s="21"/>
      <c r="C490" s="21"/>
      <c r="D490" s="21"/>
      <c r="E490" s="4"/>
      <c r="F490" s="21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59" t="s">
        <v>49</v>
      </c>
      <c r="B491" s="53"/>
      <c r="C491" s="54"/>
      <c r="D491" s="21">
        <f>SUM(D486:D490)</f>
        <v>48500</v>
      </c>
      <c r="E491" s="4"/>
      <c r="F491" s="81" t="s">
        <v>49</v>
      </c>
      <c r="G491" s="82"/>
      <c r="H491" s="83"/>
      <c r="I491" s="21">
        <f>SUM(I486:I490)</f>
        <v>22400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thickTop="1" thickBot="1">
      <c r="A492" s="2"/>
      <c r="B492" s="2"/>
      <c r="C492" s="2"/>
      <c r="D492" s="2"/>
      <c r="E492" s="4"/>
      <c r="F492" s="2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2" t="s">
        <v>0</v>
      </c>
      <c r="B493" s="12" t="s">
        <v>161</v>
      </c>
      <c r="C493" s="12" t="s">
        <v>43</v>
      </c>
      <c r="D493" s="9">
        <v>45935</v>
      </c>
      <c r="E493" s="4"/>
      <c r="F493" s="12" t="s">
        <v>0</v>
      </c>
      <c r="G493" s="12" t="s">
        <v>162</v>
      </c>
      <c r="H493" s="12" t="s">
        <v>163</v>
      </c>
      <c r="I493" s="9">
        <v>45935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1" t="s">
        <v>6</v>
      </c>
      <c r="B494" s="21" t="s">
        <v>7</v>
      </c>
      <c r="C494" s="21" t="s">
        <v>8</v>
      </c>
      <c r="D494" s="21" t="s">
        <v>9</v>
      </c>
      <c r="E494" s="4"/>
      <c r="F494" s="21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21">
        <v>12</v>
      </c>
      <c r="B495" s="21">
        <v>500000</v>
      </c>
      <c r="C495" s="21">
        <f>VLOOKUP(A495&amp;"|"&amp;B495,$O$3:$P$16,2,FALSE)</f>
        <v>1400</v>
      </c>
      <c r="D495" s="21">
        <f>VLOOKUP(A495&amp;"|"&amp;B495,$Q$3:$R$16,2,FALSE)</f>
        <v>23600</v>
      </c>
      <c r="E495" s="4"/>
      <c r="F495" s="21">
        <v>12</v>
      </c>
      <c r="G495" s="21">
        <v>500000</v>
      </c>
      <c r="H495" s="21">
        <f>VLOOKUP(F495&amp;"|"&amp;G495,$O$3:$P$16,2,FALSE)</f>
        <v>1400</v>
      </c>
      <c r="I495" s="21">
        <f>VLOOKUP(F495&amp;"|"&amp;G495,$Q$3:$R$16,2,FALSE)</f>
        <v>23600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1"/>
      <c r="B496" s="21"/>
      <c r="C496" s="21"/>
      <c r="D496" s="21"/>
      <c r="E496" s="4"/>
      <c r="F496" s="21">
        <v>12</v>
      </c>
      <c r="G496" s="21">
        <v>500000</v>
      </c>
      <c r="H496" s="21">
        <f>VLOOKUP(F496&amp;"|"&amp;G496,$O$3:$P$16,2,FALSE)</f>
        <v>1400</v>
      </c>
      <c r="I496" s="21">
        <f>VLOOKUP(F496&amp;"|"&amp;G496,$Q$3:$R$16,2,FALSE)</f>
        <v>23600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1"/>
      <c r="B497" s="21"/>
      <c r="C497" s="21"/>
      <c r="D497" s="21"/>
      <c r="E497" s="4"/>
      <c r="F497" s="21">
        <v>7</v>
      </c>
      <c r="G497" s="21">
        <v>500000</v>
      </c>
      <c r="H497" s="21">
        <f>VLOOKUP(F497&amp;"|"&amp;G497,$O$3:$P$17,2,FALSE)</f>
        <v>2600</v>
      </c>
      <c r="I497" s="21">
        <f>VLOOKUP(F497&amp;"|"&amp;G497,$Q$3:$R$17,2,FALSE)</f>
        <v>22400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1"/>
      <c r="B498" s="21"/>
      <c r="C498" s="21"/>
      <c r="D498" s="21"/>
      <c r="E498" s="4"/>
      <c r="F498" s="21">
        <v>2</v>
      </c>
      <c r="G498" s="21">
        <v>1000000</v>
      </c>
      <c r="H498" s="21">
        <f>VLOOKUP(F498&amp;"|"&amp;G498,$O$3:$P$17,2,FALSE)</f>
        <v>8050</v>
      </c>
      <c r="I498" s="21">
        <f>VLOOKUP(F498&amp;"|"&amp;G498,$Q$3:$R$17,2,FALSE)</f>
        <v>41950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1"/>
      <c r="B499" s="21"/>
      <c r="C499" s="21"/>
      <c r="D499" s="21"/>
      <c r="E499" s="4"/>
      <c r="F499" s="21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59" t="s">
        <v>49</v>
      </c>
      <c r="B500" s="53"/>
      <c r="C500" s="54"/>
      <c r="D500" s="21">
        <f>SUM(D495:D499)</f>
        <v>23600</v>
      </c>
      <c r="E500" s="4"/>
      <c r="F500" s="81" t="s">
        <v>49</v>
      </c>
      <c r="G500" s="82"/>
      <c r="H500" s="83"/>
      <c r="I500" s="21">
        <f>SUM(I495:I499)</f>
        <v>111550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2" t="s">
        <v>0</v>
      </c>
      <c r="B502" s="12" t="s">
        <v>164</v>
      </c>
      <c r="C502" s="12" t="s">
        <v>165</v>
      </c>
      <c r="D502" s="9">
        <v>45935</v>
      </c>
      <c r="E502" s="4"/>
      <c r="F502" s="12" t="s">
        <v>3</v>
      </c>
      <c r="G502" s="12" t="s">
        <v>166</v>
      </c>
      <c r="H502" s="12" t="s">
        <v>167</v>
      </c>
      <c r="I502" s="9">
        <v>45935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1" t="s">
        <v>6</v>
      </c>
      <c r="B503" s="21" t="s">
        <v>7</v>
      </c>
      <c r="C503" s="21" t="s">
        <v>8</v>
      </c>
      <c r="D503" s="21" t="s">
        <v>9</v>
      </c>
      <c r="E503" s="4"/>
      <c r="F503" s="21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21">
        <v>7</v>
      </c>
      <c r="B504" s="21">
        <v>2000000</v>
      </c>
      <c r="C504" s="21">
        <f>VLOOKUP(A504&amp;"|"&amp;B504,$O$3:$P$16,2,FALSE)</f>
        <v>9150</v>
      </c>
      <c r="D504" s="21">
        <f>VLOOKUP(A504&amp;"|"&amp;B504,$Q$3:$R$16,2,FALSE)</f>
        <v>90850</v>
      </c>
      <c r="E504" s="4"/>
      <c r="F504" s="21">
        <v>7</v>
      </c>
      <c r="G504" s="21">
        <v>500000</v>
      </c>
      <c r="H504" s="21">
        <f>VLOOKUP(F504&amp;"|"&amp;G504,$O$3:$P$17,2,FALSE)</f>
        <v>2600</v>
      </c>
      <c r="I504" s="21">
        <f>VLOOKUP(F504&amp;"|"&amp;G504,$Q$3:$R$17,2,FALSE)</f>
        <v>22400</v>
      </c>
    </row>
    <row r="505" spans="1:26" ht="20.25" thickTop="1" thickBot="1">
      <c r="A505" s="21"/>
      <c r="B505" s="21"/>
      <c r="C505" s="21"/>
      <c r="D505" s="21"/>
      <c r="E505" s="4"/>
      <c r="F505" s="21"/>
      <c r="G505" s="21"/>
      <c r="H505" s="21"/>
      <c r="I505" s="21"/>
    </row>
    <row r="506" spans="1:26" ht="20.25" thickTop="1" thickBot="1">
      <c r="A506" s="21"/>
      <c r="B506" s="21"/>
      <c r="C506" s="21"/>
      <c r="D506" s="21"/>
      <c r="E506" s="4"/>
      <c r="F506" s="21"/>
      <c r="G506" s="21"/>
      <c r="H506" s="21"/>
      <c r="I506" s="21"/>
    </row>
    <row r="507" spans="1:26" ht="20.25" thickTop="1" thickBot="1">
      <c r="A507" s="21"/>
      <c r="B507" s="21"/>
      <c r="C507" s="21"/>
      <c r="D507" s="21"/>
      <c r="E507" s="4"/>
      <c r="F507" s="21"/>
      <c r="G507" s="21"/>
      <c r="H507" s="21"/>
      <c r="I507" s="21"/>
    </row>
    <row r="508" spans="1:26" ht="20.25" thickTop="1" thickBot="1">
      <c r="A508" s="21"/>
      <c r="B508" s="21"/>
      <c r="C508" s="21"/>
      <c r="D508" s="21"/>
      <c r="E508" s="4"/>
      <c r="F508" s="21"/>
      <c r="G508" s="21"/>
      <c r="H508" s="21"/>
      <c r="I508" s="21"/>
    </row>
    <row r="509" spans="1:26" ht="20.25" thickTop="1" thickBot="1">
      <c r="A509" s="59" t="s">
        <v>49</v>
      </c>
      <c r="B509" s="53"/>
      <c r="C509" s="54"/>
      <c r="D509" s="21">
        <f>SUM(D504:D508)</f>
        <v>90850</v>
      </c>
      <c r="E509" s="4"/>
      <c r="F509" s="59" t="s">
        <v>49</v>
      </c>
      <c r="G509" s="53"/>
      <c r="H509" s="54"/>
      <c r="I509" s="21">
        <f>SUM(I504:I508)</f>
        <v>22400</v>
      </c>
    </row>
    <row r="510" spans="1:26" ht="16.5" thickTop="1" thickBot="1"/>
    <row r="511" spans="1:26" ht="20.25" thickTop="1" thickBot="1">
      <c r="A511" s="12" t="s">
        <v>0</v>
      </c>
      <c r="B511" s="12" t="s">
        <v>146</v>
      </c>
      <c r="C511" s="12" t="s">
        <v>38</v>
      </c>
      <c r="D511" s="9">
        <v>45935</v>
      </c>
      <c r="E511" s="4"/>
      <c r="F511" s="12" t="s">
        <v>3</v>
      </c>
      <c r="G511" s="12" t="s">
        <v>57</v>
      </c>
      <c r="H511" s="12" t="s">
        <v>168</v>
      </c>
      <c r="I511" s="9">
        <v>45935</v>
      </c>
    </row>
    <row r="512" spans="1:26" ht="20.25" thickTop="1" thickBot="1">
      <c r="A512" s="21" t="s">
        <v>6</v>
      </c>
      <c r="B512" s="21" t="s">
        <v>7</v>
      </c>
      <c r="C512" s="21" t="s">
        <v>8</v>
      </c>
      <c r="D512" s="21" t="s">
        <v>9</v>
      </c>
      <c r="E512" s="4"/>
      <c r="F512" s="21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21">
        <v>7</v>
      </c>
      <c r="B513" s="21">
        <v>500000</v>
      </c>
      <c r="C513" s="21">
        <f>VLOOKUP(A513&amp;"|"&amp;B513,$O$3:$P$17,2,FALSE)</f>
        <v>2600</v>
      </c>
      <c r="D513" s="21">
        <f>VLOOKUP(A513&amp;"|"&amp;B513,$Q$3:$R$17,2,FALSE)</f>
        <v>22400</v>
      </c>
      <c r="E513" s="4"/>
      <c r="F513" s="21">
        <v>7</v>
      </c>
      <c r="G513" s="21">
        <v>500000</v>
      </c>
      <c r="H513" s="21">
        <f>VLOOKUP(F513&amp;"|"&amp;G513,$O$3:$P$17,2,FALSE)</f>
        <v>2600</v>
      </c>
      <c r="I513" s="21">
        <f>VLOOKUP(F513&amp;"|"&amp;G513,$Q$3:$R$17,2,FALSE)</f>
        <v>22400</v>
      </c>
    </row>
    <row r="514" spans="1:9" ht="20.25" thickTop="1" thickBot="1">
      <c r="A514" s="21"/>
      <c r="B514" s="21"/>
      <c r="C514" s="21"/>
      <c r="D514" s="21"/>
      <c r="E514" s="4"/>
      <c r="F514" s="21"/>
      <c r="G514" s="21"/>
      <c r="H514" s="21"/>
      <c r="I514" s="21"/>
    </row>
    <row r="515" spans="1:9" ht="20.25" thickTop="1" thickBot="1">
      <c r="A515" s="21"/>
      <c r="B515" s="21"/>
      <c r="C515" s="21"/>
      <c r="D515" s="21"/>
      <c r="E515" s="4"/>
      <c r="F515" s="21"/>
      <c r="G515" s="21"/>
      <c r="H515" s="21"/>
      <c r="I515" s="21"/>
    </row>
    <row r="516" spans="1:9" ht="20.25" thickTop="1" thickBot="1">
      <c r="A516" s="21"/>
      <c r="B516" s="21"/>
      <c r="C516" s="21"/>
      <c r="D516" s="21"/>
      <c r="E516" s="4"/>
      <c r="F516" s="21"/>
      <c r="G516" s="21"/>
      <c r="H516" s="21"/>
      <c r="I516" s="21"/>
    </row>
    <row r="517" spans="1:9" ht="20.25" thickTop="1" thickBot="1">
      <c r="A517" s="21"/>
      <c r="B517" s="21"/>
      <c r="C517" s="21"/>
      <c r="D517" s="21"/>
      <c r="E517" s="4"/>
      <c r="F517" s="21"/>
      <c r="G517" s="21"/>
      <c r="H517" s="21"/>
      <c r="I517" s="21"/>
    </row>
    <row r="518" spans="1:9" ht="20.25" thickTop="1" thickBot="1">
      <c r="A518" s="59" t="s">
        <v>49</v>
      </c>
      <c r="B518" s="53"/>
      <c r="C518" s="54"/>
      <c r="D518" s="21">
        <f>SUM(D513:D517)</f>
        <v>22400</v>
      </c>
      <c r="E518" s="4"/>
      <c r="F518" s="81" t="s">
        <v>25</v>
      </c>
      <c r="G518" s="82"/>
      <c r="H518" s="83"/>
      <c r="I518" s="21">
        <f>SUM(I513:I517)</f>
        <v>22400</v>
      </c>
    </row>
    <row r="519" spans="1:9" ht="16.5" thickTop="1" thickBot="1"/>
    <row r="520" spans="1:9" ht="20.25" thickTop="1" thickBot="1">
      <c r="A520" s="12" t="s">
        <v>3</v>
      </c>
      <c r="B520" s="12" t="s">
        <v>169</v>
      </c>
      <c r="C520" s="12" t="s">
        <v>170</v>
      </c>
      <c r="D520" s="9">
        <v>45935</v>
      </c>
      <c r="F520" s="12" t="s">
        <v>3</v>
      </c>
      <c r="G520" s="12" t="s">
        <v>171</v>
      </c>
      <c r="H520" s="12" t="s">
        <v>172</v>
      </c>
      <c r="I520" s="9">
        <v>45935</v>
      </c>
    </row>
    <row r="521" spans="1:9" ht="20.25" thickTop="1" thickBot="1">
      <c r="A521" s="21" t="s">
        <v>6</v>
      </c>
      <c r="B521" s="21" t="s">
        <v>7</v>
      </c>
      <c r="C521" s="21" t="s">
        <v>8</v>
      </c>
      <c r="D521" s="21" t="s">
        <v>9</v>
      </c>
      <c r="F521" s="21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21">
        <v>18</v>
      </c>
      <c r="B522" s="21">
        <v>500000</v>
      </c>
      <c r="C522" s="21">
        <f>VLOOKUP(A522&amp;"|"&amp;B522,$O$3:$P$17,2,FALSE)</f>
        <v>150</v>
      </c>
      <c r="D522" s="21">
        <f>VLOOKUP(A522&amp;"|"&amp;B522,$Q$3:$R$17,2,FALSE)</f>
        <v>24850</v>
      </c>
      <c r="F522" s="21">
        <v>7</v>
      </c>
      <c r="G522" s="21">
        <v>1000000</v>
      </c>
      <c r="H522" s="21">
        <f>VLOOKUP(F522&amp;"|"&amp;G522,$O$3:$P$17,2,FALSE)</f>
        <v>4500</v>
      </c>
      <c r="I522" s="21">
        <f>VLOOKUP(F522&amp;"|"&amp;G522,$Q$3:$R$17,2,FALSE)</f>
        <v>45500</v>
      </c>
    </row>
    <row r="523" spans="1:9" ht="20.25" thickTop="1" thickBot="1">
      <c r="A523" s="21"/>
      <c r="B523" s="21"/>
      <c r="C523" s="21"/>
      <c r="D523" s="21"/>
      <c r="F523" s="21">
        <v>7</v>
      </c>
      <c r="G523" s="21">
        <v>1000000</v>
      </c>
      <c r="H523" s="21">
        <f>VLOOKUP(F523&amp;"|"&amp;G523,$O$3:$P$17,2,FALSE)</f>
        <v>4500</v>
      </c>
      <c r="I523" s="21">
        <f>VLOOKUP(F523&amp;"|"&amp;G523,$Q$3:$R$17,2,FALSE)</f>
        <v>45500</v>
      </c>
    </row>
    <row r="524" spans="1:9" ht="20.25" thickTop="1" thickBot="1">
      <c r="A524" s="21"/>
      <c r="B524" s="21"/>
      <c r="C524" s="21"/>
      <c r="D524" s="21"/>
      <c r="F524" s="21"/>
      <c r="G524" s="21"/>
      <c r="H524" s="21"/>
      <c r="I524" s="21"/>
    </row>
    <row r="525" spans="1:9" ht="20.25" thickTop="1" thickBot="1">
      <c r="A525" s="21"/>
      <c r="B525" s="21"/>
      <c r="C525" s="21"/>
      <c r="D525" s="21"/>
      <c r="F525" s="21"/>
      <c r="G525" s="21"/>
      <c r="H525" s="21"/>
      <c r="I525" s="21"/>
    </row>
    <row r="526" spans="1:9" ht="20.25" thickTop="1" thickBot="1">
      <c r="A526" s="21"/>
      <c r="B526" s="21"/>
      <c r="C526" s="21"/>
      <c r="D526" s="21"/>
      <c r="F526" s="21"/>
      <c r="G526" s="21"/>
      <c r="H526" s="21"/>
      <c r="I526" s="21"/>
    </row>
    <row r="527" spans="1:9" ht="20.25" thickTop="1" thickBot="1">
      <c r="A527" s="59" t="s">
        <v>49</v>
      </c>
      <c r="B527" s="53"/>
      <c r="C527" s="54"/>
      <c r="D527" s="21">
        <f>SUM(D522:D526)</f>
        <v>24850</v>
      </c>
      <c r="F527" s="81" t="s">
        <v>25</v>
      </c>
      <c r="G527" s="82"/>
      <c r="H527" s="83"/>
      <c r="I527" s="21">
        <f>SUM(I522:I526)</f>
        <v>91000</v>
      </c>
    </row>
    <row r="528" spans="1:9" ht="16.5" thickTop="1" thickBot="1"/>
    <row r="529" spans="1:9" ht="20.25" thickTop="1" thickBot="1">
      <c r="A529" s="12" t="s">
        <v>3</v>
      </c>
      <c r="B529" s="12" t="s">
        <v>61</v>
      </c>
      <c r="C529" s="12" t="s">
        <v>173</v>
      </c>
      <c r="D529" s="9">
        <v>45935</v>
      </c>
      <c r="F529" s="12" t="s">
        <v>3</v>
      </c>
      <c r="G529" s="12" t="s">
        <v>174</v>
      </c>
      <c r="H529" s="12" t="s">
        <v>175</v>
      </c>
      <c r="I529" s="9">
        <v>45935</v>
      </c>
    </row>
    <row r="530" spans="1:9" ht="20.25" thickTop="1" thickBot="1">
      <c r="A530" s="21" t="s">
        <v>6</v>
      </c>
      <c r="B530" s="21" t="s">
        <v>7</v>
      </c>
      <c r="C530" s="21" t="s">
        <v>8</v>
      </c>
      <c r="D530" s="21" t="s">
        <v>9</v>
      </c>
      <c r="F530" s="21" t="s">
        <v>6</v>
      </c>
      <c r="G530" s="21" t="s">
        <v>7</v>
      </c>
      <c r="H530" s="21" t="s">
        <v>8</v>
      </c>
      <c r="I530" s="21" t="s">
        <v>9</v>
      </c>
    </row>
    <row r="531" spans="1:9" ht="20.25" thickTop="1" thickBot="1">
      <c r="A531" s="21">
        <v>2</v>
      </c>
      <c r="B531" s="21">
        <v>1000000</v>
      </c>
      <c r="C531" s="21">
        <f>VLOOKUP(A531&amp;"|"&amp;B531,$O$3:$P$17,2,FALSE)</f>
        <v>8050</v>
      </c>
      <c r="D531" s="21">
        <f>VLOOKUP(A531&amp;"|"&amp;B531,$Q$3:$R$17,2,FALSE)</f>
        <v>41950</v>
      </c>
      <c r="F531" s="21">
        <v>7</v>
      </c>
      <c r="G531" s="21">
        <v>2000000</v>
      </c>
      <c r="H531" s="21">
        <f>VLOOKUP(F531&amp;"|"&amp;G531,$O$3:$P$17,2,FALSE)</f>
        <v>9150</v>
      </c>
      <c r="I531" s="21">
        <f>VLOOKUP(F531&amp;"|"&amp;G531,$Q$3:$R$17,2,FALSE)</f>
        <v>90850</v>
      </c>
    </row>
    <row r="532" spans="1:9" ht="20.25" thickTop="1" thickBot="1">
      <c r="A532" s="21">
        <v>2.1</v>
      </c>
      <c r="B532" s="21">
        <v>1000000</v>
      </c>
      <c r="C532" s="21">
        <f>VLOOKUP(A532&amp;"|"&amp;B532,$O$3:$P$17,2,FALSE)</f>
        <v>8250</v>
      </c>
      <c r="D532" s="21">
        <f>VLOOKUP(A532&amp;"|"&amp;B532,$Q$3:$R$17,2,FALSE)</f>
        <v>41750</v>
      </c>
      <c r="F532" s="21"/>
      <c r="G532" s="21"/>
      <c r="H532" s="21"/>
      <c r="I532" s="21"/>
    </row>
    <row r="533" spans="1:9" ht="20.25" thickTop="1" thickBot="1">
      <c r="A533" s="21"/>
      <c r="B533" s="21"/>
      <c r="C533" s="21"/>
      <c r="D533" s="21"/>
      <c r="F533" s="21"/>
      <c r="G533" s="21"/>
      <c r="H533" s="21"/>
      <c r="I533" s="21"/>
    </row>
    <row r="534" spans="1:9" ht="20.25" thickTop="1" thickBot="1">
      <c r="A534" s="21"/>
      <c r="B534" s="21"/>
      <c r="C534" s="21"/>
      <c r="D534" s="21"/>
      <c r="F534" s="21"/>
      <c r="G534" s="21"/>
      <c r="H534" s="21"/>
      <c r="I534" s="21"/>
    </row>
    <row r="535" spans="1:9" ht="20.25" thickTop="1" thickBot="1">
      <c r="A535" s="21"/>
      <c r="B535" s="21"/>
      <c r="C535" s="21"/>
      <c r="D535" s="21"/>
      <c r="F535" s="21"/>
      <c r="G535" s="21"/>
      <c r="H535" s="21"/>
      <c r="I535" s="21"/>
    </row>
    <row r="536" spans="1:9" ht="20.25" thickTop="1" thickBot="1">
      <c r="A536" s="59" t="s">
        <v>49</v>
      </c>
      <c r="B536" s="53"/>
      <c r="C536" s="54"/>
      <c r="D536" s="21">
        <f>SUM(D531:D535)</f>
        <v>83700</v>
      </c>
      <c r="F536" s="59" t="s">
        <v>49</v>
      </c>
      <c r="G536" s="53"/>
      <c r="H536" s="54"/>
      <c r="I536" s="21">
        <f>SUM(I531:I535)</f>
        <v>90850</v>
      </c>
    </row>
    <row r="537" spans="1:9" ht="16.5" thickTop="1" thickBot="1"/>
    <row r="538" spans="1:9" ht="20.25" thickTop="1" thickBot="1">
      <c r="A538" s="12" t="s">
        <v>3</v>
      </c>
      <c r="B538" s="12" t="s">
        <v>176</v>
      </c>
      <c r="C538" s="12" t="s">
        <v>173</v>
      </c>
      <c r="D538" s="9">
        <v>45935</v>
      </c>
      <c r="F538" s="12" t="s">
        <v>3</v>
      </c>
      <c r="G538" s="12" t="s">
        <v>1</v>
      </c>
      <c r="H538" s="12" t="s">
        <v>173</v>
      </c>
      <c r="I538" s="9">
        <v>45935</v>
      </c>
    </row>
    <row r="539" spans="1:9" ht="20.25" thickTop="1" thickBot="1">
      <c r="A539" s="21" t="s">
        <v>6</v>
      </c>
      <c r="B539" s="21" t="s">
        <v>7</v>
      </c>
      <c r="C539" s="21" t="s">
        <v>8</v>
      </c>
      <c r="D539" s="21" t="s">
        <v>9</v>
      </c>
      <c r="F539" s="21" t="s">
        <v>6</v>
      </c>
      <c r="G539" s="21" t="s">
        <v>7</v>
      </c>
      <c r="H539" s="21" t="s">
        <v>8</v>
      </c>
      <c r="I539" s="21" t="s">
        <v>9</v>
      </c>
    </row>
    <row r="540" spans="1:9" ht="20.25" thickTop="1" thickBot="1">
      <c r="A540" s="21">
        <v>2.1</v>
      </c>
      <c r="B540" s="21">
        <v>1000000</v>
      </c>
      <c r="C540" s="21">
        <f>VLOOKUP(A540&amp;"|"&amp;B540,$O$3:$P$17,2,FALSE)</f>
        <v>8250</v>
      </c>
      <c r="D540" s="21">
        <f>VLOOKUP(A540&amp;"|"&amp;B540,$Q$3:$R$17,2,FALSE)</f>
        <v>41750</v>
      </c>
      <c r="F540" s="21">
        <v>2</v>
      </c>
      <c r="G540" s="21">
        <v>1000000</v>
      </c>
      <c r="H540" s="21">
        <f>VLOOKUP(F540&amp;"|"&amp;G540,$O$3:$P$17,2,FALSE)</f>
        <v>8050</v>
      </c>
      <c r="I540" s="21">
        <f>VLOOKUP(F540&amp;"|"&amp;G540,$Q$3:$R$17,2,FALSE)</f>
        <v>41950</v>
      </c>
    </row>
    <row r="541" spans="1:9" ht="20.25" thickTop="1" thickBot="1">
      <c r="A541" s="21"/>
      <c r="B541" s="21"/>
      <c r="C541" s="21"/>
      <c r="D541" s="21"/>
      <c r="F541" s="21">
        <v>2.1</v>
      </c>
      <c r="G541" s="21">
        <v>1000000</v>
      </c>
      <c r="H541" s="21">
        <f>VLOOKUP(F541&amp;"|"&amp;G541,$O$3:$P$17,2,FALSE)</f>
        <v>8250</v>
      </c>
      <c r="I541" s="21">
        <f>VLOOKUP(F541&amp;"|"&amp;G541,$Q$3:$R$17,2,FALSE)</f>
        <v>41750</v>
      </c>
    </row>
    <row r="542" spans="1:9" ht="20.25" thickTop="1" thickBot="1">
      <c r="A542" s="21"/>
      <c r="B542" s="21"/>
      <c r="C542" s="21"/>
      <c r="D542" s="21"/>
      <c r="F542" s="21"/>
      <c r="G542" s="21"/>
      <c r="H542" s="21"/>
      <c r="I542" s="21"/>
    </row>
    <row r="543" spans="1:9" ht="20.25" thickTop="1" thickBot="1">
      <c r="A543" s="21"/>
      <c r="B543" s="21"/>
      <c r="C543" s="21"/>
      <c r="D543" s="21"/>
      <c r="F543" s="21"/>
      <c r="G543" s="21"/>
      <c r="H543" s="21"/>
      <c r="I543" s="21"/>
    </row>
    <row r="544" spans="1:9" ht="20.25" thickTop="1" thickBot="1">
      <c r="A544" s="21"/>
      <c r="B544" s="21"/>
      <c r="C544" s="21"/>
      <c r="D544" s="21"/>
      <c r="F544" s="21"/>
      <c r="G544" s="21"/>
      <c r="H544" s="21"/>
      <c r="I544" s="21"/>
    </row>
    <row r="545" spans="1:9" ht="20.25" thickTop="1" thickBot="1">
      <c r="A545" s="59" t="s">
        <v>49</v>
      </c>
      <c r="B545" s="53"/>
      <c r="C545" s="54"/>
      <c r="D545" s="21">
        <f>SUM(D540:D544)</f>
        <v>41750</v>
      </c>
      <c r="F545" s="59" t="s">
        <v>49</v>
      </c>
      <c r="G545" s="53"/>
      <c r="H545" s="54"/>
      <c r="I545" s="21">
        <f>SUM(I540:I544)</f>
        <v>83700</v>
      </c>
    </row>
    <row r="546" spans="1:9" ht="16.5" thickTop="1" thickBot="1"/>
    <row r="547" spans="1:9" ht="20.25" thickTop="1" thickBot="1">
      <c r="A547" s="12" t="s">
        <v>3</v>
      </c>
      <c r="B547" s="12" t="s">
        <v>177</v>
      </c>
      <c r="C547" s="12" t="s">
        <v>178</v>
      </c>
      <c r="D547" s="9">
        <v>45935</v>
      </c>
      <c r="F547" s="12" t="s">
        <v>3</v>
      </c>
      <c r="G547" s="12" t="s">
        <v>73</v>
      </c>
      <c r="H547" s="12" t="s">
        <v>48</v>
      </c>
      <c r="I547" s="9">
        <v>45935</v>
      </c>
    </row>
    <row r="548" spans="1:9" ht="20.25" thickTop="1" thickBot="1">
      <c r="A548" s="21" t="s">
        <v>6</v>
      </c>
      <c r="B548" s="21" t="s">
        <v>7</v>
      </c>
      <c r="C548" s="21" t="s">
        <v>8</v>
      </c>
      <c r="D548" s="21" t="s">
        <v>9</v>
      </c>
      <c r="F548" s="21" t="s">
        <v>6</v>
      </c>
      <c r="G548" s="21" t="s">
        <v>7</v>
      </c>
      <c r="H548" s="21" t="s">
        <v>8</v>
      </c>
      <c r="I548" s="21" t="s">
        <v>9</v>
      </c>
    </row>
    <row r="549" spans="1:9" ht="20.25" thickTop="1" thickBot="1">
      <c r="A549" s="21">
        <v>2.1</v>
      </c>
      <c r="B549" s="21">
        <v>1000000</v>
      </c>
      <c r="C549" s="21">
        <f>VLOOKUP(A549&amp;"|"&amp;B549,$O$3:$P$17,2,FALSE)</f>
        <v>8250</v>
      </c>
      <c r="D549" s="21">
        <f>VLOOKUP(A549&amp;"|"&amp;B549,$Q$3:$R$17,2,FALSE)</f>
        <v>41750</v>
      </c>
      <c r="F549" s="21">
        <v>2.1</v>
      </c>
      <c r="G549" s="21">
        <v>1000000</v>
      </c>
      <c r="H549" s="21">
        <f>VLOOKUP(F549&amp;"|"&amp;G549,$O$3:$P$17,2,FALSE)</f>
        <v>8250</v>
      </c>
      <c r="I549" s="21">
        <f>VLOOKUP(F549&amp;"|"&amp;G549,$Q$3:$R$17,2,FALSE)</f>
        <v>41750</v>
      </c>
    </row>
    <row r="550" spans="1:9" ht="20.25" thickTop="1" thickBot="1">
      <c r="A550" s="21"/>
      <c r="B550" s="21"/>
      <c r="C550" s="21"/>
      <c r="D550" s="21"/>
      <c r="F550" s="21"/>
      <c r="G550" s="21"/>
      <c r="H550" s="21"/>
      <c r="I550" s="21"/>
    </row>
    <row r="551" spans="1:9" ht="20.25" thickTop="1" thickBot="1">
      <c r="A551" s="21"/>
      <c r="B551" s="21"/>
      <c r="C551" s="21"/>
      <c r="D551" s="21"/>
      <c r="F551" s="21"/>
      <c r="G551" s="21"/>
      <c r="H551" s="21"/>
      <c r="I551" s="21"/>
    </row>
    <row r="552" spans="1:9" ht="20.25" thickTop="1" thickBot="1">
      <c r="A552" s="21"/>
      <c r="B552" s="21"/>
      <c r="C552" s="21"/>
      <c r="D552" s="21"/>
      <c r="F552" s="21"/>
      <c r="G552" s="21"/>
      <c r="H552" s="21"/>
      <c r="I552" s="21"/>
    </row>
    <row r="553" spans="1:9" ht="20.25" thickTop="1" thickBot="1">
      <c r="A553" s="21"/>
      <c r="B553" s="21"/>
      <c r="C553" s="21"/>
      <c r="D553" s="21"/>
      <c r="F553" s="21"/>
      <c r="G553" s="21"/>
      <c r="H553" s="21"/>
      <c r="I553" s="21"/>
    </row>
    <row r="554" spans="1:9" ht="20.25" thickTop="1" thickBot="1">
      <c r="A554" s="59" t="s">
        <v>49</v>
      </c>
      <c r="B554" s="53"/>
      <c r="C554" s="54"/>
      <c r="D554" s="21">
        <f>SUM(D549:D553)</f>
        <v>41750</v>
      </c>
      <c r="F554" s="59" t="s">
        <v>49</v>
      </c>
      <c r="G554" s="53"/>
      <c r="H554" s="54"/>
      <c r="I554" s="21">
        <f>SUM(I549:I553)</f>
        <v>41750</v>
      </c>
    </row>
    <row r="555" spans="1:9" ht="16.5" thickTop="1" thickBot="1"/>
    <row r="556" spans="1:9" ht="20.25" thickTop="1" thickBot="1">
      <c r="A556" s="12" t="s">
        <v>3</v>
      </c>
      <c r="B556" s="12" t="s">
        <v>124</v>
      </c>
      <c r="C556" s="12" t="s">
        <v>24</v>
      </c>
      <c r="D556" s="9">
        <v>45935</v>
      </c>
      <c r="F556" s="12" t="s">
        <v>3</v>
      </c>
      <c r="G556" s="12" t="s">
        <v>73</v>
      </c>
      <c r="H556" s="12" t="s">
        <v>179</v>
      </c>
      <c r="I556" s="9">
        <v>45935</v>
      </c>
    </row>
    <row r="557" spans="1:9" ht="20.25" thickTop="1" thickBot="1">
      <c r="A557" s="21" t="s">
        <v>6</v>
      </c>
      <c r="B557" s="21" t="s">
        <v>7</v>
      </c>
      <c r="C557" s="21" t="s">
        <v>8</v>
      </c>
      <c r="D557" s="21" t="s">
        <v>9</v>
      </c>
      <c r="F557" s="21" t="s">
        <v>6</v>
      </c>
      <c r="G557" s="21" t="s">
        <v>7</v>
      </c>
      <c r="H557" s="21" t="s">
        <v>8</v>
      </c>
      <c r="I557" s="21" t="s">
        <v>9</v>
      </c>
    </row>
    <row r="558" spans="1:9" ht="20.25" thickTop="1" thickBot="1">
      <c r="A558" s="21">
        <v>2.1</v>
      </c>
      <c r="B558" s="21">
        <v>1000000</v>
      </c>
      <c r="C558" s="21">
        <f>VLOOKUP(A558&amp;"|"&amp;B558,$O$3:$P$17,2,FALSE)</f>
        <v>8250</v>
      </c>
      <c r="D558" s="21">
        <f>VLOOKUP(A558&amp;"|"&amp;B558,$Q$3:$R$17,2,FALSE)</f>
        <v>41750</v>
      </c>
      <c r="F558" s="21">
        <v>2</v>
      </c>
      <c r="G558" s="21">
        <v>500000</v>
      </c>
      <c r="H558" s="21">
        <f>VLOOKUP(F558&amp;"|"&amp;G558,$O$3:$P$17,2,FALSE)</f>
        <v>3500</v>
      </c>
      <c r="I558" s="21">
        <f>VLOOKUP(F558&amp;"|"&amp;G558,$Q$3:$R$17,2,FALSE)</f>
        <v>21500</v>
      </c>
    </row>
    <row r="559" spans="1:9" ht="20.25" thickTop="1" thickBot="1">
      <c r="A559" s="21"/>
      <c r="B559" s="21"/>
      <c r="C559" s="21"/>
      <c r="D559" s="21"/>
      <c r="F559" s="21"/>
      <c r="G559" s="21"/>
      <c r="H559" s="21"/>
      <c r="I559" s="21"/>
    </row>
    <row r="560" spans="1:9" ht="20.25" thickTop="1" thickBot="1">
      <c r="A560" s="21"/>
      <c r="B560" s="21"/>
      <c r="C560" s="21"/>
      <c r="D560" s="21"/>
      <c r="F560" s="21"/>
      <c r="G560" s="21"/>
      <c r="H560" s="21"/>
      <c r="I560" s="21"/>
    </row>
    <row r="561" spans="1:9" ht="20.25" thickTop="1" thickBot="1">
      <c r="A561" s="21"/>
      <c r="B561" s="21"/>
      <c r="C561" s="21"/>
      <c r="D561" s="21"/>
      <c r="F561" s="21"/>
      <c r="G561" s="21"/>
      <c r="H561" s="21"/>
      <c r="I561" s="21"/>
    </row>
    <row r="562" spans="1:9" ht="20.25" thickTop="1" thickBot="1">
      <c r="A562" s="21"/>
      <c r="B562" s="21"/>
      <c r="C562" s="21"/>
      <c r="D562" s="21"/>
      <c r="F562" s="21"/>
      <c r="G562" s="21"/>
      <c r="H562" s="21"/>
      <c r="I562" s="21"/>
    </row>
    <row r="563" spans="1:9" ht="20.25" thickTop="1" thickBot="1">
      <c r="A563" s="59" t="s">
        <v>49</v>
      </c>
      <c r="B563" s="53"/>
      <c r="C563" s="54"/>
      <c r="D563" s="21">
        <f>SUM(D558:D562)</f>
        <v>41750</v>
      </c>
      <c r="F563" s="59" t="s">
        <v>49</v>
      </c>
      <c r="G563" s="53"/>
      <c r="H563" s="54"/>
      <c r="I563" s="21">
        <f>SUM(I558:I562)</f>
        <v>21500</v>
      </c>
    </row>
    <row r="564" spans="1:9" ht="16.5" thickTop="1" thickBot="1"/>
    <row r="565" spans="1:9" ht="20.25" thickTop="1" thickBot="1">
      <c r="A565" s="12" t="s">
        <v>3</v>
      </c>
      <c r="B565" s="12" t="s">
        <v>180</v>
      </c>
      <c r="C565" s="12" t="s">
        <v>181</v>
      </c>
      <c r="D565" s="9">
        <v>45935</v>
      </c>
      <c r="F565" s="12" t="s">
        <v>3</v>
      </c>
      <c r="G565" s="12" t="s">
        <v>61</v>
      </c>
      <c r="H565" s="12" t="s">
        <v>39</v>
      </c>
      <c r="I565" s="9">
        <v>45935</v>
      </c>
    </row>
    <row r="566" spans="1:9" ht="20.25" thickTop="1" thickBot="1">
      <c r="A566" s="21" t="s">
        <v>6</v>
      </c>
      <c r="B566" s="21" t="s">
        <v>7</v>
      </c>
      <c r="C566" s="21" t="s">
        <v>8</v>
      </c>
      <c r="D566" s="21" t="s">
        <v>9</v>
      </c>
      <c r="F566" s="21" t="s">
        <v>6</v>
      </c>
      <c r="G566" s="21" t="s">
        <v>7</v>
      </c>
      <c r="H566" s="21" t="s">
        <v>8</v>
      </c>
      <c r="I566" s="21" t="s">
        <v>9</v>
      </c>
    </row>
    <row r="567" spans="1:9" ht="20.25" thickTop="1" thickBot="1">
      <c r="A567" s="21">
        <v>2</v>
      </c>
      <c r="B567" s="21">
        <v>500000</v>
      </c>
      <c r="C567" s="21">
        <f>VLOOKUP(A567&amp;"|"&amp;B567,$O$3:$P$17,2,FALSE)</f>
        <v>3500</v>
      </c>
      <c r="D567" s="21">
        <f>VLOOKUP(A567&amp;"|"&amp;B567,$Q$3:$R$17,2,FALSE)</f>
        <v>21500</v>
      </c>
      <c r="F567" s="21">
        <v>2</v>
      </c>
      <c r="G567" s="21">
        <v>500000</v>
      </c>
      <c r="H567" s="21">
        <f>VLOOKUP(F567&amp;"|"&amp;G567,$O$3:$P$17,2,FALSE)</f>
        <v>3500</v>
      </c>
      <c r="I567" s="21">
        <f>VLOOKUP(F567&amp;"|"&amp;G567,$Q$3:$R$17,2,FALSE)</f>
        <v>21500</v>
      </c>
    </row>
    <row r="568" spans="1:9" ht="20.25" thickTop="1" thickBot="1">
      <c r="A568" s="21"/>
      <c r="B568" s="21"/>
      <c r="C568" s="21"/>
      <c r="D568" s="21"/>
      <c r="F568" s="21"/>
      <c r="G568" s="21"/>
      <c r="H568" s="21"/>
      <c r="I568" s="21"/>
    </row>
    <row r="569" spans="1:9" ht="20.25" thickTop="1" thickBot="1">
      <c r="A569" s="21"/>
      <c r="B569" s="21"/>
      <c r="C569" s="21"/>
      <c r="D569" s="21"/>
      <c r="F569" s="21"/>
      <c r="G569" s="21"/>
      <c r="H569" s="21"/>
      <c r="I569" s="21"/>
    </row>
    <row r="570" spans="1:9" ht="20.25" thickTop="1" thickBot="1">
      <c r="A570" s="21"/>
      <c r="B570" s="21"/>
      <c r="C570" s="21"/>
      <c r="D570" s="21"/>
      <c r="F570" s="21"/>
      <c r="G570" s="21"/>
      <c r="H570" s="21"/>
      <c r="I570" s="21"/>
    </row>
    <row r="571" spans="1:9" ht="20.25" thickTop="1" thickBot="1">
      <c r="A571" s="21"/>
      <c r="B571" s="21"/>
      <c r="C571" s="21"/>
      <c r="D571" s="21"/>
      <c r="F571" s="21"/>
      <c r="G571" s="21"/>
      <c r="H571" s="21"/>
      <c r="I571" s="21"/>
    </row>
    <row r="572" spans="1:9" ht="20.25" thickTop="1" thickBot="1">
      <c r="A572" s="59" t="s">
        <v>49</v>
      </c>
      <c r="B572" s="53"/>
      <c r="C572" s="54"/>
      <c r="D572" s="21">
        <f>SUM(D567:D571)</f>
        <v>21500</v>
      </c>
      <c r="F572" s="59" t="s">
        <v>49</v>
      </c>
      <c r="G572" s="53"/>
      <c r="H572" s="54"/>
      <c r="I572" s="21">
        <f>SUM(I567:I571)</f>
        <v>21500</v>
      </c>
    </row>
    <row r="573" spans="1:9" ht="16.5" thickTop="1" thickBot="1"/>
    <row r="574" spans="1:9" ht="20.25" thickTop="1" thickBot="1">
      <c r="A574" s="12" t="s">
        <v>3</v>
      </c>
      <c r="B574" s="12" t="s">
        <v>21</v>
      </c>
      <c r="C574" s="12" t="s">
        <v>24</v>
      </c>
      <c r="D574" s="9">
        <v>45935</v>
      </c>
    </row>
    <row r="575" spans="1:9" ht="20.25" thickTop="1" thickBot="1">
      <c r="A575" s="21" t="s">
        <v>6</v>
      </c>
      <c r="B575" s="21" t="s">
        <v>7</v>
      </c>
      <c r="C575" s="21" t="s">
        <v>8</v>
      </c>
      <c r="D575" s="21" t="s">
        <v>9</v>
      </c>
    </row>
    <row r="576" spans="1:9" ht="20.25" thickTop="1" thickBot="1">
      <c r="A576" s="21">
        <v>2</v>
      </c>
      <c r="B576" s="21">
        <v>500000</v>
      </c>
      <c r="C576" s="21">
        <f>VLOOKUP(A576&amp;"|"&amp;B576,$O$3:$P$17,2,FALSE)</f>
        <v>3500</v>
      </c>
      <c r="D576" s="21">
        <f>VLOOKUP(A576&amp;"|"&amp;B576,$Q$3:$R$17,2,FALSE)</f>
        <v>21500</v>
      </c>
    </row>
    <row r="577" spans="1:4" ht="20.25" thickTop="1" thickBot="1">
      <c r="A577" s="21"/>
      <c r="B577" s="21"/>
      <c r="C577" s="21"/>
      <c r="D577" s="21"/>
    </row>
    <row r="578" spans="1:4" ht="20.25" thickTop="1" thickBot="1">
      <c r="A578" s="21"/>
      <c r="B578" s="21"/>
      <c r="C578" s="21"/>
      <c r="D578" s="21"/>
    </row>
    <row r="579" spans="1:4" ht="20.25" thickTop="1" thickBot="1">
      <c r="A579" s="21"/>
      <c r="B579" s="21"/>
      <c r="C579" s="21"/>
      <c r="D579" s="21"/>
    </row>
    <row r="580" spans="1:4" ht="20.25" thickTop="1" thickBot="1">
      <c r="A580" s="21"/>
      <c r="B580" s="21"/>
      <c r="C580" s="21"/>
      <c r="D580" s="21"/>
    </row>
    <row r="581" spans="1:4" ht="20.25" thickTop="1" thickBot="1">
      <c r="A581" s="59" t="s">
        <v>49</v>
      </c>
      <c r="B581" s="53"/>
      <c r="C581" s="54"/>
      <c r="D581" s="21">
        <f>SUM(D576:D580)</f>
        <v>21500</v>
      </c>
    </row>
    <row r="582" spans="1:4" ht="15.75" thickTop="1"/>
  </sheetData>
  <mergeCells count="64">
    <mergeCell ref="A8:C8"/>
    <mergeCell ref="F8:H8"/>
    <mergeCell ref="A17:C17"/>
    <mergeCell ref="F17:H17"/>
    <mergeCell ref="A26:C26"/>
    <mergeCell ref="F26:H26"/>
    <mergeCell ref="F103:H103"/>
    <mergeCell ref="A35:C35"/>
    <mergeCell ref="F35:H35"/>
    <mergeCell ref="A44:C44"/>
    <mergeCell ref="F44:H44"/>
    <mergeCell ref="A53:C53"/>
    <mergeCell ref="F53:H53"/>
    <mergeCell ref="A62:C62"/>
    <mergeCell ref="F62:H62"/>
    <mergeCell ref="F71:H71"/>
    <mergeCell ref="F85:H85"/>
    <mergeCell ref="F94:H94"/>
    <mergeCell ref="F211:H211"/>
    <mergeCell ref="F112:H112"/>
    <mergeCell ref="F121:H121"/>
    <mergeCell ref="F130:H130"/>
    <mergeCell ref="F139:H139"/>
    <mergeCell ref="F148:H148"/>
    <mergeCell ref="F157:H157"/>
    <mergeCell ref="F166:H166"/>
    <mergeCell ref="F175:H175"/>
    <mergeCell ref="F184:H184"/>
    <mergeCell ref="F193:H193"/>
    <mergeCell ref="F202:H202"/>
    <mergeCell ref="F320:H320"/>
    <mergeCell ref="F220:H220"/>
    <mergeCell ref="F229:H229"/>
    <mergeCell ref="F238:H238"/>
    <mergeCell ref="F247:H247"/>
    <mergeCell ref="F256:H256"/>
    <mergeCell ref="F265:H265"/>
    <mergeCell ref="F274:H274"/>
    <mergeCell ref="F284:H284"/>
    <mergeCell ref="F293:H293"/>
    <mergeCell ref="F302:H302"/>
    <mergeCell ref="F311:H311"/>
    <mergeCell ref="F428:H428"/>
    <mergeCell ref="F329:H329"/>
    <mergeCell ref="F338:H338"/>
    <mergeCell ref="F347:H347"/>
    <mergeCell ref="F356:H356"/>
    <mergeCell ref="F365:H365"/>
    <mergeCell ref="F374:H374"/>
    <mergeCell ref="F383:H383"/>
    <mergeCell ref="F392:H392"/>
    <mergeCell ref="F401:H401"/>
    <mergeCell ref="F410:H410"/>
    <mergeCell ref="F419:H419"/>
    <mergeCell ref="F491:H491"/>
    <mergeCell ref="F500:H500"/>
    <mergeCell ref="F518:H518"/>
    <mergeCell ref="F527:H527"/>
    <mergeCell ref="F437:H437"/>
    <mergeCell ref="F446:H446"/>
    <mergeCell ref="F455:H455"/>
    <mergeCell ref="F464:H464"/>
    <mergeCell ref="F473:H473"/>
    <mergeCell ref="F482:H48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6A0E5-A21D-4D07-85E7-174F5DCCDA46}">
  <dimension ref="A1:Z582"/>
  <sheetViews>
    <sheetView workbookViewId="0">
      <selection sqref="A1:XFD1048576"/>
    </sheetView>
  </sheetViews>
  <sheetFormatPr defaultRowHeight="15"/>
  <cols>
    <col min="2" max="2" width="22.42578125" customWidth="1"/>
    <col min="3" max="3" width="18.28515625" customWidth="1"/>
    <col min="4" max="4" width="13.140625" customWidth="1"/>
    <col min="5" max="5" width="2" customWidth="1"/>
    <col min="6" max="6" width="10" customWidth="1"/>
    <col min="7" max="7" width="22.42578125" customWidth="1"/>
    <col min="8" max="8" width="17.140625" customWidth="1"/>
    <col min="9" max="9" width="14.7109375" customWidth="1"/>
    <col min="10" max="10" width="1.7109375" customWidth="1"/>
    <col min="11" max="11" width="2" customWidth="1"/>
    <col min="12" max="12" width="7.5703125" customWidth="1"/>
    <col min="13" max="13" width="13.5703125" customWidth="1"/>
    <col min="14" max="14" width="13.7109375" customWidth="1"/>
    <col min="15" max="15" width="17.42578125" customWidth="1"/>
    <col min="18" max="18" width="14.42578125" customWidth="1"/>
    <col min="19" max="19" width="2.7109375" customWidth="1"/>
    <col min="20" max="20" width="10" customWidth="1"/>
    <col min="23" max="23" width="10.140625" customWidth="1"/>
    <col min="24" max="24" width="10.42578125" customWidth="1"/>
  </cols>
  <sheetData>
    <row r="1" spans="1:26" ht="20.25" thickTop="1" thickBot="1">
      <c r="A1" s="8" t="s">
        <v>0</v>
      </c>
      <c r="B1" s="8" t="s">
        <v>1</v>
      </c>
      <c r="C1" s="8" t="s">
        <v>2</v>
      </c>
      <c r="D1" s="9">
        <v>45935</v>
      </c>
      <c r="E1" s="10"/>
      <c r="F1" s="12" t="s">
        <v>3</v>
      </c>
      <c r="G1" s="12" t="s">
        <v>4</v>
      </c>
      <c r="H1" s="12" t="s">
        <v>5</v>
      </c>
      <c r="I1" s="9">
        <v>45935</v>
      </c>
      <c r="J1" s="13"/>
      <c r="L1" s="1"/>
      <c r="M1" s="1"/>
      <c r="N1" s="14"/>
      <c r="O1" s="15"/>
      <c r="P1" s="16"/>
      <c r="Q1" s="15"/>
      <c r="R1" s="17"/>
      <c r="S1" s="1"/>
      <c r="U1" s="1"/>
      <c r="V1" s="1"/>
      <c r="W1" s="1"/>
      <c r="X1" s="1"/>
      <c r="Y1" s="1"/>
      <c r="Z1" s="1"/>
    </row>
    <row r="2" spans="1:26" ht="45" thickTop="1" thickBot="1">
      <c r="A2" s="8" t="s">
        <v>6</v>
      </c>
      <c r="B2" s="8" t="s">
        <v>7</v>
      </c>
      <c r="C2" s="8" t="s">
        <v>8</v>
      </c>
      <c r="D2" s="8" t="s">
        <v>9</v>
      </c>
      <c r="E2" s="10"/>
      <c r="F2" s="21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8">
        <v>17</v>
      </c>
      <c r="B3" s="8">
        <v>1000000</v>
      </c>
      <c r="C3" s="8">
        <f>VLOOKUP(A3&amp;"|"&amp;B3,$O$3:$P$16,2,FALSE)</f>
        <v>350</v>
      </c>
      <c r="D3" s="8">
        <f>VLOOKUP(A3&amp;"|"&amp;B3,$Q$3:$R$16,2,FALSE)</f>
        <v>49650</v>
      </c>
      <c r="E3" s="10"/>
      <c r="F3" s="21">
        <v>17</v>
      </c>
      <c r="G3" s="21">
        <v>500000</v>
      </c>
      <c r="H3" s="21">
        <f>VLOOKUP(F3&amp;"|"&amp;G3,$O$3:$P$19,2,FALSE)</f>
        <v>300</v>
      </c>
      <c r="I3" s="21">
        <f>VLOOKUP(F3&amp;"|"&amp;G3,$Q$3:$R$19,2,FALSE)</f>
        <v>24700</v>
      </c>
      <c r="J3" s="13"/>
      <c r="K3" s="1"/>
      <c r="L3" s="46">
        <v>11</v>
      </c>
      <c r="M3" s="74">
        <v>500000</v>
      </c>
      <c r="N3" s="46">
        <v>32000</v>
      </c>
      <c r="O3" s="46" t="str">
        <f t="shared" ref="O3:O18" si="0">L3&amp;"|"&amp;M3</f>
        <v>11|500000</v>
      </c>
      <c r="P3" s="46">
        <f t="shared" ref="P3:P18" si="1">N3/20</f>
        <v>1600</v>
      </c>
      <c r="Q3" s="46" t="str">
        <f t="shared" ref="Q3:Q18" si="2">L3&amp;"|"&amp;M3</f>
        <v>11|500000</v>
      </c>
      <c r="R3" s="47">
        <f t="shared" ref="R3:R18" si="3">(M3-N3)/20</f>
        <v>23400</v>
      </c>
      <c r="S3" s="1"/>
      <c r="T3" s="49">
        <f>D8</f>
        <v>72050</v>
      </c>
      <c r="U3" s="49" t="str">
        <f>B1</f>
        <v>SOHANJI</v>
      </c>
      <c r="V3" s="49" t="str">
        <f>C1</f>
        <v>ALWN.CO</v>
      </c>
      <c r="W3" s="1"/>
      <c r="X3" s="49">
        <f>I8</f>
        <v>24700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8">
        <v>6</v>
      </c>
      <c r="B4" s="8">
        <v>500000</v>
      </c>
      <c r="C4" s="8">
        <f>VLOOKUP(A4&amp;"|"&amp;B4,$O$3:$P$16,2,FALSE)</f>
        <v>2600</v>
      </c>
      <c r="D4" s="8">
        <f>VLOOKUP(A4&amp;"|"&amp;B4,$Q$3:$R$16,2,FALSE)</f>
        <v>22400</v>
      </c>
      <c r="E4" s="10"/>
      <c r="F4" s="21"/>
      <c r="G4" s="21"/>
      <c r="H4" s="21"/>
      <c r="I4" s="21"/>
      <c r="J4" s="13"/>
      <c r="K4" s="1"/>
      <c r="L4" s="46">
        <v>11</v>
      </c>
      <c r="M4" s="74">
        <v>250000</v>
      </c>
      <c r="N4" s="45">
        <v>16000</v>
      </c>
      <c r="O4" s="46" t="str">
        <f t="shared" si="0"/>
        <v>11|250000</v>
      </c>
      <c r="P4" s="46">
        <f t="shared" si="1"/>
        <v>800</v>
      </c>
      <c r="Q4" s="46" t="str">
        <f t="shared" si="2"/>
        <v>11|250000</v>
      </c>
      <c r="R4" s="47">
        <f t="shared" si="3"/>
        <v>11700</v>
      </c>
      <c r="S4" s="1"/>
      <c r="T4" s="49">
        <f>D17</f>
        <v>24700</v>
      </c>
      <c r="U4" s="49" t="str">
        <f>B10</f>
        <v>JIVARAMJI</v>
      </c>
      <c r="V4" s="49" t="str">
        <f>C10</f>
        <v>YAMJAL</v>
      </c>
      <c r="W4" s="1"/>
      <c r="X4" s="49">
        <f>I17</f>
        <v>24700</v>
      </c>
      <c r="Y4" s="49" t="str">
        <f>G10</f>
        <v>BHAWARJI</v>
      </c>
      <c r="Z4" s="49" t="str">
        <f>H10</f>
        <v>BAJPLY</v>
      </c>
    </row>
    <row r="5" spans="1:26" ht="20.25" thickTop="1" thickBot="1">
      <c r="A5" s="8"/>
      <c r="B5" s="8"/>
      <c r="C5" s="8"/>
      <c r="D5" s="8"/>
      <c r="E5" s="10"/>
      <c r="F5" s="21"/>
      <c r="G5" s="21"/>
      <c r="H5" s="21"/>
      <c r="I5" s="21"/>
      <c r="J5" s="13"/>
      <c r="K5" s="1"/>
      <c r="L5" s="1">
        <v>6</v>
      </c>
      <c r="M5" s="1">
        <v>2000000</v>
      </c>
      <c r="N5" s="1">
        <v>190000</v>
      </c>
      <c r="O5" s="45" t="str">
        <f t="shared" si="0"/>
        <v>6|2000000</v>
      </c>
      <c r="P5" s="46">
        <f t="shared" si="1"/>
        <v>9500</v>
      </c>
      <c r="Q5" s="45" t="str">
        <f t="shared" si="2"/>
        <v>6|2000000</v>
      </c>
      <c r="R5" s="47">
        <f t="shared" si="3"/>
        <v>90500</v>
      </c>
      <c r="S5" s="1"/>
      <c r="T5" s="49">
        <f>D26</f>
        <v>140150</v>
      </c>
      <c r="U5" s="49" t="str">
        <f>B19</f>
        <v>MANGILALJI</v>
      </c>
      <c r="V5" s="49" t="str">
        <f>C19</f>
        <v>BOLARAM</v>
      </c>
      <c r="W5" s="1"/>
      <c r="X5" s="49">
        <f>I26</f>
        <v>148450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8"/>
      <c r="B6" s="8"/>
      <c r="C6" s="8"/>
      <c r="D6" s="8"/>
      <c r="E6" s="10"/>
      <c r="F6" s="21"/>
      <c r="G6" s="21"/>
      <c r="H6" s="21"/>
      <c r="I6" s="21"/>
      <c r="J6" s="13"/>
      <c r="K6" s="1"/>
      <c r="L6" s="48">
        <v>6</v>
      </c>
      <c r="M6" s="45">
        <v>500000</v>
      </c>
      <c r="N6" s="45">
        <v>52000</v>
      </c>
      <c r="O6" s="45" t="str">
        <f t="shared" si="0"/>
        <v>6|500000</v>
      </c>
      <c r="P6" s="46">
        <f t="shared" si="1"/>
        <v>2600</v>
      </c>
      <c r="Q6" s="45" t="str">
        <f t="shared" si="2"/>
        <v>6|500000</v>
      </c>
      <c r="R6" s="47">
        <f t="shared" si="3"/>
        <v>22400</v>
      </c>
      <c r="S6" s="1"/>
      <c r="T6" s="49">
        <f>D35</f>
        <v>146800</v>
      </c>
      <c r="U6" s="49" t="str">
        <f>B28</f>
        <v>KISHANJI</v>
      </c>
      <c r="V6" s="49" t="str">
        <f>C28</f>
        <v>KAMAN</v>
      </c>
      <c r="W6" s="1"/>
      <c r="X6" s="49">
        <f>I35</f>
        <v>22400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8"/>
      <c r="B7" s="8"/>
      <c r="C7" s="8"/>
      <c r="D7" s="8"/>
      <c r="E7" s="10"/>
      <c r="F7" s="21"/>
      <c r="G7" s="21"/>
      <c r="H7" s="21"/>
      <c r="I7" s="21"/>
      <c r="J7" s="13"/>
      <c r="K7" s="1"/>
      <c r="L7" s="48">
        <v>17.100000000000001</v>
      </c>
      <c r="M7" s="45">
        <v>500000</v>
      </c>
      <c r="N7" s="45">
        <v>3000</v>
      </c>
      <c r="O7" s="45" t="str">
        <f t="shared" si="0"/>
        <v>17.1|500000</v>
      </c>
      <c r="P7" s="46">
        <f t="shared" si="1"/>
        <v>150</v>
      </c>
      <c r="Q7" s="46" t="str">
        <f t="shared" si="2"/>
        <v>17.1|500000</v>
      </c>
      <c r="R7" s="47">
        <f t="shared" si="3"/>
        <v>24850</v>
      </c>
      <c r="S7" s="1"/>
      <c r="T7" s="49">
        <f>D44</f>
        <v>24050</v>
      </c>
      <c r="U7" s="49" t="str">
        <f>B37</f>
        <v>BHONARAMJI</v>
      </c>
      <c r="V7" s="49" t="str">
        <f>C37</f>
        <v>G.MAISAMA</v>
      </c>
      <c r="W7" s="1"/>
      <c r="X7" s="49">
        <f>I44</f>
        <v>139900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87" t="s">
        <v>16</v>
      </c>
      <c r="B8" s="88"/>
      <c r="C8" s="89"/>
      <c r="D8" s="8">
        <f>SUM(D3:D7)</f>
        <v>72050</v>
      </c>
      <c r="E8" s="10"/>
      <c r="F8" s="84" t="s">
        <v>16</v>
      </c>
      <c r="G8" s="85"/>
      <c r="H8" s="86"/>
      <c r="I8" s="21">
        <f>SUM(I3:I7)</f>
        <v>24700</v>
      </c>
      <c r="J8" s="13"/>
      <c r="K8" s="1"/>
      <c r="L8" s="48">
        <v>17</v>
      </c>
      <c r="M8" s="45">
        <v>1000000</v>
      </c>
      <c r="N8" s="45">
        <v>7000</v>
      </c>
      <c r="O8" s="45" t="str">
        <f t="shared" si="0"/>
        <v>17|1000000</v>
      </c>
      <c r="P8" s="46">
        <f t="shared" si="1"/>
        <v>350</v>
      </c>
      <c r="Q8" s="45" t="str">
        <f t="shared" si="2"/>
        <v>17|1000000</v>
      </c>
      <c r="R8" s="47">
        <f t="shared" si="3"/>
        <v>49650</v>
      </c>
      <c r="S8" s="1"/>
      <c r="T8" s="49">
        <f>D53</f>
        <v>24850</v>
      </c>
      <c r="U8" s="49" t="str">
        <f>B46</f>
        <v>RAMESHJI</v>
      </c>
      <c r="V8" s="49" t="str">
        <f>C46</f>
        <v>HITECH</v>
      </c>
      <c r="W8" s="1"/>
      <c r="X8" s="49">
        <f>I53</f>
        <v>24000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41"/>
      <c r="B9" s="40"/>
      <c r="C9" s="41"/>
      <c r="D9" s="41"/>
      <c r="E9" s="42"/>
      <c r="F9" s="42"/>
      <c r="G9" s="42"/>
      <c r="H9" s="42"/>
      <c r="I9" s="42"/>
      <c r="J9" s="13"/>
      <c r="K9" s="1"/>
      <c r="L9" s="48">
        <v>17.100000000000001</v>
      </c>
      <c r="M9" s="45">
        <v>1000000</v>
      </c>
      <c r="N9" s="45">
        <v>12000</v>
      </c>
      <c r="O9" s="45" t="str">
        <f t="shared" si="0"/>
        <v>17.1|1000000</v>
      </c>
      <c r="P9" s="46">
        <f t="shared" si="1"/>
        <v>600</v>
      </c>
      <c r="Q9" s="45" t="str">
        <f t="shared" si="2"/>
        <v>17.1|1000000</v>
      </c>
      <c r="R9" s="47">
        <f t="shared" si="3"/>
        <v>49400</v>
      </c>
      <c r="S9" s="1"/>
      <c r="T9" s="49">
        <f>D62</f>
        <v>91400</v>
      </c>
      <c r="U9" s="49" t="str">
        <f>B55</f>
        <v>SOHANJI</v>
      </c>
      <c r="V9" s="49" t="str">
        <f>C55</f>
        <v>KOTLAPUR</v>
      </c>
      <c r="W9" s="1"/>
      <c r="X9" s="49">
        <f>I62</f>
        <v>63850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1" t="s">
        <v>0</v>
      </c>
      <c r="B10" s="21" t="s">
        <v>17</v>
      </c>
      <c r="C10" s="21" t="s">
        <v>18</v>
      </c>
      <c r="D10" s="9">
        <v>45935</v>
      </c>
      <c r="E10" s="10"/>
      <c r="F10" s="21" t="s">
        <v>0</v>
      </c>
      <c r="G10" s="21" t="s">
        <v>19</v>
      </c>
      <c r="H10" s="21" t="s">
        <v>20</v>
      </c>
      <c r="I10" s="9">
        <v>45935</v>
      </c>
      <c r="J10" s="44"/>
      <c r="K10" s="1"/>
      <c r="L10" s="48">
        <v>14</v>
      </c>
      <c r="M10" s="45">
        <v>500000</v>
      </c>
      <c r="N10" s="45">
        <v>20000</v>
      </c>
      <c r="O10" s="45" t="str">
        <f t="shared" si="0"/>
        <v>14|500000</v>
      </c>
      <c r="P10" s="46">
        <f t="shared" si="1"/>
        <v>1000</v>
      </c>
      <c r="Q10" s="45" t="str">
        <f t="shared" si="2"/>
        <v>14|500000</v>
      </c>
      <c r="R10" s="47">
        <f t="shared" si="3"/>
        <v>24000</v>
      </c>
      <c r="S10" s="1"/>
      <c r="T10" s="49">
        <f>D71</f>
        <v>115350</v>
      </c>
      <c r="U10" s="49" t="str">
        <f>B64</f>
        <v>KUNARAMJI</v>
      </c>
      <c r="V10" s="49" t="str">
        <f>C64</f>
        <v>GANDHI NGR</v>
      </c>
      <c r="W10" s="1"/>
      <c r="X10" s="49">
        <f>I71</f>
        <v>47250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1" t="s">
        <v>6</v>
      </c>
      <c r="B11" s="21" t="s">
        <v>7</v>
      </c>
      <c r="C11" s="21" t="s">
        <v>8</v>
      </c>
      <c r="D11" s="21" t="s">
        <v>9</v>
      </c>
      <c r="E11" s="10"/>
      <c r="F11" s="21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48">
        <v>1</v>
      </c>
      <c r="M11" s="45">
        <v>500000</v>
      </c>
      <c r="N11" s="45">
        <v>80000</v>
      </c>
      <c r="O11" s="45" t="str">
        <f t="shared" si="0"/>
        <v>1|500000</v>
      </c>
      <c r="P11" s="46">
        <f t="shared" si="1"/>
        <v>4000</v>
      </c>
      <c r="Q11" s="45" t="str">
        <f t="shared" si="2"/>
        <v>1|500000</v>
      </c>
      <c r="R11" s="47">
        <f t="shared" si="3"/>
        <v>21000</v>
      </c>
      <c r="S11" s="1"/>
      <c r="T11" s="49">
        <f>D85</f>
        <v>363350</v>
      </c>
      <c r="U11" s="49" t="str">
        <f>B73</f>
        <v>MATAJI</v>
      </c>
      <c r="V11" s="49" t="str">
        <f>C73</f>
        <v>G.R</v>
      </c>
      <c r="W11" s="1"/>
      <c r="X11" s="49">
        <f>I85</f>
        <v>382450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21">
        <v>17</v>
      </c>
      <c r="B12" s="21">
        <v>500000</v>
      </c>
      <c r="C12" s="21">
        <f>VLOOKUP(A12&amp;"|"&amp;B12,$O$3:$P$16,2,FALSE)</f>
        <v>300</v>
      </c>
      <c r="D12" s="21">
        <f>VLOOKUP(A12&amp;"|"&amp;B12,$Q$3:$R$16,2,FALSE)</f>
        <v>24700</v>
      </c>
      <c r="E12" s="10"/>
      <c r="F12" s="21">
        <v>17</v>
      </c>
      <c r="G12" s="21">
        <v>500000</v>
      </c>
      <c r="H12" s="21">
        <f>VLOOKUP(F12&amp;"|"&amp;G12,$O$3:$P$16,2,FALSE)</f>
        <v>300</v>
      </c>
      <c r="I12" s="21">
        <f>VLOOKUP(F12&amp;"|"&amp;G12,$Q$3:$R$16,2,FALSE)</f>
        <v>24700</v>
      </c>
      <c r="J12" s="13"/>
      <c r="K12" s="1"/>
      <c r="L12" s="48">
        <v>1</v>
      </c>
      <c r="M12" s="45">
        <v>1000000</v>
      </c>
      <c r="N12" s="45">
        <v>160000</v>
      </c>
      <c r="O12" s="45" t="str">
        <f t="shared" si="0"/>
        <v>1|1000000</v>
      </c>
      <c r="P12" s="46">
        <f t="shared" si="1"/>
        <v>8000</v>
      </c>
      <c r="Q12" s="45" t="str">
        <f t="shared" si="2"/>
        <v>1|1000000</v>
      </c>
      <c r="R12" s="47">
        <f t="shared" si="3"/>
        <v>42000</v>
      </c>
      <c r="S12" s="1"/>
      <c r="T12" s="49">
        <f>D94</f>
        <v>272400</v>
      </c>
      <c r="U12" s="49" t="str">
        <f>B87</f>
        <v>MOHANLALJI</v>
      </c>
      <c r="V12" s="49" t="str">
        <f>C87</f>
        <v>SNT.NAGAR</v>
      </c>
      <c r="W12" s="1"/>
      <c r="X12" s="49">
        <f>I94</f>
        <v>24850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1"/>
      <c r="B13" s="21"/>
      <c r="C13" s="21"/>
      <c r="D13" s="21"/>
      <c r="E13" s="10"/>
      <c r="F13" s="21"/>
      <c r="G13" s="21"/>
      <c r="H13" s="21"/>
      <c r="I13" s="21"/>
      <c r="J13" s="13"/>
      <c r="K13" s="1"/>
      <c r="L13" s="48">
        <v>1.1000000000000001</v>
      </c>
      <c r="M13" s="1">
        <v>1000000</v>
      </c>
      <c r="N13" s="1">
        <v>171000</v>
      </c>
      <c r="O13" s="45" t="str">
        <f t="shared" si="0"/>
        <v>1.1|1000000</v>
      </c>
      <c r="P13" s="46">
        <f t="shared" si="1"/>
        <v>8550</v>
      </c>
      <c r="Q13" s="45" t="str">
        <f t="shared" si="2"/>
        <v>1.1|1000000</v>
      </c>
      <c r="R13" s="47">
        <f t="shared" si="3"/>
        <v>41450</v>
      </c>
      <c r="S13" s="1"/>
      <c r="T13" s="49">
        <f>D103</f>
        <v>47100</v>
      </c>
      <c r="U13" s="49" t="str">
        <f>B96</f>
        <v>PRAKASHJI</v>
      </c>
      <c r="V13" s="49" t="str">
        <f>C96</f>
        <v>KONDAPUR</v>
      </c>
      <c r="W13" s="1"/>
      <c r="X13" s="49">
        <f>I103</f>
        <v>140600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1"/>
      <c r="B14" s="21"/>
      <c r="C14" s="21"/>
      <c r="D14" s="21"/>
      <c r="E14" s="10"/>
      <c r="F14" s="21"/>
      <c r="G14" s="21"/>
      <c r="H14" s="21"/>
      <c r="I14" s="21"/>
      <c r="J14" s="13" t="s">
        <v>182</v>
      </c>
      <c r="K14" s="1"/>
      <c r="L14" s="48">
        <v>6</v>
      </c>
      <c r="M14" s="45">
        <v>1000000</v>
      </c>
      <c r="N14" s="45">
        <v>106000</v>
      </c>
      <c r="O14" s="45" t="str">
        <f t="shared" si="0"/>
        <v>6|1000000</v>
      </c>
      <c r="P14" s="46">
        <f t="shared" si="1"/>
        <v>5300</v>
      </c>
      <c r="Q14" s="45" t="str">
        <f t="shared" si="2"/>
        <v>6|1000000</v>
      </c>
      <c r="R14" s="47">
        <f t="shared" si="3"/>
        <v>44700</v>
      </c>
      <c r="S14" s="1"/>
      <c r="T14" s="49">
        <f>D112</f>
        <v>24700</v>
      </c>
      <c r="U14" s="49" t="str">
        <f>B105</f>
        <v>NARAYANJI</v>
      </c>
      <c r="V14" s="49" t="str">
        <f>C105</f>
        <v>SHAPUR</v>
      </c>
      <c r="W14" s="1"/>
      <c r="X14" s="49">
        <f>I112</f>
        <v>164850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1"/>
      <c r="B15" s="21"/>
      <c r="C15" s="21"/>
      <c r="D15" s="21"/>
      <c r="E15" s="10"/>
      <c r="F15" s="21"/>
      <c r="G15" s="21"/>
      <c r="H15" s="21"/>
      <c r="I15" s="21"/>
      <c r="J15" s="13"/>
      <c r="K15" s="1"/>
      <c r="L15" s="75">
        <v>17</v>
      </c>
      <c r="M15" s="45">
        <v>500000</v>
      </c>
      <c r="N15" s="45">
        <v>6000</v>
      </c>
      <c r="O15" s="45" t="str">
        <f t="shared" si="0"/>
        <v>17|500000</v>
      </c>
      <c r="P15" s="46">
        <f t="shared" si="1"/>
        <v>300</v>
      </c>
      <c r="Q15" s="45" t="str">
        <f t="shared" si="2"/>
        <v>17|500000</v>
      </c>
      <c r="R15" s="47">
        <f t="shared" si="3"/>
        <v>24700</v>
      </c>
      <c r="S15" s="1"/>
      <c r="T15" s="49">
        <f>D121</f>
        <v>112950</v>
      </c>
      <c r="U15" s="49" t="str">
        <f>B114</f>
        <v>CHENARAMJI</v>
      </c>
      <c r="V15" s="49" t="str">
        <f>C114</f>
        <v>KOTLAPUR</v>
      </c>
      <c r="W15" s="1"/>
      <c r="X15" s="49">
        <f>I121</f>
        <v>140150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1"/>
      <c r="B16" s="21"/>
      <c r="C16" s="21"/>
      <c r="D16" s="21"/>
      <c r="E16" s="2"/>
      <c r="F16" s="21"/>
      <c r="G16" s="21"/>
      <c r="H16" s="21"/>
      <c r="I16" s="21"/>
      <c r="J16" s="13"/>
      <c r="K16" s="1"/>
      <c r="L16" s="45">
        <v>6.1</v>
      </c>
      <c r="M16" s="46">
        <v>1000000</v>
      </c>
      <c r="N16" s="45">
        <v>95000</v>
      </c>
      <c r="O16" s="45" t="str">
        <f t="shared" si="0"/>
        <v>6.1|1000000</v>
      </c>
      <c r="P16" s="46">
        <f t="shared" si="1"/>
        <v>4750</v>
      </c>
      <c r="Q16" s="45" t="str">
        <f t="shared" si="2"/>
        <v>6.1|1000000</v>
      </c>
      <c r="R16" s="47">
        <f t="shared" si="3"/>
        <v>45250</v>
      </c>
      <c r="S16" s="1"/>
      <c r="T16" s="49">
        <f>D130</f>
        <v>115200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158900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84" t="s">
        <v>16</v>
      </c>
      <c r="B17" s="85"/>
      <c r="C17" s="86"/>
      <c r="D17" s="8">
        <f>SUM(D12:D16)</f>
        <v>24700</v>
      </c>
      <c r="E17" s="2"/>
      <c r="F17" s="84" t="s">
        <v>16</v>
      </c>
      <c r="G17" s="85"/>
      <c r="H17" s="86"/>
      <c r="I17" s="21">
        <f>SUM(I12:I13)</f>
        <v>24700</v>
      </c>
      <c r="J17" s="13"/>
      <c r="K17" s="1"/>
      <c r="L17" s="48"/>
      <c r="M17" s="1"/>
      <c r="N17" s="1"/>
      <c r="O17" s="45"/>
      <c r="P17" s="46"/>
      <c r="Q17" s="45"/>
      <c r="R17" s="47"/>
      <c r="S17" s="1"/>
      <c r="T17" s="49">
        <f>D139</f>
        <v>66700</v>
      </c>
      <c r="U17" s="49" t="str">
        <f>B132</f>
        <v>BHUNDARAMJI</v>
      </c>
      <c r="V17" s="49" t="str">
        <f>C132</f>
        <v>MIYAPUR</v>
      </c>
      <c r="W17" s="1"/>
      <c r="X17" s="49">
        <f>I139</f>
        <v>24700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"/>
      <c r="B18" s="3"/>
      <c r="C18" s="3"/>
      <c r="D18" s="3"/>
      <c r="E18" s="3"/>
      <c r="F18" s="42"/>
      <c r="G18" s="42"/>
      <c r="H18" s="42"/>
      <c r="I18" s="42"/>
      <c r="J18" s="13"/>
      <c r="K18" s="1"/>
      <c r="L18" s="48">
        <v>17</v>
      </c>
      <c r="M18" s="1">
        <v>250000</v>
      </c>
      <c r="N18" s="1">
        <v>3000</v>
      </c>
      <c r="O18" s="45" t="str">
        <f t="shared" si="0"/>
        <v>17|250000</v>
      </c>
      <c r="P18" s="46">
        <f t="shared" si="1"/>
        <v>150</v>
      </c>
      <c r="Q18" s="45" t="str">
        <f t="shared" si="2"/>
        <v>17|250000</v>
      </c>
      <c r="R18" s="47">
        <f t="shared" si="3"/>
        <v>12350</v>
      </c>
      <c r="S18" s="1"/>
      <c r="T18" s="49">
        <f>D148</f>
        <v>114100</v>
      </c>
      <c r="U18" s="49" t="str">
        <f>B141</f>
        <v>POKARJI</v>
      </c>
      <c r="V18" s="49" t="str">
        <f>C141</f>
        <v>J GUTTA</v>
      </c>
      <c r="W18" s="1"/>
      <c r="X18" s="49">
        <f>I148</f>
        <v>83450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1" t="s">
        <v>0</v>
      </c>
      <c r="B19" s="21" t="s">
        <v>21</v>
      </c>
      <c r="C19" s="21" t="s">
        <v>22</v>
      </c>
      <c r="D19" s="9">
        <v>45935</v>
      </c>
      <c r="E19" s="2"/>
      <c r="F19" s="21" t="s">
        <v>0</v>
      </c>
      <c r="G19" s="21" t="s">
        <v>23</v>
      </c>
      <c r="H19" s="21" t="s">
        <v>24</v>
      </c>
      <c r="I19" s="9">
        <v>45935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21000</v>
      </c>
      <c r="U19" s="49" t="str">
        <f>B150</f>
        <v>AKASHJI</v>
      </c>
      <c r="V19" s="49" t="str">
        <f>C150</f>
        <v>SNGAREDDY</v>
      </c>
      <c r="W19" s="1"/>
      <c r="X19" s="49">
        <f>I157</f>
        <v>90700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1" t="s">
        <v>6</v>
      </c>
      <c r="B20" s="21" t="s">
        <v>7</v>
      </c>
      <c r="C20" s="21" t="s">
        <v>8</v>
      </c>
      <c r="D20" s="21" t="s">
        <v>9</v>
      </c>
      <c r="E20" s="2"/>
      <c r="F20" s="21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49400</v>
      </c>
      <c r="U20" s="49" t="str">
        <f>B159</f>
        <v>HARISINGHJI</v>
      </c>
      <c r="V20" s="49" t="str">
        <f>C159</f>
        <v>RAMARAM</v>
      </c>
      <c r="W20" s="1"/>
      <c r="X20" s="49">
        <f>I166</f>
        <v>49400</v>
      </c>
      <c r="Y20" s="49" t="str">
        <f>G159</f>
        <v>MANGILALJI</v>
      </c>
      <c r="Z20" s="49" t="str">
        <f>H159</f>
        <v>MALLAPUR</v>
      </c>
    </row>
    <row r="21" spans="1:26" ht="20.25" thickTop="1" thickBot="1">
      <c r="A21" s="21">
        <v>17</v>
      </c>
      <c r="B21" s="21">
        <v>1000000</v>
      </c>
      <c r="C21" s="21">
        <f>VLOOKUP(A21&amp;"|"&amp;B21,$O$3:$P$16,2,FALSE)</f>
        <v>350</v>
      </c>
      <c r="D21" s="21">
        <f>VLOOKUP(A21&amp;"|"&amp;B21,$Q$3:$R$16,2,FALSE)</f>
        <v>49650</v>
      </c>
      <c r="E21" s="2"/>
      <c r="F21" s="21">
        <v>17</v>
      </c>
      <c r="G21" s="21">
        <v>1000000</v>
      </c>
      <c r="H21" s="21">
        <f>VLOOKUP(F21&amp;"|"&amp;G21,$O$3:$P$16,2,FALSE)</f>
        <v>350</v>
      </c>
      <c r="I21" s="21">
        <f>VLOOKUP(F21&amp;"|"&amp;G21,$Q$3:$R$16,2,FALSE)</f>
        <v>49650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>4430900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4231800</v>
      </c>
      <c r="S21" s="1"/>
      <c r="T21" s="49">
        <f>D175</f>
        <v>138800</v>
      </c>
      <c r="U21" s="49" t="str">
        <f>B168</f>
        <v>BHORARAMJI</v>
      </c>
      <c r="V21" s="49" t="str">
        <f>C168</f>
        <v>MIYAPUR</v>
      </c>
      <c r="W21" s="1"/>
      <c r="X21" s="49">
        <f>I175</f>
        <v>73050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1">
        <v>6</v>
      </c>
      <c r="B22" s="21">
        <v>2000000</v>
      </c>
      <c r="C22" s="21">
        <f>VLOOKUP(A22&amp;"|"&amp;B22,$O$3:$P$17,2,FALSE)</f>
        <v>9500</v>
      </c>
      <c r="D22" s="21">
        <f>VLOOKUP(A22&amp;"|"&amp;B22,$Q$3:$R$17,2,FALSE)</f>
        <v>90500</v>
      </c>
      <c r="E22" s="2"/>
      <c r="F22" s="21">
        <v>17.100000000000001</v>
      </c>
      <c r="G22" s="21">
        <v>1000000</v>
      </c>
      <c r="H22" s="21">
        <f>VLOOKUP(F22&amp;"|"&amp;G22,$O$3:$P$16,2,FALSE)</f>
        <v>600</v>
      </c>
      <c r="I22" s="21">
        <f>VLOOKUP(F22&amp;"|"&amp;G22,$Q$3:$R$16,2,FALSE)</f>
        <v>49400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49">
        <f>D184</f>
        <v>114500</v>
      </c>
      <c r="U22" s="49" t="str">
        <f>B177</f>
        <v>MADARAMJI</v>
      </c>
      <c r="V22" s="49" t="str">
        <f>C177</f>
        <v>SHAPUR</v>
      </c>
      <c r="W22" s="1"/>
      <c r="X22" s="49">
        <f>I184</f>
        <v>49400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1"/>
      <c r="B23" s="21"/>
      <c r="C23" s="21"/>
      <c r="D23" s="21"/>
      <c r="E23" s="2"/>
      <c r="F23" s="21">
        <v>17.100000000000001</v>
      </c>
      <c r="G23" s="21">
        <v>1000000</v>
      </c>
      <c r="H23" s="21">
        <f>VLOOKUP(F23&amp;"|"&amp;G23,$O$3:$P$16,2,FALSE)</f>
        <v>600</v>
      </c>
      <c r="I23" s="21">
        <f>VLOOKUP(F23&amp;"|"&amp;G23,$Q$3:$R$16,2,FALSE)</f>
        <v>49400</v>
      </c>
      <c r="J23" s="1"/>
      <c r="K23" s="1"/>
      <c r="L23" s="1"/>
      <c r="M23" s="1"/>
      <c r="N23" s="1"/>
      <c r="O23" s="49">
        <f>SUM(O21,R21)</f>
        <v>8662700</v>
      </c>
      <c r="P23" s="1"/>
      <c r="Q23" s="1"/>
      <c r="R23" s="1"/>
      <c r="S23" s="1"/>
      <c r="T23" s="49">
        <f>D193</f>
        <v>91400</v>
      </c>
      <c r="U23" s="49" t="str">
        <f>B186</f>
        <v>GENARAMJI</v>
      </c>
      <c r="V23" s="49" t="str">
        <f>C186</f>
        <v>J GUTTA</v>
      </c>
      <c r="W23" s="1"/>
      <c r="X23" s="49">
        <f>I193</f>
        <v>24850</v>
      </c>
      <c r="Y23" s="49" t="str">
        <f>G186</f>
        <v>NARENDRAJI</v>
      </c>
      <c r="Z23" s="49" t="str">
        <f>H186</f>
        <v>SACHINJI</v>
      </c>
    </row>
    <row r="24" spans="1:26" ht="20.25" thickTop="1" thickBot="1">
      <c r="A24" s="21"/>
      <c r="B24" s="21"/>
      <c r="C24" s="21"/>
      <c r="D24" s="21"/>
      <c r="E24" s="2"/>
      <c r="F24" s="21"/>
      <c r="G24" s="21"/>
      <c r="H24" s="21"/>
      <c r="I24" s="21"/>
      <c r="J24" s="1"/>
      <c r="K24" s="1"/>
      <c r="L24" s="1"/>
      <c r="M24" s="1"/>
      <c r="N24" s="1" t="s">
        <v>26</v>
      </c>
      <c r="O24" s="1"/>
      <c r="P24" s="1"/>
      <c r="Q24" s="1"/>
      <c r="R24" s="1"/>
      <c r="S24" s="1"/>
      <c r="T24" s="49">
        <f>D202</f>
        <v>94100</v>
      </c>
      <c r="U24" s="49" t="str">
        <f>B195</f>
        <v>HONARAMJI</v>
      </c>
      <c r="V24" s="49" t="str">
        <f>C195</f>
        <v>RAMARAM</v>
      </c>
      <c r="W24" s="1"/>
      <c r="X24" s="49">
        <f>I202</f>
        <v>49200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1"/>
      <c r="B25" s="21"/>
      <c r="C25" s="21"/>
      <c r="D25" s="21"/>
      <c r="E25" s="2"/>
      <c r="F25" s="21"/>
      <c r="G25" s="21"/>
      <c r="H25" s="21"/>
      <c r="I25" s="21"/>
      <c r="J25" s="1"/>
      <c r="K25" s="1"/>
      <c r="L25" s="1"/>
      <c r="M25" s="1" t="s">
        <v>182</v>
      </c>
      <c r="N25" s="1"/>
      <c r="O25" s="49"/>
      <c r="P25" s="1"/>
      <c r="Q25" s="1"/>
      <c r="R25" s="1"/>
      <c r="S25" s="1"/>
      <c r="T25" s="49">
        <f>D211</f>
        <v>99050</v>
      </c>
      <c r="U25" s="49" t="str">
        <f>B204</f>
        <v>KAILASHJI</v>
      </c>
      <c r="V25" s="49" t="str">
        <f>C204</f>
        <v>SHIVAMPET</v>
      </c>
      <c r="W25" s="1"/>
      <c r="X25" s="49">
        <f>I211</f>
        <v>86150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84" t="s">
        <v>16</v>
      </c>
      <c r="B26" s="85"/>
      <c r="C26" s="86"/>
      <c r="D26" s="8">
        <f>SUM(D21:D25)</f>
        <v>140150</v>
      </c>
      <c r="E26" s="2"/>
      <c r="F26" s="84" t="s">
        <v>27</v>
      </c>
      <c r="G26" s="85"/>
      <c r="H26" s="86"/>
      <c r="I26" s="21">
        <f>SUM(I21:I25)</f>
        <v>148450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9">
        <f>D220</f>
        <v>21000</v>
      </c>
      <c r="U26" s="49" t="str">
        <f>B213</f>
        <v>PRAKASHJI</v>
      </c>
      <c r="V26" s="49" t="str">
        <f>C213</f>
        <v>GUTTA</v>
      </c>
      <c r="W26" s="1"/>
      <c r="X26" s="49">
        <f>I220</f>
        <v>45000</v>
      </c>
      <c r="Y26" s="49" t="str">
        <f>G213</f>
        <v>RAMESHJI</v>
      </c>
      <c r="Z26" s="49" t="str">
        <f>H213</f>
        <v>RR NAGAR</v>
      </c>
    </row>
    <row r="27" spans="1:26" ht="16.5" thickTop="1" thickBo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23400</v>
      </c>
      <c r="U27" s="49" t="str">
        <f>B222</f>
        <v>GENARAMJI</v>
      </c>
      <c r="V27" s="49" t="str">
        <f>C222</f>
        <v>RAMARAM</v>
      </c>
      <c r="W27" s="1"/>
      <c r="X27" s="49">
        <f>I229</f>
        <v>23400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1" t="s">
        <v>0</v>
      </c>
      <c r="B28" s="21" t="s">
        <v>187</v>
      </c>
      <c r="C28" s="21" t="s">
        <v>28</v>
      </c>
      <c r="D28" s="9">
        <v>45935</v>
      </c>
      <c r="E28" s="2"/>
      <c r="F28" s="21" t="s">
        <v>0</v>
      </c>
      <c r="G28" s="21" t="s">
        <v>29</v>
      </c>
      <c r="H28" s="21" t="s">
        <v>30</v>
      </c>
      <c r="I28" s="9">
        <v>45935</v>
      </c>
      <c r="J28" s="1"/>
      <c r="K28" s="1"/>
      <c r="L28" s="1"/>
      <c r="M28" s="1"/>
      <c r="O28" s="1"/>
      <c r="P28" s="1"/>
      <c r="Q28" s="1"/>
      <c r="R28" s="1"/>
      <c r="S28" s="1"/>
      <c r="T28" s="49">
        <f>D238</f>
        <v>22400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90500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1" t="s">
        <v>6</v>
      </c>
      <c r="B29" s="21" t="s">
        <v>7</v>
      </c>
      <c r="C29" s="21" t="s">
        <v>8</v>
      </c>
      <c r="D29" s="21" t="s">
        <v>9</v>
      </c>
      <c r="E29" s="2"/>
      <c r="F29" s="21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42000</v>
      </c>
      <c r="U29" s="49" t="str">
        <f>B240</f>
        <v>RAMESHJI</v>
      </c>
      <c r="V29" s="49" t="str">
        <f>C240</f>
        <v>KONDAPUR</v>
      </c>
      <c r="W29" s="1"/>
      <c r="X29" s="49">
        <f>I247</f>
        <v>221950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21">
        <v>17.100000000000001</v>
      </c>
      <c r="B30" s="21">
        <v>1000000</v>
      </c>
      <c r="C30" s="21">
        <f>VLOOKUP(A30&amp;"|"&amp;B30,$O$3:$P$16,2,FALSE)</f>
        <v>600</v>
      </c>
      <c r="D30" s="21">
        <f>VLOOKUP(A30&amp;"|"&amp;B30,$Q$3:$R$16,2,FALSE)</f>
        <v>49400</v>
      </c>
      <c r="E30" s="2"/>
      <c r="F30" s="21">
        <v>6</v>
      </c>
      <c r="G30" s="21">
        <v>500000</v>
      </c>
      <c r="H30" s="21">
        <f>VLOOKUP(F30&amp;"|"&amp;G30,$O$3:$P$16,2,FALSE)</f>
        <v>2600</v>
      </c>
      <c r="I30" s="21">
        <f>VLOOKUP(F30&amp;"|"&amp;G30,$Q$3:$R$16,2,FALSE)</f>
        <v>22400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49">
        <f>D256</f>
        <v>83450</v>
      </c>
      <c r="U30" s="49" t="str">
        <f>B249</f>
        <v>OMJI</v>
      </c>
      <c r="V30" s="49" t="str">
        <f>C249</f>
        <v>IDPL</v>
      </c>
      <c r="W30" s="1"/>
      <c r="X30" s="49">
        <f>I256</f>
        <v>23400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21">
        <v>14</v>
      </c>
      <c r="B31" s="21">
        <v>500000</v>
      </c>
      <c r="C31" s="21">
        <f>VLOOKUP(A31&amp;"|"&amp;B31,$O$3:$P$16,2,FALSE)</f>
        <v>1000</v>
      </c>
      <c r="D31" s="21">
        <f>VLOOKUP(A31&amp;"|"&amp;B31,$Q$3:$R$16,2,FALSE)</f>
        <v>24000</v>
      </c>
      <c r="E31" s="2"/>
      <c r="F31" s="21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69400</v>
      </c>
      <c r="U31" s="49" t="str">
        <f>B258</f>
        <v>HEMARAMJI</v>
      </c>
      <c r="V31" s="49" t="str">
        <f>C258</f>
        <v>YAMJAL</v>
      </c>
      <c r="W31" s="1"/>
      <c r="X31" s="49">
        <f>I265</f>
        <v>42000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21">
        <v>14</v>
      </c>
      <c r="B32" s="21">
        <v>500000</v>
      </c>
      <c r="C32" s="21">
        <f>VLOOKUP(A32&amp;"|"&amp;B32,$O$3:$P$16,2,FALSE)</f>
        <v>1000</v>
      </c>
      <c r="D32" s="21">
        <f>VLOOKUP(A32&amp;"|"&amp;B32,$Q$3:$R$16,2,FALSE)</f>
        <v>24000</v>
      </c>
      <c r="E32" s="2"/>
      <c r="F32" s="21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22400</v>
      </c>
      <c r="U32" s="49" t="str">
        <f>B267</f>
        <v>DURGARAMJI</v>
      </c>
      <c r="V32" s="49" t="str">
        <f>C267</f>
        <v>RAMARAM</v>
      </c>
      <c r="W32" s="1"/>
      <c r="X32" s="49">
        <f>I274</f>
        <v>22400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21">
        <v>17.100000000000001</v>
      </c>
      <c r="B33" s="21">
        <v>1000000</v>
      </c>
      <c r="C33" s="21">
        <f>VLOOKUP(A33&amp;"|"&amp;B33,$O$3:$P$16,2,FALSE)</f>
        <v>600</v>
      </c>
      <c r="D33" s="21">
        <f>VLOOKUP(A33&amp;"|"&amp;B33,$Q$3:$R$16,2,FALSE)</f>
        <v>49400</v>
      </c>
      <c r="E33" s="2"/>
      <c r="F33" s="21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86700</v>
      </c>
      <c r="U33" s="49" t="str">
        <f>B276</f>
        <v>DHANARAMJI</v>
      </c>
      <c r="V33" s="49" t="str">
        <f>C276</f>
        <v>KAMAN</v>
      </c>
      <c r="W33" s="1"/>
      <c r="X33" s="49">
        <f>I284</f>
        <v>181800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1"/>
      <c r="B34" s="21"/>
      <c r="C34" s="21"/>
      <c r="D34" s="21"/>
      <c r="E34" s="2"/>
      <c r="F34" s="21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112900</v>
      </c>
      <c r="U34" s="49" t="str">
        <f>B286</f>
        <v>KHUSHVIRJI</v>
      </c>
      <c r="V34" s="49" t="str">
        <f>C286</f>
        <v>MEDCHAL</v>
      </c>
      <c r="W34" s="1"/>
      <c r="X34" s="49">
        <f>I293</f>
        <v>116100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84" t="s">
        <v>16</v>
      </c>
      <c r="B35" s="85"/>
      <c r="C35" s="86"/>
      <c r="D35" s="8">
        <f>SUM(D30:D34)</f>
        <v>146800</v>
      </c>
      <c r="E35" s="2"/>
      <c r="F35" s="84" t="s">
        <v>16</v>
      </c>
      <c r="G35" s="85"/>
      <c r="H35" s="86"/>
      <c r="I35" s="21">
        <f>SUM(I30:I34)</f>
        <v>22400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164150</v>
      </c>
      <c r="U35" s="49" t="str">
        <f>B295</f>
        <v>MUNJI</v>
      </c>
      <c r="V35" s="49" t="str">
        <f>C295</f>
        <v>RAMARAM</v>
      </c>
      <c r="W35" s="1"/>
      <c r="X35" s="49">
        <f>I302</f>
        <v>135200</v>
      </c>
      <c r="Y35" s="49" t="str">
        <f>G295</f>
        <v>JAIRUPRAMJI</v>
      </c>
      <c r="Z35" s="49" t="str">
        <f>H295</f>
        <v>RMTPUR</v>
      </c>
    </row>
    <row r="36" spans="1:26" ht="16.5" thickTop="1" thickBo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86700</v>
      </c>
      <c r="U36" s="49" t="str">
        <f>B304</f>
        <v>RAMESHJI</v>
      </c>
      <c r="V36" s="49" t="str">
        <f>C304</f>
        <v>ALWN COL</v>
      </c>
      <c r="W36" s="1"/>
      <c r="X36" s="49">
        <f>I311</f>
        <v>44700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1" t="s">
        <v>0</v>
      </c>
      <c r="B37" s="21" t="s">
        <v>31</v>
      </c>
      <c r="C37" s="21" t="s">
        <v>32</v>
      </c>
      <c r="D37" s="9">
        <v>45935</v>
      </c>
      <c r="E37" s="2"/>
      <c r="F37" s="21" t="s">
        <v>0</v>
      </c>
      <c r="G37" s="21" t="s">
        <v>33</v>
      </c>
      <c r="H37" s="21" t="s">
        <v>34</v>
      </c>
      <c r="I37" s="9">
        <v>45935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45800</v>
      </c>
      <c r="U37" s="49" t="str">
        <f>B313</f>
        <v>OM</v>
      </c>
      <c r="V37" s="49" t="str">
        <f>C313</f>
        <v>J GUTTA</v>
      </c>
      <c r="W37" s="1"/>
      <c r="X37" s="49">
        <f>I320</f>
        <v>24700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1" t="s">
        <v>6</v>
      </c>
      <c r="B38" s="21" t="s">
        <v>7</v>
      </c>
      <c r="C38" s="21" t="s">
        <v>8</v>
      </c>
      <c r="D38" s="21" t="s">
        <v>9</v>
      </c>
      <c r="E38" s="2"/>
      <c r="F38" s="21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21000</v>
      </c>
      <c r="U38" s="49" t="str">
        <f>B322</f>
        <v>BABULALJI</v>
      </c>
      <c r="V38" s="49" t="str">
        <f>C322</f>
        <v>CHILKA NGR</v>
      </c>
      <c r="W38" s="1"/>
      <c r="X38" s="49">
        <f>I329</f>
        <v>23400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21">
        <v>11</v>
      </c>
      <c r="B39" s="21">
        <v>250000</v>
      </c>
      <c r="C39" s="21">
        <f>VLOOKUP(A39&amp;"|"&amp;B39,$O$3:$P$16,2,FALSE)</f>
        <v>800</v>
      </c>
      <c r="D39" s="21">
        <f>VLOOKUP(A39&amp;"|"&amp;B39,$Q$3:$R$16,2,FALSE)</f>
        <v>11700</v>
      </c>
      <c r="E39" s="2"/>
      <c r="F39" s="21">
        <v>17.100000000000001</v>
      </c>
      <c r="G39" s="21">
        <v>1000000</v>
      </c>
      <c r="H39" s="21">
        <f>VLOOKUP(F39&amp;"|"&amp;G39,$O$3:$P$16,2,FALSE)</f>
        <v>600</v>
      </c>
      <c r="I39" s="21">
        <f>VLOOKUP(F39&amp;"|"&amp;G39,$Q$3:$R$16,2,FALSE)</f>
        <v>49400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47400</v>
      </c>
      <c r="U39" s="49" t="str">
        <f>B331</f>
        <v>MUKESHJI</v>
      </c>
      <c r="V39" s="49" t="str">
        <f>C331</f>
        <v>RAMARAM</v>
      </c>
      <c r="W39" s="1"/>
      <c r="X39" s="49">
        <f>I338</f>
        <v>23400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21">
        <v>17</v>
      </c>
      <c r="B40" s="21">
        <v>250000</v>
      </c>
      <c r="C40" s="21">
        <f>VLOOKUP(A40&amp;"|"&amp;B40,$O$3:$P$18,2,FALSE)</f>
        <v>150</v>
      </c>
      <c r="D40" s="21">
        <f>VLOOKUP(A40&amp;"|"&amp;B40,$Q$3:$R$18,2,FALSE)</f>
        <v>12350</v>
      </c>
      <c r="E40" s="2"/>
      <c r="F40" s="21">
        <v>6</v>
      </c>
      <c r="G40" s="21">
        <v>2000000</v>
      </c>
      <c r="H40" s="21">
        <f>VLOOKUP(F40&amp;"|"&amp;G40,$O$3:$P$16,2,FALSE)</f>
        <v>9500</v>
      </c>
      <c r="I40" s="21">
        <f>VLOOKUP(F40&amp;"|"&amp;G40,$Q$3:$R$16,2,FALSE)</f>
        <v>90500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24000</v>
      </c>
      <c r="U40" s="49" t="str">
        <f>B340</f>
        <v>MISRILALJI</v>
      </c>
      <c r="V40" s="49" t="str">
        <f>C340</f>
        <v>MEDCHAL</v>
      </c>
      <c r="W40" s="1"/>
      <c r="X40" s="49">
        <f>I347</f>
        <v>21000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1"/>
      <c r="B41" s="21"/>
      <c r="C41" s="21"/>
      <c r="D41" s="21"/>
      <c r="E41" s="2"/>
      <c r="F41" s="21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24700</v>
      </c>
      <c r="U41" s="49" t="str">
        <f>B349</f>
        <v>GOVIND</v>
      </c>
      <c r="V41" s="49" t="str">
        <f>C349</f>
        <v>PPR NGR</v>
      </c>
      <c r="W41" s="1"/>
      <c r="X41" s="49">
        <f>I356</f>
        <v>21000</v>
      </c>
      <c r="Y41" s="49" t="str">
        <f>G349</f>
        <v>NEMJI</v>
      </c>
      <c r="Z41" s="49" t="str">
        <f>H349</f>
        <v>SUCHITRA</v>
      </c>
    </row>
    <row r="42" spans="1:26" ht="20.25" thickTop="1" thickBot="1">
      <c r="A42" s="21"/>
      <c r="B42" s="21"/>
      <c r="C42" s="21"/>
      <c r="D42" s="21"/>
      <c r="E42" s="2"/>
      <c r="F42" s="21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63850</v>
      </c>
      <c r="U42" s="49" t="str">
        <f>B358</f>
        <v>SOHANLALJI</v>
      </c>
      <c r="V42" s="49" t="str">
        <f>C358</f>
        <v>RR NGR</v>
      </c>
      <c r="W42" s="1"/>
      <c r="X42" s="49">
        <f>I365</f>
        <v>24000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1"/>
      <c r="B43" s="21"/>
      <c r="C43" s="21"/>
      <c r="D43" s="21"/>
      <c r="E43" s="2"/>
      <c r="F43" s="21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65700</v>
      </c>
      <c r="U43" s="49" t="str">
        <f>B367</f>
        <v>KISHANJI</v>
      </c>
      <c r="V43" s="49" t="str">
        <f>C367</f>
        <v>KAMAN</v>
      </c>
      <c r="W43" s="1"/>
      <c r="X43" s="49">
        <f>I374</f>
        <v>24000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84" t="s">
        <v>16</v>
      </c>
      <c r="B44" s="85"/>
      <c r="C44" s="86"/>
      <c r="D44" s="8">
        <f>SUM(D39:D43)</f>
        <v>24050</v>
      </c>
      <c r="E44" s="2"/>
      <c r="F44" s="84" t="s">
        <v>16</v>
      </c>
      <c r="G44" s="85"/>
      <c r="H44" s="86"/>
      <c r="I44" s="21">
        <f>SUM(I39:I43)</f>
        <v>139900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22400</v>
      </c>
      <c r="U44" s="49" t="str">
        <f>B376</f>
        <v>RAMESHJI</v>
      </c>
      <c r="V44" s="49" t="str">
        <f>C376</f>
        <v>SHAPUR</v>
      </c>
      <c r="W44" s="1"/>
      <c r="X44" s="49">
        <f>I383</f>
        <v>22400</v>
      </c>
      <c r="Y44" s="49" t="str">
        <f>G376</f>
        <v>OMJI</v>
      </c>
      <c r="Z44" s="49" t="str">
        <f>H376</f>
        <v>SEC</v>
      </c>
    </row>
    <row r="45" spans="1:26" ht="16.5" thickTop="1" thickBo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99050</v>
      </c>
      <c r="U45" s="49" t="str">
        <f>B385</f>
        <v>MISRILALJI</v>
      </c>
      <c r="V45" s="49" t="str">
        <f>C385</f>
        <v>SEC</v>
      </c>
      <c r="W45" s="1"/>
      <c r="X45" s="49">
        <f>I392</f>
        <v>23400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1" t="s">
        <v>0</v>
      </c>
      <c r="B46" s="21" t="s">
        <v>35</v>
      </c>
      <c r="C46" s="21" t="s">
        <v>36</v>
      </c>
      <c r="D46" s="9">
        <v>45935</v>
      </c>
      <c r="E46" s="2"/>
      <c r="F46" s="21" t="s">
        <v>0</v>
      </c>
      <c r="G46" s="21" t="s">
        <v>37</v>
      </c>
      <c r="H46" s="21" t="s">
        <v>38</v>
      </c>
      <c r="I46" s="9">
        <v>45935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49650</v>
      </c>
      <c r="U46" s="49" t="str">
        <f>B394</f>
        <v>BAGDARAMJI</v>
      </c>
      <c r="V46" s="49" t="str">
        <f>C394</f>
        <v>GANDHINGR</v>
      </c>
      <c r="W46" s="1"/>
      <c r="X46" s="49">
        <f>I401</f>
        <v>44700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1" t="s">
        <v>6</v>
      </c>
      <c r="B47" s="21" t="s">
        <v>7</v>
      </c>
      <c r="C47" s="21" t="s">
        <v>8</v>
      </c>
      <c r="D47" s="21" t="s">
        <v>9</v>
      </c>
      <c r="E47" s="2"/>
      <c r="F47" s="21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49400</v>
      </c>
      <c r="U47" s="1" t="str">
        <f>B403</f>
        <v>NEMARANJI</v>
      </c>
      <c r="V47" s="1" t="str">
        <f>C403</f>
        <v>INDERSUM</v>
      </c>
      <c r="W47" s="1"/>
      <c r="X47" s="49">
        <f>I410</f>
        <v>45700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21">
        <v>17.100000000000001</v>
      </c>
      <c r="B48" s="21">
        <v>500000</v>
      </c>
      <c r="C48" s="21">
        <f>VLOOKUP(A48&amp;"|"&amp;B48,$O$3:$P$16,2,FALSE)</f>
        <v>150</v>
      </c>
      <c r="D48" s="21">
        <f>VLOOKUP(A48&amp;"|"&amp;B48,$Q$3:$R$16,2,FALSE)</f>
        <v>24850</v>
      </c>
      <c r="E48" s="2"/>
      <c r="F48" s="21">
        <v>14</v>
      </c>
      <c r="G48" s="21">
        <v>500000</v>
      </c>
      <c r="H48" s="21">
        <f>VLOOKUP(F48&amp;"|"&amp;G48,$O$3:$P$16,2,FALSE)</f>
        <v>1000</v>
      </c>
      <c r="I48" s="21">
        <f>VLOOKUP(F48&amp;"|"&amp;G48,$Q$3:$R$16,2,FALSE)</f>
        <v>24000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22400</v>
      </c>
      <c r="U48" s="1" t="str">
        <f>B412</f>
        <v>HEMANTJI</v>
      </c>
      <c r="V48" s="1" t="str">
        <f>C412</f>
        <v>SURARAM</v>
      </c>
      <c r="W48" s="1"/>
      <c r="X48" s="49">
        <f>I419</f>
        <v>42000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1"/>
      <c r="B49" s="21"/>
      <c r="C49" s="21"/>
      <c r="D49" s="21"/>
      <c r="E49" s="2"/>
      <c r="F49" s="21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44700</v>
      </c>
      <c r="U49" s="1" t="str">
        <f>B421</f>
        <v>RAJUJI</v>
      </c>
      <c r="V49" s="1" t="str">
        <f>C421</f>
        <v>SHAPUR</v>
      </c>
      <c r="W49" s="1"/>
      <c r="X49" s="49">
        <f>I428</f>
        <v>90500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1"/>
      <c r="B50" s="21"/>
      <c r="C50" s="21"/>
      <c r="D50" s="21"/>
      <c r="E50" s="2"/>
      <c r="F50" s="21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44700</v>
      </c>
      <c r="U50" s="1" t="str">
        <f>B430</f>
        <v>GOUTAMJI</v>
      </c>
      <c r="V50" s="1" t="str">
        <f>C430</f>
        <v>RAMARAM</v>
      </c>
      <c r="W50" s="1"/>
      <c r="X50" s="49">
        <f>I437</f>
        <v>44700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1"/>
      <c r="B51" s="21"/>
      <c r="C51" s="21"/>
      <c r="D51" s="21"/>
      <c r="E51" s="2"/>
      <c r="F51" s="21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21000</v>
      </c>
      <c r="U51" s="1" t="str">
        <f>B439</f>
        <v>BHERARAMJI</v>
      </c>
      <c r="V51" s="1" t="str">
        <f>C439</f>
        <v>SURARAM</v>
      </c>
      <c r="W51" s="1"/>
      <c r="X51" s="49">
        <f>I446</f>
        <v>90500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1"/>
      <c r="B52" s="21"/>
      <c r="C52" s="21"/>
      <c r="D52" s="21"/>
      <c r="E52" s="2"/>
      <c r="F52" s="21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42000</v>
      </c>
      <c r="U52" s="1" t="str">
        <f>B448</f>
        <v>MISRILALJI</v>
      </c>
      <c r="V52" s="1" t="str">
        <f>C448</f>
        <v>GUTTA</v>
      </c>
      <c r="W52" s="1"/>
      <c r="X52" s="49">
        <f>I455</f>
        <v>41450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84" t="s">
        <v>16</v>
      </c>
      <c r="B53" s="85"/>
      <c r="C53" s="86"/>
      <c r="D53" s="8">
        <f>SUM(D48:D52)</f>
        <v>24850</v>
      </c>
      <c r="E53" s="2"/>
      <c r="F53" s="84" t="s">
        <v>16</v>
      </c>
      <c r="G53" s="85"/>
      <c r="H53" s="86"/>
      <c r="I53" s="21">
        <f>SUM(I48:I52)</f>
        <v>24000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69400</v>
      </c>
      <c r="U53" s="1" t="str">
        <f>B457</f>
        <v>RAMESHJI</v>
      </c>
      <c r="V53" s="1" t="str">
        <f>C457</f>
        <v>BOOK GUTA</v>
      </c>
      <c r="W53" s="1"/>
      <c r="X53" s="49">
        <f>I464</f>
        <v>44700</v>
      </c>
      <c r="Y53" s="1" t="str">
        <f>G457</f>
        <v>HEERJI</v>
      </c>
      <c r="Z53" s="1" t="str">
        <f>H457</f>
        <v>HANUMAN NG</v>
      </c>
    </row>
    <row r="54" spans="1:26" ht="16.5" thickTop="1" thickBo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91650</v>
      </c>
      <c r="U54" s="1" t="str">
        <f>B466</f>
        <v>VALARAMJI</v>
      </c>
      <c r="V54" s="1" t="str">
        <f>C466</f>
        <v>CHINTAL</v>
      </c>
      <c r="W54" s="1"/>
      <c r="X54" s="49">
        <f>I473</f>
        <v>49650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1" t="s">
        <v>0</v>
      </c>
      <c r="B55" s="21" t="s">
        <v>1</v>
      </c>
      <c r="C55" s="21" t="s">
        <v>39</v>
      </c>
      <c r="D55" s="9">
        <v>45935</v>
      </c>
      <c r="E55" s="2"/>
      <c r="F55" s="21" t="s">
        <v>0</v>
      </c>
      <c r="G55" s="21" t="s">
        <v>40</v>
      </c>
      <c r="H55" s="21" t="s">
        <v>41</v>
      </c>
      <c r="I55" s="9">
        <v>45935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24700</v>
      </c>
      <c r="U55" s="1" t="str">
        <f>B475</f>
        <v>NARAYANLALJI</v>
      </c>
      <c r="V55" s="1" t="str">
        <f>C475</f>
        <v>SURARAM</v>
      </c>
      <c r="W55" s="49"/>
      <c r="X55" s="49">
        <f>I482</f>
        <v>21000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1" t="s">
        <v>6</v>
      </c>
      <c r="B56" s="21" t="s">
        <v>7</v>
      </c>
      <c r="C56" s="21" t="s">
        <v>8</v>
      </c>
      <c r="D56" s="21" t="s">
        <v>9</v>
      </c>
      <c r="E56" s="2"/>
      <c r="F56" s="21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48000</v>
      </c>
      <c r="U56" s="1" t="s">
        <v>42</v>
      </c>
      <c r="V56" s="1" t="s">
        <v>43</v>
      </c>
      <c r="W56" s="1"/>
      <c r="X56" s="49">
        <f>I491</f>
        <v>22400</v>
      </c>
      <c r="Y56" s="1" t="s">
        <v>44</v>
      </c>
      <c r="Z56" s="1" t="s">
        <v>43</v>
      </c>
    </row>
    <row r="57" spans="1:26" ht="20.25" thickTop="1" thickBot="1">
      <c r="A57" s="21">
        <v>17.100000000000001</v>
      </c>
      <c r="B57" s="21">
        <v>1000000</v>
      </c>
      <c r="C57" s="21">
        <f>VLOOKUP(A57&amp;"|"&amp;B57,$O$3:$P$16,2,FALSE)</f>
        <v>600</v>
      </c>
      <c r="D57" s="21">
        <f>VLOOKUP(A57&amp;"|"&amp;B57,$Q$3:$R$16,2,FALSE)</f>
        <v>49400</v>
      </c>
      <c r="E57" s="2"/>
      <c r="F57" s="21">
        <v>1.1000000000000001</v>
      </c>
      <c r="G57" s="21">
        <v>1000000</v>
      </c>
      <c r="H57" s="21">
        <f>VLOOKUP(F57&amp;"|"&amp;G57,$O$3:$P$19,2,FALSE)</f>
        <v>8550</v>
      </c>
      <c r="I57" s="21">
        <f>VLOOKUP(F57&amp;"|"&amp;G57,$Q$3:$R$19,2,FALSE)</f>
        <v>41450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23400</v>
      </c>
      <c r="U57" s="1" t="str">
        <f>B493</f>
        <v>CHANDARAMJI</v>
      </c>
      <c r="V57" s="1" t="str">
        <f>C493</f>
        <v>SURARAM</v>
      </c>
      <c r="W57" s="1"/>
      <c r="X57" s="49">
        <f>I500</f>
        <v>111200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21">
        <v>1</v>
      </c>
      <c r="B58" s="21">
        <v>1000000</v>
      </c>
      <c r="C58" s="21">
        <f>VLOOKUP(A58&amp;"|"&amp;B58,$O$3:$P$16,2,FALSE)</f>
        <v>8000</v>
      </c>
      <c r="D58" s="21">
        <f>VLOOKUP(A58&amp;"|"&amp;B58,$Q$3:$R$16,2,FALSE)</f>
        <v>42000</v>
      </c>
      <c r="E58" s="2"/>
      <c r="F58" s="21">
        <v>6</v>
      </c>
      <c r="G58" s="21">
        <v>500000</v>
      </c>
      <c r="H58" s="21">
        <f>VLOOKUP(F58&amp;"|"&amp;G58,$O$3:$P$19,2,FALSE)</f>
        <v>2600</v>
      </c>
      <c r="I58" s="21">
        <f>VLOOKUP(F58&amp;"|"&amp;G58,$Q$3:$R$19,2,FALSE)</f>
        <v>22400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90500</v>
      </c>
      <c r="U58" s="49" t="str">
        <f>B502</f>
        <v>CHAMPALALJI</v>
      </c>
      <c r="V58" s="1" t="str">
        <f>C502</f>
        <v>RNGRD</v>
      </c>
      <c r="W58" s="1"/>
      <c r="X58" s="49">
        <f>I509</f>
        <v>22400</v>
      </c>
      <c r="Y58" s="1" t="str">
        <f>G502</f>
        <v>VENKTESHVAR</v>
      </c>
      <c r="Z58" s="1" t="str">
        <f>H502</f>
        <v>AB CO</v>
      </c>
    </row>
    <row r="59" spans="1:26" ht="20.25" thickTop="1" thickBot="1">
      <c r="A59" s="21"/>
      <c r="B59" s="21"/>
      <c r="C59" s="21"/>
      <c r="D59" s="21"/>
      <c r="E59" s="2"/>
      <c r="F59" s="21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22400</v>
      </c>
      <c r="U59" s="1" t="str">
        <f>B511</f>
        <v>KEWALJI</v>
      </c>
      <c r="V59" s="1" t="str">
        <f>C511</f>
        <v>KAMMAN</v>
      </c>
      <c r="W59" s="49"/>
      <c r="X59" s="49">
        <f>I518</f>
        <v>22400</v>
      </c>
      <c r="Y59" s="1" t="str">
        <f>G511</f>
        <v>PRAKASHJI</v>
      </c>
      <c r="Z59" s="1" t="str">
        <f>H511</f>
        <v>AMEENPUR</v>
      </c>
    </row>
    <row r="60" spans="1:26" ht="20.25" thickTop="1" thickBot="1">
      <c r="A60" s="21"/>
      <c r="B60" s="21"/>
      <c r="C60" s="21"/>
      <c r="D60" s="21"/>
      <c r="E60" s="2"/>
      <c r="F60" s="21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24700</v>
      </c>
      <c r="U60" s="1" t="str">
        <f>B520</f>
        <v>NIRMALJI</v>
      </c>
      <c r="V60" s="1" t="str">
        <f>C520</f>
        <v>KKPALLY</v>
      </c>
      <c r="W60" s="1"/>
      <c r="X60" s="49">
        <f>I527</f>
        <v>89400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1"/>
      <c r="B61" s="21"/>
      <c r="C61" s="21"/>
      <c r="D61" s="21"/>
      <c r="E61" s="2"/>
      <c r="F61" s="21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83450</v>
      </c>
      <c r="U61" s="1" t="str">
        <f>B529</f>
        <v>NARAYANJI</v>
      </c>
      <c r="V61" s="1" t="str">
        <f>C529</f>
        <v>RR ROAD</v>
      </c>
      <c r="W61" s="1"/>
      <c r="X61" s="49">
        <f>I536</f>
        <v>90500</v>
      </c>
      <c r="Y61" s="1" t="str">
        <f>G529</f>
        <v>PUNJI</v>
      </c>
      <c r="Z61" s="1" t="str">
        <f>H529</f>
        <v>R ROAD</v>
      </c>
    </row>
    <row r="62" spans="1:26" ht="20.25" thickTop="1" thickBot="1">
      <c r="A62" s="84" t="s">
        <v>16</v>
      </c>
      <c r="B62" s="85"/>
      <c r="C62" s="86"/>
      <c r="D62" s="8">
        <f>SUM(D57:D61)</f>
        <v>91400</v>
      </c>
      <c r="E62" s="2"/>
      <c r="F62" s="84" t="s">
        <v>16</v>
      </c>
      <c r="G62" s="85"/>
      <c r="H62" s="86"/>
      <c r="I62" s="21">
        <f>SUM(I57:I61)</f>
        <v>63850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77">
        <f>D545</f>
        <v>41450</v>
      </c>
      <c r="U62" s="49" t="str">
        <f>B538</f>
        <v xml:space="preserve">GOTAMJI </v>
      </c>
      <c r="V62" s="1" t="str">
        <f>C538</f>
        <v>RR ROAD</v>
      </c>
      <c r="W62" s="49"/>
      <c r="X62" s="49">
        <f>I545</f>
        <v>83450</v>
      </c>
      <c r="Y62" s="1" t="str">
        <f>G538</f>
        <v>SOHANJI</v>
      </c>
      <c r="Z62" s="1" t="str">
        <f>H538</f>
        <v>RR ROAD</v>
      </c>
    </row>
    <row r="63" spans="1:26" ht="20.25" thickTop="1" thickBot="1">
      <c r="A63" s="10"/>
      <c r="B63" s="10"/>
      <c r="C63" s="10"/>
      <c r="D63" s="10"/>
      <c r="E63" s="2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77">
        <f>D554</f>
        <v>41450</v>
      </c>
      <c r="U63" s="1" t="str">
        <f>B547</f>
        <v>TEJAJAMJI</v>
      </c>
      <c r="V63" s="1" t="str">
        <f>C547</f>
        <v>YELMBNDA</v>
      </c>
      <c r="W63" s="1"/>
      <c r="X63" s="77">
        <f>I554</f>
        <v>41450</v>
      </c>
      <c r="Y63" s="1" t="str">
        <f>G547</f>
        <v>MOHANJI</v>
      </c>
      <c r="Z63" s="1" t="str">
        <f>H547</f>
        <v>CHINTAL</v>
      </c>
    </row>
    <row r="64" spans="1:26" ht="20.25" thickTop="1" thickBot="1">
      <c r="A64" s="12" t="s">
        <v>3</v>
      </c>
      <c r="B64" s="12" t="s">
        <v>45</v>
      </c>
      <c r="C64" s="12" t="s">
        <v>46</v>
      </c>
      <c r="D64" s="9">
        <v>45935</v>
      </c>
      <c r="E64" s="2"/>
      <c r="F64" s="21" t="s">
        <v>0</v>
      </c>
      <c r="G64" s="21" t="s">
        <v>47</v>
      </c>
      <c r="H64" s="21" t="s">
        <v>48</v>
      </c>
      <c r="I64" s="9">
        <v>45935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49">
        <f>D563</f>
        <v>41450</v>
      </c>
      <c r="U64" t="str">
        <f>B556</f>
        <v>BABULALJI</v>
      </c>
      <c r="V64" s="1" t="str">
        <f>C556</f>
        <v>RAMARAM</v>
      </c>
      <c r="W64" s="1"/>
      <c r="X64" s="49">
        <f>I563</f>
        <v>21000</v>
      </c>
      <c r="Y64" s="1" t="str">
        <f>G556</f>
        <v>MOHANJI</v>
      </c>
      <c r="Z64" s="1" t="str">
        <f>H556</f>
        <v>AMINPUR</v>
      </c>
    </row>
    <row r="65" spans="1:26" ht="20.25" thickTop="1" thickBot="1">
      <c r="A65" s="21" t="s">
        <v>6</v>
      </c>
      <c r="B65" s="21" t="s">
        <v>7</v>
      </c>
      <c r="C65" s="21" t="s">
        <v>8</v>
      </c>
      <c r="D65" s="21" t="s">
        <v>9</v>
      </c>
      <c r="E65" s="2"/>
      <c r="F65" s="21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49">
        <f>D572</f>
        <v>21000</v>
      </c>
      <c r="U65" s="1" t="str">
        <f>B565</f>
        <v>PUNAMJI</v>
      </c>
      <c r="V65" s="1" t="str">
        <f>C565</f>
        <v>BADURPLY</v>
      </c>
      <c r="W65" s="1"/>
      <c r="X65" s="49">
        <f>I572</f>
        <v>21000</v>
      </c>
      <c r="Y65" s="1" t="str">
        <f>G565</f>
        <v>NARAYANJI</v>
      </c>
      <c r="Z65" s="1" t="str">
        <f>H565</f>
        <v>KOTLAPUR</v>
      </c>
    </row>
    <row r="66" spans="1:26" ht="20.25" thickTop="1" thickBot="1">
      <c r="A66" s="21">
        <v>17.100000000000001</v>
      </c>
      <c r="B66" s="21">
        <v>500000</v>
      </c>
      <c r="C66" s="21">
        <f>VLOOKUP(A66&amp;"|"&amp;B66,$O$3:$P$17,2,FALSE)</f>
        <v>150</v>
      </c>
      <c r="D66" s="21">
        <f>VLOOKUP(A66&amp;"|"&amp;B66,$Q$3:$R$17,2,FALSE)</f>
        <v>24850</v>
      </c>
      <c r="E66" s="2"/>
      <c r="F66" s="21">
        <v>17.100000000000001</v>
      </c>
      <c r="G66" s="21">
        <v>500000</v>
      </c>
      <c r="H66" s="21">
        <f>VLOOKUP(F66&amp;"|"&amp;G66,$O$3:$P$16,2,FALSE)</f>
        <v>150</v>
      </c>
      <c r="I66" s="21">
        <f>VLOOKUP(F66&amp;"|"&amp;G66,$Q$3:$R$16,2,FALSE)</f>
        <v>24850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49">
        <f>D581</f>
        <v>21000</v>
      </c>
      <c r="U66" s="1" t="str">
        <f>B574</f>
        <v>MANGILALJI</v>
      </c>
      <c r="V66" t="str">
        <f>C574</f>
        <v>RAMARAM</v>
      </c>
      <c r="X66" s="49"/>
      <c r="Y66" s="1"/>
      <c r="Z66" s="1"/>
    </row>
    <row r="67" spans="1:26" ht="20.25" thickTop="1" thickBot="1">
      <c r="A67" s="21">
        <v>6</v>
      </c>
      <c r="B67" s="21">
        <v>2000000</v>
      </c>
      <c r="C67" s="21">
        <f>VLOOKUP(A67&amp;"|"&amp;B67,$O$3:$P$17,2,FALSE)</f>
        <v>9500</v>
      </c>
      <c r="D67" s="21">
        <f>VLOOKUP(A67&amp;"|"&amp;B67,$Q$3:$R$17,2,FALSE)</f>
        <v>90500</v>
      </c>
      <c r="E67" s="2"/>
      <c r="F67" s="21">
        <v>6</v>
      </c>
      <c r="G67" s="21">
        <v>500000</v>
      </c>
      <c r="H67" s="21">
        <f>VLOOKUP(F67&amp;"|"&amp;G67,$O$3:$P$16,2,FALSE)</f>
        <v>2600</v>
      </c>
      <c r="I67" s="21">
        <f>VLOOKUP(F67&amp;"|"&amp;G67,$Q$3:$R$16,2,FALSE)</f>
        <v>22400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77"/>
      <c r="U67" s="1"/>
      <c r="V67" s="1"/>
      <c r="W67" s="1"/>
      <c r="Y67" s="1"/>
      <c r="Z67" s="1"/>
    </row>
    <row r="68" spans="1:26" ht="20.25" thickTop="1" thickBot="1">
      <c r="A68" s="21"/>
      <c r="B68" s="21"/>
      <c r="C68" s="21"/>
      <c r="D68" s="21"/>
      <c r="E68" s="2"/>
      <c r="F68" s="21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1"/>
      <c r="B69" s="21"/>
      <c r="C69" s="21"/>
      <c r="D69" s="21"/>
      <c r="E69" s="2"/>
      <c r="F69" s="21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49">
        <f>SUM(T3:T67)</f>
        <v>4430900</v>
      </c>
      <c r="U69" s="1"/>
      <c r="V69" s="1"/>
      <c r="W69" s="1"/>
      <c r="X69" s="49">
        <f>SUM(X3:X66)</f>
        <v>4231800</v>
      </c>
      <c r="Y69" s="1"/>
      <c r="Z69" s="1"/>
    </row>
    <row r="70" spans="1:26" ht="20.25" thickTop="1" thickBot="1">
      <c r="A70" s="21"/>
      <c r="B70" s="21"/>
      <c r="C70" s="21"/>
      <c r="D70" s="21"/>
      <c r="E70" s="2"/>
      <c r="F70" s="52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59" t="s">
        <v>49</v>
      </c>
      <c r="B71" s="53"/>
      <c r="C71" s="54"/>
      <c r="D71" s="21">
        <f>SUM(D66:D70)</f>
        <v>115350</v>
      </c>
      <c r="E71" s="2"/>
      <c r="F71" s="84" t="s">
        <v>16</v>
      </c>
      <c r="G71" s="85"/>
      <c r="H71" s="86"/>
      <c r="I71" s="21">
        <f>SUM(I66:I70)</f>
        <v>47250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25</v>
      </c>
      <c r="W71" s="78">
        <f>SUM(T69,X69)</f>
        <v>8662700</v>
      </c>
      <c r="X71" s="1"/>
      <c r="Y71" s="1"/>
      <c r="Z71" s="1"/>
    </row>
    <row r="72" spans="1:26" ht="20.25" thickTop="1" thickBot="1">
      <c r="A72" s="10"/>
      <c r="B72" s="10"/>
      <c r="C72" s="10"/>
      <c r="D72" s="10"/>
      <c r="E72" s="2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1" t="s">
        <v>0</v>
      </c>
      <c r="B73" s="21" t="s">
        <v>50</v>
      </c>
      <c r="C73" s="21" t="s">
        <v>51</v>
      </c>
      <c r="D73" s="9">
        <v>45935</v>
      </c>
      <c r="E73" s="2"/>
      <c r="F73" s="21" t="s">
        <v>0</v>
      </c>
      <c r="G73" s="21" t="s">
        <v>50</v>
      </c>
      <c r="H73" s="21" t="s">
        <v>52</v>
      </c>
      <c r="I73" s="9">
        <v>45935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1" t="s">
        <v>6</v>
      </c>
      <c r="B74" s="21" t="s">
        <v>7</v>
      </c>
      <c r="C74" s="21" t="s">
        <v>8</v>
      </c>
      <c r="D74" s="21" t="s">
        <v>9</v>
      </c>
      <c r="E74" s="2"/>
      <c r="F74" s="21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21">
        <v>17</v>
      </c>
      <c r="B75" s="21">
        <v>1000000</v>
      </c>
      <c r="C75" s="21">
        <f t="shared" ref="C75:C81" si="4">VLOOKUP(A75&amp;"|"&amp;B75,$O$3:$P$16,2,FALSE)</f>
        <v>350</v>
      </c>
      <c r="D75" s="21">
        <f t="shared" ref="D75:D81" si="5">VLOOKUP(A75&amp;"|"&amp;B75,$Q$3:$R$16,2,FALSE)</f>
        <v>49650</v>
      </c>
      <c r="E75" s="2"/>
      <c r="F75" s="21">
        <v>1</v>
      </c>
      <c r="G75" s="21">
        <v>1000000</v>
      </c>
      <c r="H75" s="21">
        <f t="shared" ref="H75:H84" si="6">VLOOKUP(F75&amp;"|"&amp;G75,$O$3:$P$16,2,FALSE)</f>
        <v>8000</v>
      </c>
      <c r="I75" s="21">
        <f t="shared" ref="I75:I84" si="7">VLOOKUP(F75&amp;"|"&amp;G75,$Q$3:$R$16,2,FALSE)</f>
        <v>42000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21">
        <v>17.100000000000001</v>
      </c>
      <c r="B76" s="21">
        <v>1000000</v>
      </c>
      <c r="C76" s="21">
        <f t="shared" si="4"/>
        <v>600</v>
      </c>
      <c r="D76" s="21">
        <f t="shared" si="5"/>
        <v>49400</v>
      </c>
      <c r="E76" s="2"/>
      <c r="F76" s="21">
        <v>1</v>
      </c>
      <c r="G76" s="21">
        <v>1000000</v>
      </c>
      <c r="H76" s="21">
        <f t="shared" si="6"/>
        <v>8000</v>
      </c>
      <c r="I76" s="21">
        <f t="shared" si="7"/>
        <v>42000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21">
        <v>1</v>
      </c>
      <c r="B77" s="21">
        <v>1000000</v>
      </c>
      <c r="C77" s="21">
        <f t="shared" si="4"/>
        <v>8000</v>
      </c>
      <c r="D77" s="21">
        <f t="shared" si="5"/>
        <v>42000</v>
      </c>
      <c r="E77" s="2"/>
      <c r="F77" s="21">
        <v>1.1000000000000001</v>
      </c>
      <c r="G77" s="21">
        <v>1000000</v>
      </c>
      <c r="H77" s="21">
        <f t="shared" si="6"/>
        <v>8550</v>
      </c>
      <c r="I77" s="21">
        <f t="shared" si="7"/>
        <v>41450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21">
        <v>1.1000000000000001</v>
      </c>
      <c r="B78" s="21">
        <v>1000000</v>
      </c>
      <c r="C78" s="21">
        <f t="shared" si="4"/>
        <v>8550</v>
      </c>
      <c r="D78" s="21">
        <f t="shared" si="5"/>
        <v>41450</v>
      </c>
      <c r="E78" s="2"/>
      <c r="F78" s="21">
        <v>1.1000000000000001</v>
      </c>
      <c r="G78" s="21">
        <v>1000000</v>
      </c>
      <c r="H78" s="21">
        <f t="shared" si="6"/>
        <v>8550</v>
      </c>
      <c r="I78" s="21">
        <f t="shared" si="7"/>
        <v>41450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21">
        <v>1.1000000000000001</v>
      </c>
      <c r="B79" s="21">
        <v>1000000</v>
      </c>
      <c r="C79" s="21">
        <f t="shared" si="4"/>
        <v>8550</v>
      </c>
      <c r="D79" s="21">
        <f t="shared" si="5"/>
        <v>41450</v>
      </c>
      <c r="E79" s="2"/>
      <c r="F79" s="21">
        <v>6</v>
      </c>
      <c r="G79" s="21">
        <v>500000</v>
      </c>
      <c r="H79" s="21">
        <f t="shared" si="6"/>
        <v>2600</v>
      </c>
      <c r="I79" s="21">
        <f t="shared" si="7"/>
        <v>22400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21">
        <v>11</v>
      </c>
      <c r="B80" s="21">
        <v>250000</v>
      </c>
      <c r="C80" s="21">
        <f t="shared" si="4"/>
        <v>800</v>
      </c>
      <c r="D80" s="21">
        <f t="shared" si="5"/>
        <v>11700</v>
      </c>
      <c r="E80" s="2"/>
      <c r="F80" s="21">
        <v>17</v>
      </c>
      <c r="G80" s="21">
        <v>500000</v>
      </c>
      <c r="H80" s="21">
        <f t="shared" si="6"/>
        <v>300</v>
      </c>
      <c r="I80" s="21">
        <f t="shared" si="7"/>
        <v>24700</v>
      </c>
      <c r="J80" s="1"/>
      <c r="K80" s="1"/>
      <c r="L80" s="1"/>
      <c r="M80" s="1"/>
      <c r="N80" s="1"/>
      <c r="O80" s="56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21">
        <v>17.100000000000001</v>
      </c>
      <c r="B81" s="21">
        <v>500000</v>
      </c>
      <c r="C81" s="21">
        <f t="shared" si="4"/>
        <v>150</v>
      </c>
      <c r="D81" s="21">
        <f t="shared" si="5"/>
        <v>24850</v>
      </c>
      <c r="E81" s="2"/>
      <c r="F81" s="21">
        <v>17</v>
      </c>
      <c r="G81" s="21">
        <v>500000</v>
      </c>
      <c r="H81" s="21">
        <f t="shared" si="6"/>
        <v>300</v>
      </c>
      <c r="I81" s="21">
        <f t="shared" si="7"/>
        <v>24700</v>
      </c>
      <c r="J81" s="1"/>
      <c r="K81" s="1"/>
      <c r="L81" s="56"/>
      <c r="M81" s="56"/>
      <c r="N81" s="56"/>
      <c r="O81" s="44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21">
        <v>17</v>
      </c>
      <c r="B82" s="21">
        <v>250000</v>
      </c>
      <c r="C82" s="21">
        <f>VLOOKUP(A82&amp;"|"&amp;B82,$O$3:$P$18,2,FALSE)</f>
        <v>150</v>
      </c>
      <c r="D82" s="21">
        <f>VLOOKUP(A82&amp;"|"&amp;B82,$Q$3:$R$18,2,FALSE)</f>
        <v>12350</v>
      </c>
      <c r="E82" s="2"/>
      <c r="F82" s="21">
        <v>17</v>
      </c>
      <c r="G82" s="21">
        <v>1000000</v>
      </c>
      <c r="H82" s="21">
        <f t="shared" si="6"/>
        <v>350</v>
      </c>
      <c r="I82" s="21">
        <f t="shared" si="7"/>
        <v>49650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21">
        <v>6</v>
      </c>
      <c r="B83" s="21">
        <v>2000000</v>
      </c>
      <c r="C83" s="21">
        <f>VLOOKUP(A83&amp;"|"&amp;B83,$O$3:$P$18,2,FALSE)</f>
        <v>9500</v>
      </c>
      <c r="D83" s="21">
        <f>VLOOKUP(A83&amp;"|"&amp;B83,$Q$3:$R$18,2,FALSE)</f>
        <v>90500</v>
      </c>
      <c r="E83" s="2"/>
      <c r="F83" s="21">
        <v>17.100000000000001</v>
      </c>
      <c r="G83" s="21">
        <v>1000000</v>
      </c>
      <c r="H83" s="21">
        <f t="shared" si="6"/>
        <v>600</v>
      </c>
      <c r="I83" s="21">
        <f t="shared" si="7"/>
        <v>49400</v>
      </c>
      <c r="J83" s="1"/>
      <c r="K83" s="1"/>
      <c r="L83" s="44"/>
      <c r="M83" s="44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1"/>
      <c r="B84" s="21"/>
      <c r="C84" s="21"/>
      <c r="D84" s="21"/>
      <c r="E84" s="2"/>
      <c r="F84" s="21">
        <v>6</v>
      </c>
      <c r="G84" s="21">
        <v>1000000</v>
      </c>
      <c r="H84" s="21">
        <f t="shared" si="6"/>
        <v>5300</v>
      </c>
      <c r="I84" s="21">
        <f t="shared" si="7"/>
        <v>44700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21" t="s">
        <v>16</v>
      </c>
      <c r="B85" s="21"/>
      <c r="C85" s="21" t="s">
        <v>182</v>
      </c>
      <c r="D85" s="21">
        <f>SUM(D75:D84)</f>
        <v>363350</v>
      </c>
      <c r="E85" s="2"/>
      <c r="F85" s="84" t="s">
        <v>16</v>
      </c>
      <c r="G85" s="85"/>
      <c r="H85" s="86"/>
      <c r="I85" s="21">
        <f>SUM(I75:I84)</f>
        <v>382450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thickTop="1" thickBo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21" t="s">
        <v>0</v>
      </c>
      <c r="B87" s="21" t="s">
        <v>53</v>
      </c>
      <c r="C87" s="21" t="s">
        <v>54</v>
      </c>
      <c r="D87" s="9">
        <v>45935</v>
      </c>
      <c r="E87" s="2"/>
      <c r="F87" s="21" t="s">
        <v>0</v>
      </c>
      <c r="G87" s="21" t="s">
        <v>55</v>
      </c>
      <c r="H87" s="21" t="s">
        <v>56</v>
      </c>
      <c r="I87" s="9">
        <v>45935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21" t="s">
        <v>6</v>
      </c>
      <c r="B88" s="21" t="s">
        <v>7</v>
      </c>
      <c r="C88" s="21" t="s">
        <v>8</v>
      </c>
      <c r="D88" s="21" t="s">
        <v>9</v>
      </c>
      <c r="E88" s="2"/>
      <c r="F88" s="21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21">
        <v>17.100000000000001</v>
      </c>
      <c r="B89" s="21">
        <v>1000000</v>
      </c>
      <c r="C89" s="21">
        <f>VLOOKUP(A89&amp;"|"&amp;B89,$O$3:$P$18,2,FALSE)</f>
        <v>600</v>
      </c>
      <c r="D89" s="21">
        <f>VLOOKUP(A89&amp;"|"&amp;B89,$Q$3:$R$18,2,FALSE)</f>
        <v>49400</v>
      </c>
      <c r="E89" s="2"/>
      <c r="F89" s="21">
        <v>17.100000000000001</v>
      </c>
      <c r="G89" s="21">
        <v>500000</v>
      </c>
      <c r="H89" s="21">
        <f>VLOOKUP(F89&amp;"|"&amp;G89,$O$3:$P$16,2,FALSE)</f>
        <v>150</v>
      </c>
      <c r="I89" s="21">
        <f>VLOOKUP(F89&amp;"|"&amp;G89,$Q$3:$R$16,2,FALSE)</f>
        <v>24850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21">
        <v>1</v>
      </c>
      <c r="B90" s="21">
        <v>1000000</v>
      </c>
      <c r="C90" s="21">
        <f>VLOOKUP(A90&amp;"|"&amp;B90,$O$3:$P$18,2,FALSE)</f>
        <v>8000</v>
      </c>
      <c r="D90" s="21">
        <f>VLOOKUP(A90&amp;"|"&amp;B90,$Q$3:$R$18,2,FALSE)</f>
        <v>42000</v>
      </c>
      <c r="E90" s="2"/>
      <c r="F90" s="21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21">
        <v>6</v>
      </c>
      <c r="B91" s="21">
        <v>2000000</v>
      </c>
      <c r="C91" s="21">
        <f>VLOOKUP(A91&amp;"|"&amp;B91,$O$3:$P$18,2,FALSE)</f>
        <v>9500</v>
      </c>
      <c r="D91" s="21">
        <f>VLOOKUP(A91&amp;"|"&amp;B91,$Q$3:$R$18,2,FALSE)</f>
        <v>90500</v>
      </c>
      <c r="E91" s="2"/>
      <c r="F91" s="21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21">
        <v>6</v>
      </c>
      <c r="B92" s="21">
        <v>2000000</v>
      </c>
      <c r="C92" s="21">
        <f>VLOOKUP(A92&amp;"|"&amp;B92,$O$3:$P$18,2,FALSE)</f>
        <v>9500</v>
      </c>
      <c r="D92" s="21">
        <f>VLOOKUP(A92&amp;"|"&amp;B92,$Q$3:$R$18,2,FALSE)</f>
        <v>90500</v>
      </c>
      <c r="E92" s="2"/>
      <c r="F92" s="21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1"/>
      <c r="B93" s="21"/>
      <c r="C93" s="21"/>
      <c r="D93" s="21"/>
      <c r="E93" s="2"/>
      <c r="F93" s="21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1" t="s">
        <v>16</v>
      </c>
      <c r="B94" s="21"/>
      <c r="C94" s="21"/>
      <c r="D94" s="21">
        <f>SUM(D89:D93)</f>
        <v>272400</v>
      </c>
      <c r="E94" s="2"/>
      <c r="F94" s="84" t="s">
        <v>16</v>
      </c>
      <c r="G94" s="85"/>
      <c r="H94" s="86"/>
      <c r="I94" s="21">
        <f>SUM(I89:I93)</f>
        <v>24850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thickTop="1" thickBo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1" t="s">
        <v>0</v>
      </c>
      <c r="B96" s="21" t="s">
        <v>57</v>
      </c>
      <c r="C96" s="21" t="s">
        <v>58</v>
      </c>
      <c r="D96" s="9">
        <v>45935</v>
      </c>
      <c r="E96" s="2"/>
      <c r="F96" s="21" t="s">
        <v>0</v>
      </c>
      <c r="G96" s="21" t="s">
        <v>59</v>
      </c>
      <c r="H96" s="21" t="s">
        <v>60</v>
      </c>
      <c r="I96" s="9">
        <v>45935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1" t="s">
        <v>6</v>
      </c>
      <c r="B97" s="21" t="s">
        <v>7</v>
      </c>
      <c r="C97" s="21" t="s">
        <v>8</v>
      </c>
      <c r="D97" s="21" t="s">
        <v>9</v>
      </c>
      <c r="E97" s="2"/>
      <c r="F97" s="21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21">
        <v>17</v>
      </c>
      <c r="B98" s="21">
        <v>500000</v>
      </c>
      <c r="C98" s="21">
        <f>VLOOKUP(A98&amp;"|"&amp;B98,$O$3:$P$16,2,FALSE)</f>
        <v>300</v>
      </c>
      <c r="D98" s="21">
        <f>VLOOKUP(A98&amp;"|"&amp;B98,$Q$3:$R$16,2,FALSE)</f>
        <v>24700</v>
      </c>
      <c r="E98" s="2"/>
      <c r="F98" s="21">
        <v>17</v>
      </c>
      <c r="G98" s="21">
        <v>1000000</v>
      </c>
      <c r="H98" s="21">
        <v>700</v>
      </c>
      <c r="I98" s="21">
        <v>49200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21">
        <v>6</v>
      </c>
      <c r="B99" s="21">
        <v>500000</v>
      </c>
      <c r="C99" s="21">
        <f>VLOOKUP(A99&amp;"|"&amp;B99,$O$3:$P$16,2,FALSE)</f>
        <v>2600</v>
      </c>
      <c r="D99" s="21">
        <f>VLOOKUP(A99&amp;"|"&amp;B99,$Q$3:$R$16,2,FALSE)</f>
        <v>22400</v>
      </c>
      <c r="E99" s="2"/>
      <c r="F99" s="21">
        <v>17.100000000000001</v>
      </c>
      <c r="G99" s="21">
        <v>1000000</v>
      </c>
      <c r="H99" s="21">
        <f>VLOOKUP(F99&amp;"|"&amp;G99,$O$3:$P$16,2,FALSE)</f>
        <v>600</v>
      </c>
      <c r="I99" s="21">
        <f>VLOOKUP(F99&amp;"|"&amp;G99,$Q$3:$R$16,2,FALSE)</f>
        <v>49400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1"/>
      <c r="B100" s="21"/>
      <c r="C100" s="21"/>
      <c r="D100" s="21"/>
      <c r="E100" s="2"/>
      <c r="F100" s="21">
        <v>1</v>
      </c>
      <c r="G100" s="21">
        <v>1000000</v>
      </c>
      <c r="H100" s="21">
        <f>VLOOKUP(F100&amp;"|"&amp;G100,$O$3:$P$16,2,FALSE)</f>
        <v>8000</v>
      </c>
      <c r="I100" s="21">
        <f>VLOOKUP(F100&amp;"|"&amp;G100,$Q$3:$R$16,2,FALSE)</f>
        <v>42000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1"/>
      <c r="B101" s="21"/>
      <c r="C101" s="21"/>
      <c r="D101" s="21"/>
      <c r="E101" s="2"/>
      <c r="F101" s="21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1"/>
      <c r="B102" s="21"/>
      <c r="C102" s="21"/>
      <c r="D102" s="21"/>
      <c r="E102" s="2"/>
      <c r="F102" s="21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1" t="s">
        <v>16</v>
      </c>
      <c r="B103" s="21"/>
      <c r="C103" s="21"/>
      <c r="D103" s="21">
        <f>SUM(D98:D102)</f>
        <v>47100</v>
      </c>
      <c r="E103" s="2"/>
      <c r="F103" s="84" t="s">
        <v>16</v>
      </c>
      <c r="G103" s="85"/>
      <c r="H103" s="86"/>
      <c r="I103" s="21">
        <f>SUM(I98:I102)</f>
        <v>140600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thickTop="1" thickBo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1" t="s">
        <v>0</v>
      </c>
      <c r="B105" s="21" t="s">
        <v>61</v>
      </c>
      <c r="C105" s="21" t="s">
        <v>62</v>
      </c>
      <c r="D105" s="9">
        <v>45935</v>
      </c>
      <c r="E105" s="2"/>
      <c r="F105" s="21" t="s">
        <v>0</v>
      </c>
      <c r="G105" s="21" t="s">
        <v>63</v>
      </c>
      <c r="H105" s="21" t="s">
        <v>34</v>
      </c>
      <c r="I105" s="9">
        <v>45935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1" t="s">
        <v>6</v>
      </c>
      <c r="B106" s="21" t="s">
        <v>7</v>
      </c>
      <c r="C106" s="21" t="s">
        <v>8</v>
      </c>
      <c r="D106" s="21" t="s">
        <v>9</v>
      </c>
      <c r="E106" s="2"/>
      <c r="F106" s="21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21">
        <v>17</v>
      </c>
      <c r="B107" s="21">
        <v>500000</v>
      </c>
      <c r="C107" s="21">
        <f>VLOOKUP(A107&amp;"|"&amp;B107,$O$3:$P$16,2,FALSE)</f>
        <v>300</v>
      </c>
      <c r="D107" s="21">
        <f>VLOOKUP(A107&amp;"|"&amp;B107,$Q$3:$R$16,2,FALSE)</f>
        <v>24700</v>
      </c>
      <c r="E107" s="2"/>
      <c r="F107" s="21">
        <v>17</v>
      </c>
      <c r="G107" s="21">
        <v>500000</v>
      </c>
      <c r="H107" s="21">
        <f>VLOOKUP(F107&amp;"|"&amp;G107,$O$3:$P$16,2,FALSE)</f>
        <v>300</v>
      </c>
      <c r="I107" s="21">
        <f>VLOOKUP(F107&amp;"|"&amp;G107,$Q$3:$R$16,2,FALSE)</f>
        <v>24700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1"/>
      <c r="B108" s="21"/>
      <c r="C108" s="21"/>
      <c r="D108" s="21"/>
      <c r="E108" s="2"/>
      <c r="F108" s="21">
        <v>17</v>
      </c>
      <c r="G108" s="21">
        <v>1000000</v>
      </c>
      <c r="H108" s="21">
        <f>VLOOKUP(F108&amp;"|"&amp;G108,$O$3:$P$16,2,FALSE)</f>
        <v>350</v>
      </c>
      <c r="I108" s="21">
        <f>VLOOKUP(F108&amp;"|"&amp;G108,$Q$3:$R$16,2,FALSE)</f>
        <v>49650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1"/>
      <c r="B109" s="21"/>
      <c r="C109" s="21"/>
      <c r="D109" s="21"/>
      <c r="E109" s="2"/>
      <c r="F109" s="21">
        <v>6</v>
      </c>
      <c r="G109" s="21">
        <v>2000000</v>
      </c>
      <c r="H109" s="21">
        <f>VLOOKUP(F109&amp;"|"&amp;G109,$O$3:$P$16,2,FALSE)</f>
        <v>9500</v>
      </c>
      <c r="I109" s="21">
        <f>VLOOKUP(F109&amp;"|"&amp;G109,$Q$3:$R$16,2,FALSE)</f>
        <v>90500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1"/>
      <c r="B110" s="21"/>
      <c r="C110" s="21"/>
      <c r="D110" s="21"/>
      <c r="E110" s="2"/>
      <c r="F110" s="21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1"/>
      <c r="B111" s="21"/>
      <c r="C111" s="21"/>
      <c r="D111" s="21"/>
      <c r="E111" s="2"/>
      <c r="F111" s="21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1" t="s">
        <v>16</v>
      </c>
      <c r="B112" s="21"/>
      <c r="C112" s="21"/>
      <c r="D112" s="21">
        <f>SUM(D107:D111)</f>
        <v>24700</v>
      </c>
      <c r="E112" s="2"/>
      <c r="F112" s="84" t="s">
        <v>16</v>
      </c>
      <c r="G112" s="85"/>
      <c r="H112" s="86"/>
      <c r="I112" s="21">
        <f>SUM(I107:I111)</f>
        <v>164850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thickTop="1" thickBo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1" t="s">
        <v>0</v>
      </c>
      <c r="B114" s="21" t="s">
        <v>47</v>
      </c>
      <c r="C114" s="21" t="s">
        <v>39</v>
      </c>
      <c r="D114" s="9">
        <v>45935</v>
      </c>
      <c r="E114" s="2"/>
      <c r="F114" s="21" t="s">
        <v>0</v>
      </c>
      <c r="G114" s="21" t="s">
        <v>64</v>
      </c>
      <c r="H114" s="21" t="s">
        <v>65</v>
      </c>
      <c r="I114" s="9">
        <v>45935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1" t="s">
        <v>6</v>
      </c>
      <c r="B115" s="21" t="s">
        <v>7</v>
      </c>
      <c r="C115" s="21" t="s">
        <v>8</v>
      </c>
      <c r="D115" s="21" t="s">
        <v>9</v>
      </c>
      <c r="E115" s="2"/>
      <c r="F115" s="21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21">
        <v>17</v>
      </c>
      <c r="B116" s="21">
        <v>500000</v>
      </c>
      <c r="C116" s="21">
        <f>VLOOKUP(A116&amp;"|"&amp;B116,$O$3:$P$16,2,FALSE)</f>
        <v>300</v>
      </c>
      <c r="D116" s="21">
        <f>VLOOKUP(A116&amp;"|"&amp;B116,$Q$3:$R$16,2,FALSE)</f>
        <v>24700</v>
      </c>
      <c r="E116" s="2"/>
      <c r="F116" s="21">
        <v>17</v>
      </c>
      <c r="G116" s="21">
        <v>1000000</v>
      </c>
      <c r="H116" s="21">
        <f>VLOOKUP(F116&amp;"|"&amp;G116,$O$3:$P$16,2,FALSE)</f>
        <v>350</v>
      </c>
      <c r="I116" s="21">
        <f>VLOOKUP(F116&amp;"|"&amp;G116,$Q$3:$R$16,2,FALSE)</f>
        <v>49650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21">
        <v>1.1000000000000001</v>
      </c>
      <c r="B117" s="21">
        <v>1000000</v>
      </c>
      <c r="C117" s="21">
        <f>VLOOKUP(A117&amp;"|"&amp;B117,$O$3:$P$16,2,FALSE)</f>
        <v>8550</v>
      </c>
      <c r="D117" s="21">
        <f>VLOOKUP(A117&amp;"|"&amp;B117,$Q$3:$R$16,2,FALSE)</f>
        <v>41450</v>
      </c>
      <c r="E117" s="2"/>
      <c r="F117" s="21">
        <v>6</v>
      </c>
      <c r="G117" s="21">
        <v>2000000</v>
      </c>
      <c r="H117" s="21">
        <f>VLOOKUP(F117&amp;"|"&amp;G117,$O$3:$P$17,2,FALSE)</f>
        <v>9500</v>
      </c>
      <c r="I117" s="21">
        <f>VLOOKUP(F117&amp;"|"&amp;G117,$Q$3:$R$17,2,FALSE)</f>
        <v>90500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21">
        <v>11</v>
      </c>
      <c r="B118" s="21">
        <v>500000</v>
      </c>
      <c r="C118" s="21">
        <f>VLOOKUP(A118&amp;"|"&amp;B118,$O$3:$P$16,2,FALSE)</f>
        <v>1600</v>
      </c>
      <c r="D118" s="21">
        <f>VLOOKUP(A118&amp;"|"&amp;B118,$Q$3:$R$16,2,FALSE)</f>
        <v>23400</v>
      </c>
      <c r="E118" s="2"/>
      <c r="F118" s="21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21">
        <v>11</v>
      </c>
      <c r="B119" s="21">
        <v>500000</v>
      </c>
      <c r="C119" s="21">
        <f>VLOOKUP(A119&amp;"|"&amp;B119,$O$3:$P$16,2,FALSE)</f>
        <v>1600</v>
      </c>
      <c r="D119" s="21">
        <f>VLOOKUP(A119&amp;"|"&amp;B119,$Q$3:$R$16,2,FALSE)</f>
        <v>23400</v>
      </c>
      <c r="E119" s="2"/>
      <c r="F119" s="21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1"/>
      <c r="B120" s="21"/>
      <c r="C120" s="21"/>
      <c r="D120" s="21"/>
      <c r="E120" s="2"/>
      <c r="F120" s="21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1" t="s">
        <v>16</v>
      </c>
      <c r="B121" s="21"/>
      <c r="C121" s="21"/>
      <c r="D121" s="21">
        <f>SUM(D116:D120)</f>
        <v>112950</v>
      </c>
      <c r="E121" s="2"/>
      <c r="F121" s="84" t="s">
        <v>16</v>
      </c>
      <c r="G121" s="85"/>
      <c r="H121" s="86"/>
      <c r="I121" s="21">
        <f>SUM(I116:I120)</f>
        <v>140150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thickTop="1" thickBo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1" t="s">
        <v>0</v>
      </c>
      <c r="B123" s="21" t="s">
        <v>66</v>
      </c>
      <c r="C123" s="21" t="s">
        <v>67</v>
      </c>
      <c r="D123" s="9">
        <v>45935</v>
      </c>
      <c r="E123" s="2"/>
      <c r="F123" s="21" t="s">
        <v>0</v>
      </c>
      <c r="G123" s="21" t="s">
        <v>68</v>
      </c>
      <c r="H123" s="21" t="s">
        <v>69</v>
      </c>
      <c r="I123" s="9">
        <v>45935</v>
      </c>
      <c r="J123" s="1"/>
      <c r="K123" s="1"/>
      <c r="L123" s="1"/>
      <c r="M123" s="1" t="s">
        <v>70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1" t="s">
        <v>6</v>
      </c>
      <c r="B124" s="21" t="s">
        <v>7</v>
      </c>
      <c r="C124" s="21" t="s">
        <v>8</v>
      </c>
      <c r="D124" s="21" t="s">
        <v>9</v>
      </c>
      <c r="E124" s="2"/>
      <c r="F124" s="21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21">
        <v>17</v>
      </c>
      <c r="B125" s="21">
        <v>500000</v>
      </c>
      <c r="C125" s="21">
        <f>VLOOKUP(A125&amp;"|"&amp;B125,$O$3:$P$16,2,FALSE)</f>
        <v>300</v>
      </c>
      <c r="D125" s="21">
        <f>VLOOKUP(A125&amp;"|"&amp;B125,$Q$3:$R$16,2,FALSE)</f>
        <v>24700</v>
      </c>
      <c r="E125" s="2"/>
      <c r="F125" s="21">
        <v>17</v>
      </c>
      <c r="G125" s="21">
        <v>1000000</v>
      </c>
      <c r="H125" s="21">
        <f>VLOOKUP(F125&amp;"|"&amp;G125,$O$3:$P$16,2,FALSE)</f>
        <v>350</v>
      </c>
      <c r="I125" s="21">
        <f>VLOOKUP(F125&amp;"|"&amp;G125,$Q$3:$R$16,2,FALSE)</f>
        <v>49650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21">
        <v>6</v>
      </c>
      <c r="B126" s="21">
        <v>2000000</v>
      </c>
      <c r="C126" s="21">
        <f>VLOOKUP(A126&amp;"|"&amp;B126,$O$3:$P$16,2,FALSE)</f>
        <v>9500</v>
      </c>
      <c r="D126" s="21">
        <f>VLOOKUP(A126&amp;"|"&amp;B126,$Q$3:$R$16,2,FALSE)</f>
        <v>90500</v>
      </c>
      <c r="E126" s="2"/>
      <c r="F126" s="21">
        <v>11</v>
      </c>
      <c r="G126" s="21">
        <v>500000</v>
      </c>
      <c r="H126" s="21">
        <f>VLOOKUP(F126&amp;"|"&amp;G126,$O$3:$P$16,2,FALSE)</f>
        <v>1600</v>
      </c>
      <c r="I126" s="21">
        <f>VLOOKUP(F126&amp;"|"&amp;G126,$Q$3:$R$16,2,FALSE)</f>
        <v>23400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1"/>
      <c r="B127" s="21"/>
      <c r="C127" s="21"/>
      <c r="D127" s="21"/>
      <c r="E127" s="2"/>
      <c r="F127" s="21">
        <v>11</v>
      </c>
      <c r="G127" s="21">
        <v>500000</v>
      </c>
      <c r="H127" s="21">
        <f>VLOOKUP(F127&amp;"|"&amp;G127,$O$3:$P$16,2,FALSE)</f>
        <v>1600</v>
      </c>
      <c r="I127" s="21">
        <f>VLOOKUP(F127&amp;"|"&amp;G127,$Q$3:$R$16,2,FALSE)</f>
        <v>23400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1"/>
      <c r="B128" s="21"/>
      <c r="C128" s="21"/>
      <c r="D128" s="21"/>
      <c r="E128" s="2"/>
      <c r="F128" s="21">
        <v>1.1000000000000001</v>
      </c>
      <c r="G128" s="21">
        <v>1000000</v>
      </c>
      <c r="H128" s="21">
        <f>VLOOKUP(F128&amp;"|"&amp;G128,$O$3:$P$16,2,FALSE)</f>
        <v>8550</v>
      </c>
      <c r="I128" s="21">
        <f>VLOOKUP(F128&amp;"|"&amp;G128,$Q$3:$R$16,2,FALSE)</f>
        <v>41450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1"/>
      <c r="B129" s="21"/>
      <c r="C129" s="21"/>
      <c r="D129" s="21"/>
      <c r="E129" s="2"/>
      <c r="F129" s="21">
        <v>1</v>
      </c>
      <c r="G129" s="21">
        <v>500000</v>
      </c>
      <c r="H129" s="21">
        <f>VLOOKUP(F129&amp;"|"&amp;G129,$O$3:$P$16,2,FALSE)</f>
        <v>4000</v>
      </c>
      <c r="I129" s="21">
        <f>VLOOKUP(F129&amp;"|"&amp;G129,$Q$3:$R$16,2,FALSE)</f>
        <v>21000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1" t="s">
        <v>16</v>
      </c>
      <c r="B130" s="21"/>
      <c r="C130" s="21"/>
      <c r="D130" s="21">
        <f>SUM(D125:D129)</f>
        <v>115200</v>
      </c>
      <c r="E130" s="2"/>
      <c r="F130" s="84" t="s">
        <v>16</v>
      </c>
      <c r="G130" s="85"/>
      <c r="H130" s="86"/>
      <c r="I130" s="21">
        <f>SUM(I125:I129)</f>
        <v>158900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thickTop="1" thickBo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1" t="s">
        <v>0</v>
      </c>
      <c r="B132" s="21" t="s">
        <v>71</v>
      </c>
      <c r="C132" s="21" t="s">
        <v>72</v>
      </c>
      <c r="D132" s="9">
        <v>45935</v>
      </c>
      <c r="E132" s="2"/>
      <c r="F132" s="21" t="s">
        <v>0</v>
      </c>
      <c r="G132" s="21" t="s">
        <v>73</v>
      </c>
      <c r="H132" s="21" t="s">
        <v>74</v>
      </c>
      <c r="I132" s="9">
        <v>45935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1" t="s">
        <v>6</v>
      </c>
      <c r="B133" s="21" t="s">
        <v>7</v>
      </c>
      <c r="C133" s="21" t="s">
        <v>8</v>
      </c>
      <c r="D133" s="21" t="s">
        <v>9</v>
      </c>
      <c r="E133" s="2"/>
      <c r="F133" s="21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21">
        <v>17</v>
      </c>
      <c r="B134" s="21">
        <v>500000</v>
      </c>
      <c r="C134" s="21">
        <f>VLOOKUP(A134&amp;"|"&amp;B134,$O$3:$P$16,2,FALSE)</f>
        <v>300</v>
      </c>
      <c r="D134" s="21">
        <f>VLOOKUP(A134&amp;"|"&amp;B134,$Q$3:$R$16,2,FALSE)</f>
        <v>24700</v>
      </c>
      <c r="E134" s="2"/>
      <c r="F134" s="21">
        <v>17</v>
      </c>
      <c r="G134" s="21">
        <v>500000</v>
      </c>
      <c r="H134" s="21">
        <f>VLOOKUP(F134&amp;"|"&amp;G134,$O$3:$P$16,2,FALSE)</f>
        <v>300</v>
      </c>
      <c r="I134" s="21">
        <f>VLOOKUP(F134&amp;"|"&amp;G134,$Q$3:$R$16,2,FALSE)</f>
        <v>24700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21">
        <v>1</v>
      </c>
      <c r="B135" s="21">
        <v>1000000</v>
      </c>
      <c r="C135" s="21">
        <f>VLOOKUP(A135&amp;"|"&amp;B135,$O$3:$P$16,2,FALSE)</f>
        <v>8000</v>
      </c>
      <c r="D135" s="21">
        <f>VLOOKUP(A135&amp;"|"&amp;B135,$Q$3:$R$16,2,FALSE)</f>
        <v>42000</v>
      </c>
      <c r="E135" s="2"/>
      <c r="F135" s="21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1"/>
      <c r="B136" s="21"/>
      <c r="C136" s="21"/>
      <c r="D136" s="21"/>
      <c r="E136" s="2"/>
      <c r="F136" s="21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1"/>
      <c r="B137" s="21"/>
      <c r="C137" s="21"/>
      <c r="D137" s="21"/>
      <c r="E137" s="2"/>
      <c r="F137" s="21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1"/>
      <c r="B138" s="21"/>
      <c r="C138" s="21"/>
      <c r="D138" s="21"/>
      <c r="E138" s="2"/>
      <c r="F138" s="21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1" t="s">
        <v>16</v>
      </c>
      <c r="B139" s="21"/>
      <c r="C139" s="21"/>
      <c r="D139" s="21">
        <f>SUM(D134:D138)</f>
        <v>66700</v>
      </c>
      <c r="E139" s="2"/>
      <c r="F139" s="84" t="s">
        <v>16</v>
      </c>
      <c r="G139" s="85"/>
      <c r="H139" s="86"/>
      <c r="I139" s="21">
        <f>SUM(I134:I138)</f>
        <v>24700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thickTop="1" thickBo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1" t="s">
        <v>0</v>
      </c>
      <c r="B141" s="21" t="s">
        <v>75</v>
      </c>
      <c r="C141" s="21" t="s">
        <v>76</v>
      </c>
      <c r="D141" s="9">
        <v>45935</v>
      </c>
      <c r="E141" s="2"/>
      <c r="F141" s="12" t="s">
        <v>3</v>
      </c>
      <c r="G141" s="12" t="s">
        <v>77</v>
      </c>
      <c r="H141" s="12" t="s">
        <v>78</v>
      </c>
      <c r="I141" s="9">
        <v>45935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1" t="s">
        <v>6</v>
      </c>
      <c r="B142" s="21" t="s">
        <v>7</v>
      </c>
      <c r="C142" s="21" t="s">
        <v>8</v>
      </c>
      <c r="D142" s="21" t="s">
        <v>9</v>
      </c>
      <c r="E142" s="2"/>
      <c r="F142" s="21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21">
        <v>17</v>
      </c>
      <c r="B143" s="21">
        <v>500000</v>
      </c>
      <c r="C143" s="21">
        <f>VLOOKUP(A143&amp;"|"&amp;B143,$O$3:$P$16,2,FALSE)</f>
        <v>300</v>
      </c>
      <c r="D143" s="21">
        <f>VLOOKUP(A143&amp;"|"&amp;B143,$Q$3:$R$16,2,FALSE)</f>
        <v>24700</v>
      </c>
      <c r="E143" s="2"/>
      <c r="F143" s="21">
        <v>1</v>
      </c>
      <c r="G143" s="21">
        <v>1000000</v>
      </c>
      <c r="H143" s="21">
        <f>VLOOKUP(F143&amp;"|"&amp;G143,$O$3:$P$18,2,FALSE)</f>
        <v>8000</v>
      </c>
      <c r="I143" s="21">
        <f>VLOOKUP(F143&amp;"|"&amp;G143,$Q$3:$R$17,2,FALSE)</f>
        <v>42000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21">
        <v>11</v>
      </c>
      <c r="B144" s="21">
        <v>500000</v>
      </c>
      <c r="C144" s="21">
        <f>VLOOKUP(A144&amp;"|"&amp;B144,$O$3:$P$16,2,FALSE)</f>
        <v>1600</v>
      </c>
      <c r="D144" s="21">
        <f>VLOOKUP(A144&amp;"|"&amp;B144,$Q$3:$R$16,2,FALSE)</f>
        <v>23400</v>
      </c>
      <c r="E144" s="2"/>
      <c r="F144" s="21">
        <v>1.1000000000000001</v>
      </c>
      <c r="G144" s="21">
        <v>1000000</v>
      </c>
      <c r="H144" s="21">
        <f>VLOOKUP(F144&amp;"|"&amp;G144,$O$3:$P$17,2,FALSE)</f>
        <v>8550</v>
      </c>
      <c r="I144" s="21">
        <f>VLOOKUP(F144&amp;"|"&amp;G144,$Q$3:$R$17,2,FALSE)</f>
        <v>41450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21">
        <v>14</v>
      </c>
      <c r="B145" s="21">
        <v>500000</v>
      </c>
      <c r="C145" s="21">
        <f>VLOOKUP(A145&amp;"|"&amp;B145,$O$3:$P$16,2,FALSE)</f>
        <v>1000</v>
      </c>
      <c r="D145" s="21">
        <f>VLOOKUP(A145&amp;"|"&amp;B145,$Q$3:$R$16,2,FALSE)</f>
        <v>24000</v>
      </c>
      <c r="E145" s="2"/>
      <c r="F145" s="21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21">
        <v>1</v>
      </c>
      <c r="B146" s="21">
        <v>1000000</v>
      </c>
      <c r="C146" s="21">
        <f>VLOOKUP(A146&amp;"|"&amp;B146,$O$3:$P$16,2,FALSE)</f>
        <v>8000</v>
      </c>
      <c r="D146" s="21">
        <f>VLOOKUP(A146&amp;"|"&amp;B146,$Q$3:$R$16,2,FALSE)</f>
        <v>42000</v>
      </c>
      <c r="E146" s="2"/>
      <c r="F146" s="21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1"/>
      <c r="B147" s="21"/>
      <c r="C147" s="21"/>
      <c r="D147" s="21"/>
      <c r="E147" s="2"/>
      <c r="F147" s="21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1" t="s">
        <v>16</v>
      </c>
      <c r="B148" s="21"/>
      <c r="C148" s="21"/>
      <c r="D148" s="21">
        <f>SUM(D143:D147)</f>
        <v>114100</v>
      </c>
      <c r="E148" s="2"/>
      <c r="F148" s="84" t="s">
        <v>16</v>
      </c>
      <c r="G148" s="85"/>
      <c r="H148" s="86"/>
      <c r="I148" s="21">
        <f>SUM(I143:I147)</f>
        <v>83450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2"/>
      <c r="B149" s="2"/>
      <c r="C149" s="2"/>
      <c r="D149" s="2"/>
      <c r="E149" s="2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1" t="s">
        <v>0</v>
      </c>
      <c r="B150" s="21" t="s">
        <v>192</v>
      </c>
      <c r="C150" s="21" t="s">
        <v>193</v>
      </c>
      <c r="D150" s="9">
        <v>45935</v>
      </c>
      <c r="E150" s="2"/>
      <c r="F150" s="21" t="s">
        <v>0</v>
      </c>
      <c r="G150" s="21" t="s">
        <v>80</v>
      </c>
      <c r="H150" s="21" t="s">
        <v>81</v>
      </c>
      <c r="I150" s="9">
        <v>45935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1" t="s">
        <v>6</v>
      </c>
      <c r="B151" s="21" t="s">
        <v>7</v>
      </c>
      <c r="C151" s="21" t="s">
        <v>8</v>
      </c>
      <c r="D151" s="21" t="s">
        <v>9</v>
      </c>
      <c r="E151" s="2"/>
      <c r="F151" s="21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21">
        <v>1</v>
      </c>
      <c r="B152" s="21">
        <v>500000</v>
      </c>
      <c r="C152" s="21">
        <f>VLOOKUP(A152&amp;"|"&amp;B152,$O$3:$P$16,2,FALSE)</f>
        <v>4000</v>
      </c>
      <c r="D152" s="21">
        <f>VLOOKUP(A152&amp;"|"&amp;B152,$Q$3:$R$16,2,FALSE)</f>
        <v>21000</v>
      </c>
      <c r="E152" s="10"/>
      <c r="F152" s="21">
        <v>17</v>
      </c>
      <c r="G152" s="21">
        <v>500000</v>
      </c>
      <c r="H152" s="21">
        <f>VLOOKUP(F152&amp;"|"&amp;G152,$O$3:$P$16,2,FALSE)</f>
        <v>300</v>
      </c>
      <c r="I152" s="21">
        <f>VLOOKUP(F152&amp;"|"&amp;G152,$Q$3:$R$16,2,FALSE)</f>
        <v>24700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1"/>
      <c r="B153" s="21"/>
      <c r="C153" s="21"/>
      <c r="D153" s="21"/>
      <c r="E153" s="2"/>
      <c r="F153" s="21">
        <v>14</v>
      </c>
      <c r="G153" s="21">
        <v>500000</v>
      </c>
      <c r="H153" s="21">
        <f>VLOOKUP(F153&amp;"|"&amp;G153,$O$3:$P$16,2,FALSE)</f>
        <v>1000</v>
      </c>
      <c r="I153" s="21">
        <f>VLOOKUP(F153&amp;"|"&amp;G153,$Q$3:$R$16,2,FALSE)</f>
        <v>24000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1"/>
      <c r="B154" s="21"/>
      <c r="C154" s="21"/>
      <c r="D154" s="21"/>
      <c r="E154" s="2"/>
      <c r="F154" s="21">
        <v>1</v>
      </c>
      <c r="G154" s="21">
        <v>1000000</v>
      </c>
      <c r="H154" s="21">
        <f>VLOOKUP(F154&amp;"|"&amp;G154,$O$3:$P$16,2,FALSE)</f>
        <v>8000</v>
      </c>
      <c r="I154" s="21">
        <f>VLOOKUP(F154&amp;"|"&amp;G154,$Q$3:$R$16,2,FALSE)</f>
        <v>42000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1"/>
      <c r="B155" s="21"/>
      <c r="C155" s="21"/>
      <c r="D155" s="21"/>
      <c r="E155" s="2"/>
      <c r="F155" s="21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1"/>
      <c r="B156" s="21"/>
      <c r="C156" s="21"/>
      <c r="D156" s="21"/>
      <c r="E156" s="2"/>
      <c r="F156" s="21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1" t="s">
        <v>16</v>
      </c>
      <c r="B157" s="21"/>
      <c r="C157" s="21"/>
      <c r="D157" s="21">
        <f>SUM(D152:D156)</f>
        <v>21000</v>
      </c>
      <c r="E157" s="2"/>
      <c r="F157" s="84" t="s">
        <v>16</v>
      </c>
      <c r="G157" s="85"/>
      <c r="H157" s="86"/>
      <c r="I157" s="21">
        <f>SUM(I152:I156)</f>
        <v>90700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thickTop="1" thickBo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1" t="s">
        <v>0</v>
      </c>
      <c r="B159" s="21" t="s">
        <v>82</v>
      </c>
      <c r="C159" s="21" t="s">
        <v>24</v>
      </c>
      <c r="D159" s="9">
        <v>45935</v>
      </c>
      <c r="E159" s="2"/>
      <c r="F159" s="21" t="s">
        <v>0</v>
      </c>
      <c r="G159" s="21" t="s">
        <v>21</v>
      </c>
      <c r="H159" s="21" t="s">
        <v>83</v>
      </c>
      <c r="I159" s="9">
        <v>45935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1" t="s">
        <v>6</v>
      </c>
      <c r="B160" s="21" t="s">
        <v>7</v>
      </c>
      <c r="C160" s="21" t="s">
        <v>8</v>
      </c>
      <c r="D160" s="21" t="s">
        <v>9</v>
      </c>
      <c r="E160" s="2"/>
      <c r="F160" s="21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21">
        <v>17.100000000000001</v>
      </c>
      <c r="B161" s="21">
        <v>1000000</v>
      </c>
      <c r="C161" s="21">
        <f>VLOOKUP(A161&amp;"|"&amp;B161,$O$3:$P$16,2,FALSE)</f>
        <v>600</v>
      </c>
      <c r="D161" s="21">
        <f>VLOOKUP(A161&amp;"|"&amp;B161,$Q$3:$R$16,2,FALSE)</f>
        <v>49400</v>
      </c>
      <c r="E161" s="2"/>
      <c r="F161" s="21">
        <v>17.100000000000001</v>
      </c>
      <c r="G161" s="21">
        <v>1000000</v>
      </c>
      <c r="H161" s="21">
        <f>VLOOKUP(F161&amp;"|"&amp;G161,$O$3:$P$16,2,FALSE)</f>
        <v>600</v>
      </c>
      <c r="I161" s="21">
        <f>VLOOKUP(F161&amp;"|"&amp;G161,$Q$3:$R$16,2,FALSE)</f>
        <v>49400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1"/>
      <c r="B162" s="21"/>
      <c r="C162" s="21"/>
      <c r="D162" s="21"/>
      <c r="E162" s="2"/>
      <c r="F162" s="21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1"/>
      <c r="B163" s="21"/>
      <c r="C163" s="21"/>
      <c r="D163" s="21"/>
      <c r="E163" s="2"/>
      <c r="F163" s="21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1"/>
      <c r="B164" s="21"/>
      <c r="C164" s="21"/>
      <c r="D164" s="21"/>
      <c r="E164" s="2"/>
      <c r="F164" s="21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1"/>
      <c r="B165" s="21"/>
      <c r="C165" s="21"/>
      <c r="D165" s="21"/>
      <c r="E165" s="2"/>
      <c r="F165" s="21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1" t="s">
        <v>16</v>
      </c>
      <c r="B166" s="21"/>
      <c r="C166" s="21"/>
      <c r="D166" s="21">
        <f>SUM(D161:D165)</f>
        <v>49400</v>
      </c>
      <c r="E166" s="2"/>
      <c r="F166" s="84" t="s">
        <v>16</v>
      </c>
      <c r="G166" s="85"/>
      <c r="H166" s="86"/>
      <c r="I166" s="21">
        <f>SUM(I161:I165)</f>
        <v>49400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thickTop="1" thickBo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1" t="s">
        <v>0</v>
      </c>
      <c r="B168" s="21" t="s">
        <v>84</v>
      </c>
      <c r="C168" s="21" t="s">
        <v>72</v>
      </c>
      <c r="D168" s="9">
        <v>45935</v>
      </c>
      <c r="E168" s="2"/>
      <c r="F168" s="21" t="s">
        <v>0</v>
      </c>
      <c r="G168" s="21" t="s">
        <v>29</v>
      </c>
      <c r="H168" s="21" t="s">
        <v>43</v>
      </c>
      <c r="I168" s="9">
        <v>45935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1" t="s">
        <v>6</v>
      </c>
      <c r="B169" s="21" t="s">
        <v>7</v>
      </c>
      <c r="C169" s="21" t="s">
        <v>8</v>
      </c>
      <c r="D169" s="21" t="s">
        <v>9</v>
      </c>
      <c r="E169" s="2"/>
      <c r="F169" s="21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21">
        <v>17.100000000000001</v>
      </c>
      <c r="B170" s="21">
        <v>1000000</v>
      </c>
      <c r="C170" s="21">
        <f>VLOOKUP(A170&amp;"|"&amp;B170,$O$3:$P$16,2,FALSE)</f>
        <v>600</v>
      </c>
      <c r="D170" s="21">
        <f>VLOOKUP(A170&amp;"|"&amp;B170,$Q$3:$R$16,2,FALSE)</f>
        <v>49400</v>
      </c>
      <c r="E170" s="2" t="s">
        <v>85</v>
      </c>
      <c r="F170" s="21">
        <v>17</v>
      </c>
      <c r="G170" s="21">
        <v>1000000</v>
      </c>
      <c r="H170" s="21">
        <f>VLOOKUP(F170&amp;"|"&amp;G170,$O$3:$P$16,2,FALSE)</f>
        <v>350</v>
      </c>
      <c r="I170" s="21">
        <f>VLOOKUP(F170&amp;"|"&amp;G170,$Q$3:$R$16,2,FALSE)</f>
        <v>49650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21">
        <v>6</v>
      </c>
      <c r="B171" s="21">
        <v>1000000</v>
      </c>
      <c r="C171" s="21">
        <f>VLOOKUP(A171&amp;"|"&amp;B171,$O$3:$P$16,2,FALSE)</f>
        <v>5300</v>
      </c>
      <c r="D171" s="21">
        <f>VLOOKUP(A171&amp;"|"&amp;B171,$Q$3:$R$16,2,FALSE)</f>
        <v>44700</v>
      </c>
      <c r="E171" s="2"/>
      <c r="F171" s="21">
        <v>11</v>
      </c>
      <c r="G171" s="21">
        <v>500000</v>
      </c>
      <c r="H171" s="21">
        <f>VLOOKUP(F171&amp;"|"&amp;G171,$O$3:$P$16,2,FALSE)</f>
        <v>1600</v>
      </c>
      <c r="I171" s="21">
        <f>VLOOKUP(F171&amp;"|"&amp;G171,$Q$3:$R$16,2,FALSE)</f>
        <v>23400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21">
        <v>6</v>
      </c>
      <c r="B172" s="21">
        <v>1000000</v>
      </c>
      <c r="C172" s="21">
        <f>VLOOKUP(A172&amp;"|"&amp;B172,$O$3:$P$16,2,FALSE)</f>
        <v>5300</v>
      </c>
      <c r="D172" s="21">
        <f>VLOOKUP(A172&amp;"|"&amp;B172,$Q$3:$R$16,2,FALSE)</f>
        <v>44700</v>
      </c>
      <c r="E172" s="2"/>
      <c r="F172" s="21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1"/>
      <c r="B173" s="21"/>
      <c r="C173" s="21"/>
      <c r="D173" s="21"/>
      <c r="E173" s="2"/>
      <c r="F173" s="21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1"/>
      <c r="B174" s="21"/>
      <c r="C174" s="21"/>
      <c r="D174" s="21"/>
      <c r="E174" s="2"/>
      <c r="F174" s="21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1" t="s">
        <v>16</v>
      </c>
      <c r="B175" s="21"/>
      <c r="C175" s="21"/>
      <c r="D175" s="21">
        <f>SUM(D170:D174)</f>
        <v>138800</v>
      </c>
      <c r="E175" s="2"/>
      <c r="F175" s="84" t="s">
        <v>16</v>
      </c>
      <c r="G175" s="85"/>
      <c r="H175" s="86"/>
      <c r="I175" s="21">
        <f>SUM(I170:I174)</f>
        <v>73050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thickTop="1" thickBo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1" t="s">
        <v>0</v>
      </c>
      <c r="B177" s="21" t="s">
        <v>86</v>
      </c>
      <c r="C177" s="21" t="s">
        <v>62</v>
      </c>
      <c r="D177" s="9">
        <v>45935</v>
      </c>
      <c r="E177" s="2"/>
      <c r="F177" s="21" t="s">
        <v>0</v>
      </c>
      <c r="G177" s="21" t="s">
        <v>87</v>
      </c>
      <c r="H177" s="21" t="s">
        <v>76</v>
      </c>
      <c r="I177" s="9">
        <v>45935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1" t="s">
        <v>6</v>
      </c>
      <c r="B178" s="21" t="s">
        <v>7</v>
      </c>
      <c r="C178" s="21" t="s">
        <v>8</v>
      </c>
      <c r="D178" s="21" t="s">
        <v>9</v>
      </c>
      <c r="E178" s="2"/>
      <c r="F178" s="21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21">
        <v>6</v>
      </c>
      <c r="B179" s="21">
        <v>2000000</v>
      </c>
      <c r="C179" s="21">
        <f>VLOOKUP(A179&amp;"|"&amp;B179,$O$3:$P$16,2,FALSE)</f>
        <v>9500</v>
      </c>
      <c r="D179" s="21">
        <f>VLOOKUP(A179&amp;"|"&amp;B179,$Q$3:$R$16,2,FALSE)</f>
        <v>90500</v>
      </c>
      <c r="E179" s="2"/>
      <c r="F179" s="21">
        <v>17.100000000000001</v>
      </c>
      <c r="G179" s="21">
        <v>1000000</v>
      </c>
      <c r="H179" s="21">
        <f>VLOOKUP(F179&amp;"|"&amp;G179,$O$3:$P$16,2,FALSE)</f>
        <v>600</v>
      </c>
      <c r="I179" s="21">
        <f>VLOOKUP(F179&amp;"|"&amp;G179,$Q$3:$R$16,2,FALSE)</f>
        <v>49400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21">
        <v>14</v>
      </c>
      <c r="B180" s="21">
        <v>500000</v>
      </c>
      <c r="C180" s="21">
        <f>VLOOKUP(A180&amp;"|"&amp;B180,$O$3:$P$16,2,FALSE)</f>
        <v>1000</v>
      </c>
      <c r="D180" s="21">
        <f>VLOOKUP(A180&amp;"|"&amp;B180,$Q$3:$R$16,2,FALSE)</f>
        <v>24000</v>
      </c>
      <c r="E180" s="2"/>
      <c r="F180" s="21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1"/>
      <c r="B181" s="21"/>
      <c r="C181" s="21"/>
      <c r="D181" s="21"/>
      <c r="E181" s="2"/>
      <c r="F181" s="21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1"/>
      <c r="B182" s="21"/>
      <c r="C182" s="21"/>
      <c r="D182" s="21"/>
      <c r="E182" s="2"/>
      <c r="F182" s="21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1"/>
      <c r="B183" s="21"/>
      <c r="C183" s="21"/>
      <c r="D183" s="21"/>
      <c r="E183" s="2"/>
      <c r="F183" s="21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1" t="s">
        <v>16</v>
      </c>
      <c r="B184" s="21"/>
      <c r="C184" s="21"/>
      <c r="D184" s="21">
        <f>SUM(D179:D183)</f>
        <v>114500</v>
      </c>
      <c r="E184" s="2"/>
      <c r="F184" s="84" t="s">
        <v>16</v>
      </c>
      <c r="G184" s="85"/>
      <c r="H184" s="86"/>
      <c r="I184" s="21">
        <f>SUM(I179:I183)</f>
        <v>49400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thickTop="1" thickBot="1">
      <c r="A185" s="2" t="s">
        <v>182</v>
      </c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2" t="s">
        <v>3</v>
      </c>
      <c r="B186" s="12" t="s">
        <v>88</v>
      </c>
      <c r="C186" s="12" t="s">
        <v>76</v>
      </c>
      <c r="D186" s="9">
        <v>45935</v>
      </c>
      <c r="E186" s="2"/>
      <c r="F186" s="21" t="s">
        <v>0</v>
      </c>
      <c r="G186" s="21" t="s">
        <v>89</v>
      </c>
      <c r="H186" s="21" t="s">
        <v>90</v>
      </c>
      <c r="I186" s="9">
        <v>45935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1" t="s">
        <v>91</v>
      </c>
      <c r="B187" s="21" t="s">
        <v>92</v>
      </c>
      <c r="C187" s="21" t="s">
        <v>93</v>
      </c>
      <c r="D187" s="21" t="s">
        <v>9</v>
      </c>
      <c r="E187" s="2"/>
      <c r="F187" s="21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21">
        <v>1</v>
      </c>
      <c r="B188" s="21">
        <v>1000000</v>
      </c>
      <c r="C188" s="21">
        <f>VLOOKUP(A188&amp;"|"&amp;B188,$O$3:$P$17,2,FALSE)</f>
        <v>8000</v>
      </c>
      <c r="D188" s="21">
        <f>VLOOKUP(A188&amp;"|"&amp;B188,$Q$3:$R$17,2,FALSE)</f>
        <v>42000</v>
      </c>
      <c r="E188" s="2"/>
      <c r="F188" s="21">
        <v>17.100000000000001</v>
      </c>
      <c r="G188" s="21">
        <v>500000</v>
      </c>
      <c r="H188" s="21">
        <f>VLOOKUP(F188&amp;"|"&amp;G188,$O$3:$P$16,2,FALSE)</f>
        <v>150</v>
      </c>
      <c r="I188" s="21">
        <f>VLOOKUP(F188&amp;"|"&amp;G188,$Q$3:$R$16,2,FALSE)</f>
        <v>24850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21">
        <v>17.100000000000001</v>
      </c>
      <c r="B189" s="21">
        <v>1000000</v>
      </c>
      <c r="C189" s="21">
        <f>VLOOKUP(A189&amp;"|"&amp;B189,$O$3:$P$17,2,FALSE)</f>
        <v>600</v>
      </c>
      <c r="D189" s="21">
        <f>VLOOKUP(A189&amp;"|"&amp;B189,$Q$3:$R$17,2,FALSE)</f>
        <v>49400</v>
      </c>
      <c r="E189" s="2"/>
      <c r="F189" s="21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21"/>
      <c r="B190" s="21"/>
      <c r="C190" s="21"/>
      <c r="D190" s="21"/>
      <c r="E190" s="2"/>
      <c r="F190" s="21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1"/>
      <c r="B191" s="21"/>
      <c r="C191" s="21"/>
      <c r="D191" s="21"/>
      <c r="E191" s="2"/>
      <c r="F191" s="21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1"/>
      <c r="B192" s="21"/>
      <c r="C192" s="21"/>
      <c r="D192" s="21"/>
      <c r="E192" s="2"/>
      <c r="F192" s="21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1" t="s">
        <v>16</v>
      </c>
      <c r="B193" s="21"/>
      <c r="C193" s="21"/>
      <c r="D193" s="21">
        <f>SUM(D188:D192)</f>
        <v>91400</v>
      </c>
      <c r="E193" s="2"/>
      <c r="F193" s="84" t="s">
        <v>16</v>
      </c>
      <c r="G193" s="85"/>
      <c r="H193" s="86"/>
      <c r="I193" s="21">
        <f>SUM(I188:I192)</f>
        <v>24850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thickTop="1" thickBo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1" t="s">
        <v>0</v>
      </c>
      <c r="B195" s="21" t="s">
        <v>94</v>
      </c>
      <c r="C195" s="21" t="s">
        <v>24</v>
      </c>
      <c r="D195" s="9">
        <v>45935</v>
      </c>
      <c r="E195" s="2"/>
      <c r="F195" s="21" t="s">
        <v>0</v>
      </c>
      <c r="G195" s="21" t="s">
        <v>95</v>
      </c>
      <c r="H195" s="21" t="s">
        <v>96</v>
      </c>
      <c r="I195" s="9">
        <v>45935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1" t="s">
        <v>6</v>
      </c>
      <c r="B196" s="21" t="s">
        <v>7</v>
      </c>
      <c r="C196" s="21" t="s">
        <v>8</v>
      </c>
      <c r="D196" s="21" t="s">
        <v>9</v>
      </c>
      <c r="E196" s="2"/>
      <c r="F196" s="21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21">
        <v>17.100000000000001</v>
      </c>
      <c r="B197" s="21">
        <v>1000000</v>
      </c>
      <c r="C197" s="21">
        <f>VLOOKUP(A197&amp;"|"&amp;B197,$O$3:$P$16,2,FALSE)</f>
        <v>600</v>
      </c>
      <c r="D197" s="21">
        <f>VLOOKUP(A197&amp;"|"&amp;B197,$Q$3:$R$16,2,FALSE)</f>
        <v>49400</v>
      </c>
      <c r="E197" s="2"/>
      <c r="F197" s="21">
        <v>17</v>
      </c>
      <c r="G197" s="21">
        <v>1000000</v>
      </c>
      <c r="H197" s="21">
        <v>700</v>
      </c>
      <c r="I197" s="21">
        <v>49200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21">
        <v>6</v>
      </c>
      <c r="B198" s="21">
        <v>1000000</v>
      </c>
      <c r="C198" s="21">
        <f>VLOOKUP(A198&amp;"|"&amp;B198,$O$3:$P$16,2,FALSE)</f>
        <v>5300</v>
      </c>
      <c r="D198" s="21">
        <f>VLOOKUP(A198&amp;"|"&amp;B198,$Q$3:$R$16,2,FALSE)</f>
        <v>44700</v>
      </c>
      <c r="E198" s="2"/>
      <c r="F198" s="21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1"/>
      <c r="B199" s="21"/>
      <c r="C199" s="21"/>
      <c r="D199" s="21"/>
      <c r="E199" s="2"/>
      <c r="F199" s="21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1"/>
      <c r="B200" s="21"/>
      <c r="C200" s="21"/>
      <c r="D200" s="21"/>
      <c r="E200" s="2"/>
      <c r="F200" s="21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1"/>
      <c r="B201" s="21"/>
      <c r="C201" s="21"/>
      <c r="D201" s="21"/>
      <c r="E201" s="2"/>
      <c r="F201" s="21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1" t="s">
        <v>16</v>
      </c>
      <c r="B202" s="21"/>
      <c r="C202" s="21"/>
      <c r="D202" s="21">
        <f>SUM(D197:D201)</f>
        <v>94100</v>
      </c>
      <c r="E202" s="2"/>
      <c r="F202" s="84" t="s">
        <v>16</v>
      </c>
      <c r="G202" s="85"/>
      <c r="H202" s="86"/>
      <c r="I202" s="21">
        <f>SUM(I197:I201)</f>
        <v>49200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thickTop="1" thickBo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2" t="s">
        <v>3</v>
      </c>
      <c r="B204" s="12" t="s">
        <v>97</v>
      </c>
      <c r="C204" s="12" t="s">
        <v>98</v>
      </c>
      <c r="D204" s="9">
        <v>45935</v>
      </c>
      <c r="F204" s="12" t="s">
        <v>3</v>
      </c>
      <c r="G204" s="12" t="s">
        <v>99</v>
      </c>
      <c r="H204" s="12" t="s">
        <v>100</v>
      </c>
      <c r="I204" s="9">
        <v>45935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1" t="s">
        <v>6</v>
      </c>
      <c r="B205" s="21" t="s">
        <v>7</v>
      </c>
      <c r="C205" s="21" t="s">
        <v>8</v>
      </c>
      <c r="D205" s="21" t="s">
        <v>9</v>
      </c>
      <c r="F205" s="21" t="s">
        <v>6</v>
      </c>
      <c r="G205" s="21" t="s">
        <v>92</v>
      </c>
      <c r="H205" s="21" t="s">
        <v>8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21">
        <v>17</v>
      </c>
      <c r="B206" s="21">
        <v>1000000</v>
      </c>
      <c r="C206" s="21">
        <f>VLOOKUP(A206&amp;"|"&amp;B206,$O$3:$P$18,2,FALSE)</f>
        <v>350</v>
      </c>
      <c r="D206" s="21">
        <f>VLOOKUP(A206&amp;"|"&amp;B206,$Q$3:$R$17,2,FALSE)</f>
        <v>49650</v>
      </c>
      <c r="F206" s="21">
        <v>1.1000000000000001</v>
      </c>
      <c r="G206" s="21">
        <v>1000000</v>
      </c>
      <c r="H206" s="21">
        <f>VLOOKUP(F206&amp;"|"&amp;G206,$O$3:$P$17,2,FALSE)</f>
        <v>8550</v>
      </c>
      <c r="I206" s="21">
        <f>VLOOKUP(F206&amp;"|"&amp;G206,$Q$3:$R$17,2,FALSE)</f>
        <v>41450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21">
        <v>17.100000000000001</v>
      </c>
      <c r="B207" s="21">
        <v>1000000</v>
      </c>
      <c r="C207" s="21">
        <f>VLOOKUP(A207&amp;"|"&amp;B207,$O$3:$P$17,2,FALSE)</f>
        <v>600</v>
      </c>
      <c r="D207" s="21">
        <f>VLOOKUP(A207&amp;"|"&amp;B207,$Q$3:$R$17,2,FALSE)</f>
        <v>49400</v>
      </c>
      <c r="F207" s="21">
        <v>6</v>
      </c>
      <c r="G207" s="21">
        <v>1000000</v>
      </c>
      <c r="H207" s="21">
        <f>VLOOKUP(F207&amp;"|"&amp;G207,$O$3:$P$17,2,FALSE)</f>
        <v>5300</v>
      </c>
      <c r="I207" s="21">
        <f>VLOOKUP(F207&amp;"|"&amp;G207,$Q$3:$R$17,2,FALSE)</f>
        <v>44700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1"/>
      <c r="B208" s="21"/>
      <c r="C208" s="21"/>
      <c r="D208" s="21"/>
      <c r="E208" s="2"/>
      <c r="F208" s="21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1"/>
      <c r="B209" s="21"/>
      <c r="C209" s="21"/>
      <c r="D209" s="21"/>
      <c r="E209" s="2"/>
      <c r="F209" s="21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1"/>
      <c r="B210" s="21"/>
      <c r="C210" s="21"/>
      <c r="D210" s="21"/>
      <c r="E210" s="2"/>
      <c r="F210" s="21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1" t="s">
        <v>16</v>
      </c>
      <c r="B211" s="21"/>
      <c r="C211" s="21"/>
      <c r="D211" s="21">
        <f>SUM(D206:D210)</f>
        <v>99050</v>
      </c>
      <c r="E211" s="2"/>
      <c r="F211" s="84" t="s">
        <v>16</v>
      </c>
      <c r="G211" s="85"/>
      <c r="H211" s="86"/>
      <c r="I211" s="21">
        <f>SUM(I206:I210)</f>
        <v>86150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thickTop="1" thickBo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1" t="s">
        <v>0</v>
      </c>
      <c r="B213" s="21" t="s">
        <v>57</v>
      </c>
      <c r="C213" s="21" t="s">
        <v>101</v>
      </c>
      <c r="D213" s="9">
        <v>45935</v>
      </c>
      <c r="E213" s="2"/>
      <c r="F213" s="21" t="s">
        <v>0</v>
      </c>
      <c r="G213" s="21" t="s">
        <v>35</v>
      </c>
      <c r="H213" s="21" t="s">
        <v>102</v>
      </c>
      <c r="I213" s="9">
        <v>45935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1" t="s">
        <v>6</v>
      </c>
      <c r="B214" s="21" t="s">
        <v>7</v>
      </c>
      <c r="C214" s="21" t="s">
        <v>8</v>
      </c>
      <c r="D214" s="21" t="s">
        <v>9</v>
      </c>
      <c r="E214" s="2"/>
      <c r="F214" s="21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21">
        <v>1</v>
      </c>
      <c r="B215" s="21">
        <v>500000</v>
      </c>
      <c r="C215" s="21">
        <f>VLOOKUP(A215&amp;"|"&amp;B215,$O$3:$P$16,2,FALSE)</f>
        <v>4000</v>
      </c>
      <c r="D215" s="21">
        <f>VLOOKUP(A215&amp;"|"&amp;B215,$Q$3:$R$16,2,FALSE)</f>
        <v>21000</v>
      </c>
      <c r="E215" s="2"/>
      <c r="F215" s="21">
        <v>1</v>
      </c>
      <c r="G215" s="21">
        <v>500000</v>
      </c>
      <c r="H215" s="21">
        <f>VLOOKUP(F215&amp;"|"&amp;G215,$O$3:$P$16,2,FALSE)</f>
        <v>4000</v>
      </c>
      <c r="I215" s="21">
        <f>VLOOKUP(F215&amp;"|"&amp;G215,$Q$3:$R$16,2,FALSE)</f>
        <v>21000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1"/>
      <c r="B216" s="21"/>
      <c r="C216" s="21"/>
      <c r="D216" s="21"/>
      <c r="E216" s="2"/>
      <c r="F216" s="21">
        <v>14</v>
      </c>
      <c r="G216" s="21">
        <v>500000</v>
      </c>
      <c r="H216" s="21">
        <f>VLOOKUP(F216&amp;"|"&amp;G216,$O$3:$P$16,2,FALSE)</f>
        <v>1000</v>
      </c>
      <c r="I216" s="21">
        <f>VLOOKUP(F216&amp;"|"&amp;G216,$Q$3:$R$16,2,FALSE)</f>
        <v>24000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1"/>
      <c r="B217" s="21"/>
      <c r="C217" s="21"/>
      <c r="D217" s="21"/>
      <c r="E217" s="2"/>
      <c r="F217" s="21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1"/>
      <c r="B218" s="21"/>
      <c r="C218" s="21"/>
      <c r="D218" s="21"/>
      <c r="E218" s="2"/>
      <c r="F218" s="21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1"/>
      <c r="B219" s="21"/>
      <c r="C219" s="21"/>
      <c r="D219" s="21"/>
      <c r="E219" s="2"/>
      <c r="F219" s="21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1" t="s">
        <v>16</v>
      </c>
      <c r="B220" s="21"/>
      <c r="C220" s="21"/>
      <c r="D220" s="21">
        <f>SUM(D215:D219)</f>
        <v>21000</v>
      </c>
      <c r="E220" s="2"/>
      <c r="F220" s="84" t="s">
        <v>16</v>
      </c>
      <c r="G220" s="85"/>
      <c r="H220" s="86"/>
      <c r="I220" s="21">
        <f>SUM(I215:I219)</f>
        <v>45000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thickTop="1" thickBo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1" t="s">
        <v>0</v>
      </c>
      <c r="B222" s="21" t="s">
        <v>88</v>
      </c>
      <c r="C222" s="21" t="s">
        <v>24</v>
      </c>
      <c r="D222" s="9">
        <v>45935</v>
      </c>
      <c r="E222" s="2"/>
      <c r="F222" s="21" t="s">
        <v>0</v>
      </c>
      <c r="G222" s="21" t="s">
        <v>103</v>
      </c>
      <c r="H222" s="21" t="s">
        <v>104</v>
      </c>
      <c r="I222" s="9">
        <v>45935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1" t="s">
        <v>6</v>
      </c>
      <c r="B223" s="21" t="s">
        <v>7</v>
      </c>
      <c r="C223" s="21" t="s">
        <v>8</v>
      </c>
      <c r="D223" s="21" t="s">
        <v>9</v>
      </c>
      <c r="E223" s="2"/>
      <c r="F223" s="21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21">
        <v>11</v>
      </c>
      <c r="B224" s="21">
        <v>500000</v>
      </c>
      <c r="C224" s="21">
        <f>VLOOKUP(A224&amp;"|"&amp;B224,$O$3:$P$16,2,FALSE)</f>
        <v>1600</v>
      </c>
      <c r="D224" s="21">
        <f>VLOOKUP(A224&amp;"|"&amp;B224,$Q$3:$R$16,2,FALSE)</f>
        <v>23400</v>
      </c>
      <c r="E224" s="2"/>
      <c r="F224" s="21">
        <v>11</v>
      </c>
      <c r="G224" s="21">
        <v>500000</v>
      </c>
      <c r="H224" s="21">
        <f>VLOOKUP(F224&amp;"|"&amp;G224,$O$3:$P$16,2,FALSE)</f>
        <v>1600</v>
      </c>
      <c r="I224" s="21">
        <f>VLOOKUP(F224&amp;"|"&amp;G224,$Q$3:$R$16,2,FALSE)</f>
        <v>23400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1"/>
      <c r="B225" s="21"/>
      <c r="C225" s="21"/>
      <c r="D225" s="21"/>
      <c r="E225" s="2"/>
      <c r="F225" s="21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1"/>
      <c r="B226" s="21"/>
      <c r="C226" s="21"/>
      <c r="D226" s="21"/>
      <c r="E226" s="2"/>
      <c r="F226" s="21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1"/>
      <c r="B227" s="21"/>
      <c r="C227" s="21"/>
      <c r="D227" s="21"/>
      <c r="E227" s="2"/>
      <c r="F227" s="21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1"/>
      <c r="B228" s="21"/>
      <c r="C228" s="21"/>
      <c r="D228" s="21"/>
      <c r="E228" s="2"/>
      <c r="F228" s="21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1" t="s">
        <v>16</v>
      </c>
      <c r="B229" s="21"/>
      <c r="C229" s="21"/>
      <c r="D229" s="21">
        <f>SUM(D224:D228)</f>
        <v>23400</v>
      </c>
      <c r="E229" s="2"/>
      <c r="F229" s="84" t="s">
        <v>16</v>
      </c>
      <c r="G229" s="85"/>
      <c r="H229" s="86"/>
      <c r="I229" s="21">
        <f>SUM(I224:I228)</f>
        <v>23400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thickTop="1" thickBo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1" t="s">
        <v>0</v>
      </c>
      <c r="B231" s="21" t="s">
        <v>71</v>
      </c>
      <c r="C231" s="21" t="s">
        <v>105</v>
      </c>
      <c r="D231" s="9">
        <v>45935</v>
      </c>
      <c r="E231" s="2"/>
      <c r="F231" s="21" t="s">
        <v>0</v>
      </c>
      <c r="G231" s="21" t="s">
        <v>106</v>
      </c>
      <c r="H231" s="21" t="s">
        <v>81</v>
      </c>
      <c r="I231" s="9">
        <v>45935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1" t="s">
        <v>6</v>
      </c>
      <c r="B232" s="21" t="s">
        <v>7</v>
      </c>
      <c r="C232" s="21" t="s">
        <v>8</v>
      </c>
      <c r="D232" s="21" t="s">
        <v>9</v>
      </c>
      <c r="E232" s="2"/>
      <c r="F232" s="21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21">
        <v>6</v>
      </c>
      <c r="B233" s="21">
        <v>500000</v>
      </c>
      <c r="C233" s="21">
        <f>VLOOKUP(A233&amp;"|"&amp;B233,$O$3:$P$16,2,FALSE)</f>
        <v>2600</v>
      </c>
      <c r="D233" s="21">
        <f>VLOOKUP(A233&amp;"|"&amp;B233,$Q$3:$R$16,2,FALSE)</f>
        <v>22400</v>
      </c>
      <c r="E233" s="2"/>
      <c r="F233" s="21">
        <v>6</v>
      </c>
      <c r="G233" s="21">
        <v>2000000</v>
      </c>
      <c r="H233" s="21">
        <f>VLOOKUP(F233&amp;"|"&amp;G233,$O$3:$P$19,2,FALSE)</f>
        <v>9500</v>
      </c>
      <c r="I233" s="21">
        <f>VLOOKUP(F233&amp;"|"&amp;G233,$Q$3:$R$19,2,FALSE)</f>
        <v>90500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1"/>
      <c r="B234" s="21"/>
      <c r="C234" s="21"/>
      <c r="D234" s="21"/>
      <c r="E234" s="2"/>
      <c r="F234" s="21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1"/>
      <c r="B235" s="21"/>
      <c r="C235" s="21"/>
      <c r="D235" s="21"/>
      <c r="E235" s="2"/>
      <c r="F235" s="21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1"/>
      <c r="B236" s="21"/>
      <c r="C236" s="21"/>
      <c r="D236" s="21"/>
      <c r="E236" s="2"/>
      <c r="F236" s="21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1"/>
      <c r="B237" s="21"/>
      <c r="C237" s="21"/>
      <c r="D237" s="21"/>
      <c r="E237" s="2"/>
      <c r="F237" s="21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1" t="s">
        <v>16</v>
      </c>
      <c r="B238" s="21"/>
      <c r="C238" s="21"/>
      <c r="D238" s="21">
        <f>SUM(D233:D237)</f>
        <v>22400</v>
      </c>
      <c r="E238" s="2"/>
      <c r="F238" s="84" t="s">
        <v>16</v>
      </c>
      <c r="G238" s="85"/>
      <c r="H238" s="86"/>
      <c r="I238" s="21">
        <f>SUM(I233:I237)</f>
        <v>90500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thickTop="1" thickBo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1" t="s">
        <v>0</v>
      </c>
      <c r="B240" s="21" t="s">
        <v>35</v>
      </c>
      <c r="C240" s="21" t="s">
        <v>58</v>
      </c>
      <c r="D240" s="9">
        <v>45935</v>
      </c>
      <c r="E240" s="2"/>
      <c r="F240" s="21" t="s">
        <v>0</v>
      </c>
      <c r="G240" s="21" t="s">
        <v>107</v>
      </c>
      <c r="H240" s="21" t="s">
        <v>108</v>
      </c>
      <c r="I240" s="9">
        <v>45935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1" t="s">
        <v>6</v>
      </c>
      <c r="B241" s="21" t="s">
        <v>7</v>
      </c>
      <c r="C241" s="21" t="s">
        <v>8</v>
      </c>
      <c r="D241" s="21" t="s">
        <v>9</v>
      </c>
      <c r="E241" s="2"/>
      <c r="F241" s="21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21">
        <v>1</v>
      </c>
      <c r="B242" s="21">
        <v>500000</v>
      </c>
      <c r="C242" s="21">
        <f>VLOOKUP(A242&amp;"|"&amp;B242,$O$3:$P$19,2,FALSE)</f>
        <v>4000</v>
      </c>
      <c r="D242" s="21">
        <f>VLOOKUP(A242&amp;"|"&amp;B242,$Q$3:$R$19,2,FALSE)</f>
        <v>21000</v>
      </c>
      <c r="E242" s="2"/>
      <c r="F242" s="21">
        <v>1</v>
      </c>
      <c r="G242" s="21">
        <v>1000000</v>
      </c>
      <c r="H242" s="21">
        <f>VLOOKUP(F242&amp;"|"&amp;G242,$O$3:$P$16,2,FALSE)</f>
        <v>8000</v>
      </c>
      <c r="I242" s="21">
        <f>VLOOKUP(F242&amp;"|"&amp;G242,$Q$3:$R$16,2,FALSE)</f>
        <v>42000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21">
        <v>1</v>
      </c>
      <c r="B243" s="21">
        <v>500000</v>
      </c>
      <c r="C243" s="21">
        <f>VLOOKUP(A243&amp;"|"&amp;B243,$O$3:$P$19,2,FALSE)</f>
        <v>4000</v>
      </c>
      <c r="D243" s="21">
        <f>VLOOKUP(A243&amp;"|"&amp;B243,$Q$3:$R$19,2,FALSE)</f>
        <v>21000</v>
      </c>
      <c r="E243" s="2"/>
      <c r="F243" s="21">
        <v>6</v>
      </c>
      <c r="G243" s="21">
        <v>2000000</v>
      </c>
      <c r="H243" s="21">
        <f>VLOOKUP(F243&amp;"|"&amp;G243,$O$3:$P$16,2,FALSE)</f>
        <v>9500</v>
      </c>
      <c r="I243" s="21">
        <f>VLOOKUP(F243&amp;"|"&amp;G243,$Q$3:$R$16,2,FALSE)</f>
        <v>90500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1"/>
      <c r="B244" s="21"/>
      <c r="C244" s="21"/>
      <c r="D244" s="21"/>
      <c r="E244" s="2"/>
      <c r="F244" s="21">
        <v>14</v>
      </c>
      <c r="G244" s="21">
        <v>500000</v>
      </c>
      <c r="H244" s="21">
        <f>VLOOKUP(F244&amp;"|"&amp;G244,$O$3:$P$16,2,FALSE)</f>
        <v>1000</v>
      </c>
      <c r="I244" s="21">
        <f>VLOOKUP(F244&amp;"|"&amp;G244,$Q$3:$R$16,2,FALSE)</f>
        <v>24000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1"/>
      <c r="B245" s="21"/>
      <c r="C245" s="21"/>
      <c r="D245" s="21"/>
      <c r="E245" s="2"/>
      <c r="F245" s="21">
        <v>14</v>
      </c>
      <c r="G245" s="21">
        <v>500000</v>
      </c>
      <c r="H245" s="21">
        <f>VLOOKUP(F245&amp;"|"&amp;G245,$O$3:$P$16,2,FALSE)</f>
        <v>1000</v>
      </c>
      <c r="I245" s="21">
        <f>VLOOKUP(F245&amp;"|"&amp;G245,$Q$3:$R$16,2,FALSE)</f>
        <v>24000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1"/>
      <c r="B246" s="21"/>
      <c r="C246" s="21"/>
      <c r="D246" s="21"/>
      <c r="E246" s="2"/>
      <c r="F246" s="21">
        <v>1.1000000000000001</v>
      </c>
      <c r="G246" s="21">
        <v>1000000</v>
      </c>
      <c r="H246" s="21">
        <f>VLOOKUP(F246&amp;"|"&amp;G246,$O$3:$P$16,2,FALSE)</f>
        <v>8550</v>
      </c>
      <c r="I246" s="21">
        <f>VLOOKUP(F246&amp;"|"&amp;G246,$Q$3:$R$16,2,FALSE)</f>
        <v>41450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1" t="s">
        <v>16</v>
      </c>
      <c r="B247" s="21"/>
      <c r="C247" s="21"/>
      <c r="D247" s="21">
        <f>SUM(D242:D246)</f>
        <v>42000</v>
      </c>
      <c r="E247" s="2"/>
      <c r="F247" s="84" t="s">
        <v>16</v>
      </c>
      <c r="G247" s="85"/>
      <c r="H247" s="86"/>
      <c r="I247" s="21">
        <f>SUM(I242:I246)</f>
        <v>221950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thickTop="1" thickBo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1" t="s">
        <v>0</v>
      </c>
      <c r="B249" s="21" t="s">
        <v>109</v>
      </c>
      <c r="C249" s="21" t="s">
        <v>110</v>
      </c>
      <c r="D249" s="9">
        <v>45935</v>
      </c>
      <c r="E249" s="2"/>
      <c r="F249" s="21" t="s">
        <v>0</v>
      </c>
      <c r="G249" s="21" t="s">
        <v>187</v>
      </c>
      <c r="H249" s="21" t="s">
        <v>38</v>
      </c>
      <c r="I249" s="9">
        <v>45935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1" t="s">
        <v>6</v>
      </c>
      <c r="B250" s="21" t="s">
        <v>7</v>
      </c>
      <c r="C250" s="21" t="s">
        <v>8</v>
      </c>
      <c r="D250" s="21" t="s">
        <v>9</v>
      </c>
      <c r="E250" s="2"/>
      <c r="F250" s="21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21">
        <v>1</v>
      </c>
      <c r="B251" s="21">
        <v>1000000</v>
      </c>
      <c r="C251" s="21">
        <f>VLOOKUP(A251&amp;"|"&amp;B251,$O$3:$P$16,2,FALSE)</f>
        <v>8000</v>
      </c>
      <c r="D251" s="21">
        <f>VLOOKUP(A251&amp;"|"&amp;B251,$Q$3:$R$16,2,FALSE)</f>
        <v>42000</v>
      </c>
      <c r="E251" s="2"/>
      <c r="F251" s="21">
        <v>11</v>
      </c>
      <c r="G251" s="21">
        <v>500000</v>
      </c>
      <c r="H251" s="21">
        <f>VLOOKUP(F251&amp;"|"&amp;G251,$O$3:$P$16,2,FALSE)</f>
        <v>1600</v>
      </c>
      <c r="I251" s="21">
        <f>VLOOKUP(F251&amp;"|"&amp;G251,$Q$3:$R$16,2,FALSE)</f>
        <v>23400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21">
        <v>1.1000000000000001</v>
      </c>
      <c r="B252" s="21">
        <v>1000000</v>
      </c>
      <c r="C252" s="21">
        <f>VLOOKUP(A252&amp;"|"&amp;B252,$O$3:$P$16,2,FALSE)</f>
        <v>8550</v>
      </c>
      <c r="D252" s="21">
        <f>VLOOKUP(A252&amp;"|"&amp;B252,$Q$3:$R$16,2,FALSE)</f>
        <v>41450</v>
      </c>
      <c r="E252" s="2"/>
      <c r="F252" s="21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1"/>
      <c r="B253" s="21"/>
      <c r="C253" s="21"/>
      <c r="D253" s="21"/>
      <c r="E253" s="2"/>
      <c r="F253" s="21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1"/>
      <c r="B254" s="21"/>
      <c r="C254" s="21"/>
      <c r="D254" s="21"/>
      <c r="E254" s="2"/>
      <c r="F254" s="21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1"/>
      <c r="B255" s="21"/>
      <c r="C255" s="21"/>
      <c r="D255" s="21"/>
      <c r="E255" s="2"/>
      <c r="F255" s="21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1" t="s">
        <v>16</v>
      </c>
      <c r="B256" s="21"/>
      <c r="C256" s="21"/>
      <c r="D256" s="21">
        <f>SUM(D251:D255)</f>
        <v>83450</v>
      </c>
      <c r="E256" s="2"/>
      <c r="F256" s="84" t="s">
        <v>16</v>
      </c>
      <c r="G256" s="85"/>
      <c r="H256" s="86"/>
      <c r="I256" s="21">
        <f>SUM(I251:I255)</f>
        <v>23400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thickTop="1" thickBo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1" t="s">
        <v>0</v>
      </c>
      <c r="B258" s="21" t="s">
        <v>111</v>
      </c>
      <c r="C258" s="21" t="s">
        <v>18</v>
      </c>
      <c r="D258" s="9">
        <v>45935</v>
      </c>
      <c r="E258" s="2"/>
      <c r="F258" s="21" t="s">
        <v>0</v>
      </c>
      <c r="G258" s="21" t="s">
        <v>112</v>
      </c>
      <c r="H258" s="21" t="s">
        <v>113</v>
      </c>
      <c r="I258" s="9">
        <v>45935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1" t="s">
        <v>6</v>
      </c>
      <c r="B259" s="21" t="s">
        <v>7</v>
      </c>
      <c r="C259" s="21" t="s">
        <v>8</v>
      </c>
      <c r="D259" s="21" t="s">
        <v>9</v>
      </c>
      <c r="E259" s="2"/>
      <c r="F259" s="21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21">
        <v>17</v>
      </c>
      <c r="B260" s="21">
        <v>500000</v>
      </c>
      <c r="C260" s="21">
        <f>VLOOKUP(A260&amp;"|"&amp;B260,$O$3:$P$18,2,FALSE)</f>
        <v>300</v>
      </c>
      <c r="D260" s="21">
        <f>VLOOKUP(A260&amp;"|"&amp;B260,$Q$3:$R$18,2,FALSE)</f>
        <v>24700</v>
      </c>
      <c r="E260" s="2"/>
      <c r="F260" s="21">
        <v>1</v>
      </c>
      <c r="G260" s="21">
        <v>500000</v>
      </c>
      <c r="H260" s="21">
        <f>VLOOKUP(F260&amp;"|"&amp;G260,$O$3:$P$16,2,FALSE)</f>
        <v>4000</v>
      </c>
      <c r="I260" s="21">
        <f>VLOOKUP(F260&amp;"|"&amp;G260,$Q$3:$R$16,2,FALSE)</f>
        <v>21000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21">
        <v>6</v>
      </c>
      <c r="B261" s="21">
        <v>1000000</v>
      </c>
      <c r="C261" s="21">
        <f>VLOOKUP(A261&amp;"|"&amp;B261,$O$3:$P$18,2,FALSE)</f>
        <v>5300</v>
      </c>
      <c r="D261" s="21">
        <f>VLOOKUP(A261&amp;"|"&amp;B261,$Q$3:$R$18,2,FALSE)</f>
        <v>44700</v>
      </c>
      <c r="E261" s="2"/>
      <c r="F261" s="21">
        <v>1</v>
      </c>
      <c r="G261" s="21">
        <v>500000</v>
      </c>
      <c r="H261" s="21">
        <f>VLOOKUP(F261&amp;"|"&amp;G261,$O$3:$P$16,2,FALSE)</f>
        <v>4000</v>
      </c>
      <c r="I261" s="21">
        <f>VLOOKUP(F261&amp;"|"&amp;G261,$Q$3:$R$16,2,FALSE)</f>
        <v>21000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1"/>
      <c r="B262" s="21"/>
      <c r="C262" s="21"/>
      <c r="D262" s="21"/>
      <c r="E262" s="2"/>
      <c r="F262" s="21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1"/>
      <c r="B263" s="21"/>
      <c r="C263" s="21"/>
      <c r="D263" s="21"/>
      <c r="E263" s="2"/>
      <c r="F263" s="21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1"/>
      <c r="B264" s="21"/>
      <c r="C264" s="21"/>
      <c r="D264" s="21"/>
      <c r="E264" s="2"/>
      <c r="F264" s="21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1" t="s">
        <v>16</v>
      </c>
      <c r="B265" s="21"/>
      <c r="C265" s="21"/>
      <c r="D265" s="21">
        <f>SUM(D260:D264)</f>
        <v>69400</v>
      </c>
      <c r="E265" s="2"/>
      <c r="F265" s="84" t="s">
        <v>16</v>
      </c>
      <c r="G265" s="85"/>
      <c r="H265" s="86"/>
      <c r="I265" s="21">
        <f>SUM(I260:I264)</f>
        <v>42000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thickTop="1" thickBo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1" t="s">
        <v>0</v>
      </c>
      <c r="B267" s="21" t="s">
        <v>114</v>
      </c>
      <c r="C267" s="21" t="s">
        <v>24</v>
      </c>
      <c r="D267" s="9">
        <v>45935</v>
      </c>
      <c r="E267" s="2"/>
      <c r="F267" s="21" t="s">
        <v>0</v>
      </c>
      <c r="G267" s="21" t="s">
        <v>21</v>
      </c>
      <c r="H267" s="21" t="s">
        <v>43</v>
      </c>
      <c r="I267" s="9">
        <v>45935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1" t="s">
        <v>6</v>
      </c>
      <c r="B268" s="21" t="s">
        <v>7</v>
      </c>
      <c r="C268" s="21" t="s">
        <v>8</v>
      </c>
      <c r="D268" s="21" t="s">
        <v>9</v>
      </c>
      <c r="E268" s="2"/>
      <c r="F268" s="21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21">
        <v>6</v>
      </c>
      <c r="B269" s="21">
        <v>500000</v>
      </c>
      <c r="C269" s="21">
        <f>VLOOKUP(A269&amp;"|"&amp;B269,$O$3:$P$17,2,FALSE)</f>
        <v>2600</v>
      </c>
      <c r="D269" s="21">
        <f>VLOOKUP(A269&amp;"|"&amp;B269,$Q$3:$R$16,2,FALSE)</f>
        <v>22400</v>
      </c>
      <c r="E269" s="2"/>
      <c r="F269" s="21">
        <v>6</v>
      </c>
      <c r="G269" s="21">
        <v>500000</v>
      </c>
      <c r="H269" s="21">
        <f>VLOOKUP(F269&amp;"|"&amp;G269,$O$3:$P$16,2,FALSE)</f>
        <v>2600</v>
      </c>
      <c r="I269" s="21">
        <f>VLOOKUP(F269&amp;"|"&amp;G269,$Q$3:$R$16,2,FALSE)</f>
        <v>22400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1"/>
      <c r="B270" s="21"/>
      <c r="C270" s="21"/>
      <c r="D270" s="21"/>
      <c r="E270" s="2"/>
      <c r="F270" s="21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1"/>
      <c r="B271" s="21"/>
      <c r="C271" s="21"/>
      <c r="D271" s="21"/>
      <c r="E271" s="2"/>
      <c r="F271" s="21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1"/>
      <c r="B272" s="21"/>
      <c r="C272" s="21"/>
      <c r="D272" s="21"/>
      <c r="E272" s="2"/>
      <c r="F272" s="21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1"/>
      <c r="B273" s="21"/>
      <c r="C273" s="21"/>
      <c r="D273" s="21"/>
      <c r="E273" s="2"/>
      <c r="F273" s="21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1" t="s">
        <v>16</v>
      </c>
      <c r="B274" s="21"/>
      <c r="C274" s="21"/>
      <c r="D274" s="21">
        <f>SUM(D269:D273)</f>
        <v>22400</v>
      </c>
      <c r="E274" s="2"/>
      <c r="F274" s="84" t="s">
        <v>16</v>
      </c>
      <c r="G274" s="85"/>
      <c r="H274" s="86"/>
      <c r="I274" s="21">
        <f>SUM(I269:I273)</f>
        <v>22400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thickTop="1" thickBo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1" t="s">
        <v>0</v>
      </c>
      <c r="B276" s="21" t="s">
        <v>115</v>
      </c>
      <c r="C276" s="21" t="s">
        <v>28</v>
      </c>
      <c r="D276" s="9">
        <v>45935</v>
      </c>
      <c r="E276" s="2"/>
      <c r="F276" s="21" t="s">
        <v>0</v>
      </c>
      <c r="G276" s="21" t="s">
        <v>61</v>
      </c>
      <c r="H276" s="21" t="s">
        <v>28</v>
      </c>
      <c r="I276" s="9">
        <v>45935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1" t="s">
        <v>6</v>
      </c>
      <c r="B277" s="21" t="s">
        <v>7</v>
      </c>
      <c r="C277" s="21" t="s">
        <v>8</v>
      </c>
      <c r="D277" s="21" t="s">
        <v>9</v>
      </c>
      <c r="E277" s="2"/>
      <c r="F277" s="21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21">
        <v>6</v>
      </c>
      <c r="B278" s="21">
        <v>1000000</v>
      </c>
      <c r="C278" s="21">
        <f>VLOOKUP(A278&amp;"|"&amp;B278,$O$3:$P$16,2,FALSE)</f>
        <v>5300</v>
      </c>
      <c r="D278" s="21">
        <f>VLOOKUP(A278&amp;"|"&amp;B278,$Q$3:$R$16,2,FALSE)</f>
        <v>44700</v>
      </c>
      <c r="E278" s="2"/>
      <c r="F278" s="21">
        <v>6</v>
      </c>
      <c r="G278" s="21">
        <v>1000000</v>
      </c>
      <c r="H278" s="21">
        <f>VLOOKUP(F278&amp;"|"&amp;G278,$O$3:$P$18,2,FALSE)</f>
        <v>5300</v>
      </c>
      <c r="I278" s="21">
        <f>VLOOKUP(F278&amp;"|"&amp;G278,$Q$3:$R$18,2,FALSE)</f>
        <v>44700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21">
        <v>1</v>
      </c>
      <c r="B279" s="21">
        <v>1000000</v>
      </c>
      <c r="C279" s="21">
        <f>VLOOKUP(A279&amp;"|"&amp;B279,$O$3:$P$16,2,FALSE)</f>
        <v>8000</v>
      </c>
      <c r="D279" s="21">
        <f>VLOOKUP(A279&amp;"|"&amp;B279,$Q$3:$R$16,2,FALSE)</f>
        <v>42000</v>
      </c>
      <c r="E279" s="2"/>
      <c r="F279" s="21">
        <v>1</v>
      </c>
      <c r="G279" s="21">
        <v>500000</v>
      </c>
      <c r="H279" s="21">
        <f>VLOOKUP(F279&amp;"|"&amp;G279,$O$3:$P$16,2,FALSE)</f>
        <v>4000</v>
      </c>
      <c r="I279" s="21">
        <f>VLOOKUP(F279&amp;"|"&amp;G279,$Q$3:$R$16,2,FALSE)</f>
        <v>21000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1"/>
      <c r="B280" s="21"/>
      <c r="C280" s="21"/>
      <c r="D280" s="21"/>
      <c r="E280" s="2"/>
      <c r="F280" s="21">
        <v>14</v>
      </c>
      <c r="G280" s="21">
        <v>500000</v>
      </c>
      <c r="H280" s="21">
        <f>VLOOKUP(F280&amp;"|"&amp;G280,$O$3:$P$16,2,FALSE)</f>
        <v>1000</v>
      </c>
      <c r="I280" s="21">
        <f>VLOOKUP(F280&amp;"|"&amp;G280,$Q$3:$R$16,2,FALSE)</f>
        <v>24000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1"/>
      <c r="B281" s="21"/>
      <c r="C281" s="21"/>
      <c r="D281" s="21"/>
      <c r="E281" s="2"/>
      <c r="F281" s="21">
        <v>14</v>
      </c>
      <c r="G281" s="21">
        <v>500000</v>
      </c>
      <c r="H281" s="21">
        <f>VLOOKUP(F281&amp;"|"&amp;G281,$O$3:$P$16,2,FALSE)</f>
        <v>1000</v>
      </c>
      <c r="I281" s="21">
        <f>VLOOKUP(F281&amp;"|"&amp;G281,$Q$3:$R$16,2,FALSE)</f>
        <v>24000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1"/>
      <c r="B282" s="21"/>
      <c r="C282" s="21"/>
      <c r="D282" s="21"/>
      <c r="E282" s="2"/>
      <c r="F282" s="21">
        <v>6</v>
      </c>
      <c r="G282" s="21">
        <v>1000000</v>
      </c>
      <c r="H282" s="21">
        <f>VLOOKUP(F282&amp;"|"&amp;G282,$O$3:$P$16,2,FALSE)</f>
        <v>5300</v>
      </c>
      <c r="I282" s="21">
        <f>VLOOKUP(F282&amp;"|"&amp;G282,$Q$3:$R$16,2,FALSE)</f>
        <v>44700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1"/>
      <c r="B283" s="21"/>
      <c r="C283" s="21"/>
      <c r="D283" s="21"/>
      <c r="E283" s="2"/>
      <c r="F283" s="21">
        <v>11</v>
      </c>
      <c r="G283" s="21">
        <v>500000</v>
      </c>
      <c r="H283" s="21">
        <f>VLOOKUP(F283&amp;"|"&amp;G283,$O$3:$P$16,2,FALSE)</f>
        <v>1600</v>
      </c>
      <c r="I283" s="21">
        <f>VLOOKUP(F283&amp;"|"&amp;G283,$Q$3:$R$16,2,FALSE)</f>
        <v>23400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1" t="s">
        <v>16</v>
      </c>
      <c r="B284" s="21"/>
      <c r="C284" s="21"/>
      <c r="D284" s="21">
        <f>SUM(D278:D283)</f>
        <v>86700</v>
      </c>
      <c r="E284" s="2"/>
      <c r="F284" s="84" t="s">
        <v>16</v>
      </c>
      <c r="G284" s="85"/>
      <c r="H284" s="86"/>
      <c r="I284" s="21">
        <f>SUM(I278:I283)</f>
        <v>181800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10"/>
      <c r="B285" s="10"/>
      <c r="C285" s="10"/>
      <c r="D285" s="10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2" t="s">
        <v>0</v>
      </c>
      <c r="B286" s="12" t="s">
        <v>116</v>
      </c>
      <c r="C286" s="12" t="s">
        <v>34</v>
      </c>
      <c r="D286" s="9">
        <v>45935</v>
      </c>
      <c r="E286" s="2"/>
      <c r="F286" s="21" t="s">
        <v>0</v>
      </c>
      <c r="G286" s="21" t="s">
        <v>73</v>
      </c>
      <c r="H286" s="21" t="s">
        <v>76</v>
      </c>
      <c r="I286" s="9">
        <v>45935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1" t="s">
        <v>6</v>
      </c>
      <c r="B287" s="21" t="s">
        <v>7</v>
      </c>
      <c r="C287" s="21" t="s">
        <v>8</v>
      </c>
      <c r="D287" s="21" t="s">
        <v>9</v>
      </c>
      <c r="E287" s="2"/>
      <c r="F287" s="21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21">
        <v>6</v>
      </c>
      <c r="B288" s="21">
        <v>2000000</v>
      </c>
      <c r="C288" s="21">
        <f>VLOOKUP(A288&amp;"|"&amp;B288,$O$3:$P$17,2,FALSE)</f>
        <v>9500</v>
      </c>
      <c r="D288" s="21">
        <f>VLOOKUP(A288&amp;"|"&amp;B288,$Q$3:$R$17,2,FALSE)</f>
        <v>90500</v>
      </c>
      <c r="E288" s="2"/>
      <c r="F288" s="21">
        <v>6</v>
      </c>
      <c r="G288" s="21">
        <v>1000000</v>
      </c>
      <c r="H288" s="21">
        <f>VLOOKUP(F288&amp;"|"&amp;G288,$O$3:$P$16,2,FALSE)</f>
        <v>5300</v>
      </c>
      <c r="I288" s="21">
        <f>VLOOKUP(F288&amp;"|"&amp;G288,$Q$3:$R$16,2,FALSE)</f>
        <v>44700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21">
        <v>6</v>
      </c>
      <c r="B289" s="21">
        <v>500000</v>
      </c>
      <c r="C289" s="21">
        <f>VLOOKUP(A289&amp;"|"&amp;B289,$O$3:$P$17,2,FALSE)</f>
        <v>2600</v>
      </c>
      <c r="D289" s="21">
        <f>VLOOKUP(A289&amp;"|"&amp;B289,$Q$3:$R$17,2,FALSE)</f>
        <v>22400</v>
      </c>
      <c r="E289" s="2"/>
      <c r="F289" s="21">
        <v>11</v>
      </c>
      <c r="G289" s="21">
        <v>500000</v>
      </c>
      <c r="H289" s="21">
        <f>VLOOKUP(F289&amp;"|"&amp;G289,$O$3:$P$16,2,FALSE)</f>
        <v>1600</v>
      </c>
      <c r="I289" s="21">
        <f>VLOOKUP(F289&amp;"|"&amp;G289,$Q$3:$R$16,2,FALSE)</f>
        <v>23400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1"/>
      <c r="B290" s="21"/>
      <c r="C290" s="21"/>
      <c r="D290" s="21"/>
      <c r="E290" s="2"/>
      <c r="F290" s="21">
        <v>14</v>
      </c>
      <c r="G290" s="21">
        <v>500000</v>
      </c>
      <c r="H290" s="21">
        <f>VLOOKUP(F290&amp;"|"&amp;G290,$O$3:$P$16,2,FALSE)</f>
        <v>1000</v>
      </c>
      <c r="I290" s="21">
        <f>VLOOKUP(F290&amp;"|"&amp;G290,$Q$3:$R$16,2,FALSE)</f>
        <v>24000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1"/>
      <c r="B291" s="21"/>
      <c r="C291" s="21"/>
      <c r="D291" s="21"/>
      <c r="E291" s="2"/>
      <c r="F291" s="21">
        <v>14</v>
      </c>
      <c r="G291" s="21">
        <v>500000</v>
      </c>
      <c r="H291" s="21">
        <f>VLOOKUP(F291&amp;"|"&amp;G291,$O$3:$P$16,2,FALSE)</f>
        <v>1000</v>
      </c>
      <c r="I291" s="21">
        <f>VLOOKUP(F291&amp;"|"&amp;G291,$Q$3:$R$16,2,FALSE)</f>
        <v>24000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1"/>
      <c r="B292" s="21"/>
      <c r="C292" s="21"/>
      <c r="D292" s="21"/>
      <c r="E292" s="2"/>
      <c r="F292" s="21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59" t="s">
        <v>49</v>
      </c>
      <c r="B293" s="53"/>
      <c r="C293" s="54"/>
      <c r="D293" s="21">
        <f>SUM(D288:D292)</f>
        <v>112900</v>
      </c>
      <c r="E293" s="2"/>
      <c r="F293" s="84" t="s">
        <v>16</v>
      </c>
      <c r="G293" s="85"/>
      <c r="H293" s="86"/>
      <c r="I293" s="21">
        <f>SUM(I288:I292)</f>
        <v>116100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thickTop="1" thickBo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1" t="s">
        <v>0</v>
      </c>
      <c r="B295" s="21" t="s">
        <v>117</v>
      </c>
      <c r="C295" s="21" t="s">
        <v>24</v>
      </c>
      <c r="D295" s="9">
        <v>45935</v>
      </c>
      <c r="E295" s="2"/>
      <c r="F295" s="21" t="s">
        <v>0</v>
      </c>
      <c r="G295" s="21" t="s">
        <v>118</v>
      </c>
      <c r="H295" s="21" t="s">
        <v>119</v>
      </c>
      <c r="I295" s="9">
        <v>45935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1" t="s">
        <v>6</v>
      </c>
      <c r="B296" s="21" t="s">
        <v>7</v>
      </c>
      <c r="C296" s="21" t="s">
        <v>8</v>
      </c>
      <c r="D296" s="21" t="s">
        <v>9</v>
      </c>
      <c r="E296" s="2"/>
      <c r="F296" s="21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21">
        <v>6</v>
      </c>
      <c r="B297" s="21">
        <v>2000000</v>
      </c>
      <c r="C297" s="21">
        <f>VLOOKUP(A297&amp;"|"&amp;B297,$O$3:$P$16,2,FALSE)</f>
        <v>9500</v>
      </c>
      <c r="D297" s="21">
        <f>VLOOKUP(A297&amp;"|"&amp;B297,$Q$3:$R$16,2,FALSE)</f>
        <v>90500</v>
      </c>
      <c r="E297" s="2"/>
      <c r="F297" s="21">
        <v>6</v>
      </c>
      <c r="G297" s="21">
        <v>2000000</v>
      </c>
      <c r="H297" s="21">
        <f>VLOOKUP(F297&amp;"|"&amp;G297,$O$3:$P$16,2,FALSE)</f>
        <v>9500</v>
      </c>
      <c r="I297" s="21">
        <f>VLOOKUP(F297&amp;"|"&amp;G297,$Q$3:$R$16,2,FALSE)</f>
        <v>90500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21">
        <v>14</v>
      </c>
      <c r="B298" s="21">
        <v>500000</v>
      </c>
      <c r="C298" s="21">
        <f>VLOOKUP(A298&amp;"|"&amp;B298,$O$3:$P$16,2,FALSE)</f>
        <v>1000</v>
      </c>
      <c r="D298" s="21">
        <f>VLOOKUP(A298&amp;"|"&amp;B298,$Q$3:$R$16,2,FALSE)</f>
        <v>24000</v>
      </c>
      <c r="E298" s="2"/>
      <c r="F298" s="21">
        <v>6</v>
      </c>
      <c r="G298" s="21">
        <v>1000000</v>
      </c>
      <c r="H298" s="21">
        <f>VLOOKUP(F298&amp;"|"&amp;G298,$O$3:$P$16,2,FALSE)</f>
        <v>5300</v>
      </c>
      <c r="I298" s="21">
        <f>VLOOKUP(F298&amp;"|"&amp;G298,$Q$3:$R$16,2,FALSE)</f>
        <v>44700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21">
        <v>17</v>
      </c>
      <c r="B299" s="21">
        <v>1000000</v>
      </c>
      <c r="C299" s="21">
        <f>VLOOKUP(A299&amp;"|"&amp;B299,$O$3:$P$17,2,FALSE)</f>
        <v>350</v>
      </c>
      <c r="D299" s="21">
        <f>VLOOKUP(A299&amp;"|"&amp;B299,$Q$3:$R$17,2,FALSE)</f>
        <v>49650</v>
      </c>
      <c r="E299" s="2"/>
      <c r="F299" s="21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1"/>
      <c r="B300" s="21"/>
      <c r="C300" s="21"/>
      <c r="D300" s="21"/>
      <c r="E300" s="2"/>
      <c r="F300" s="21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1"/>
      <c r="B301" s="21"/>
      <c r="C301" s="21"/>
      <c r="D301" s="21"/>
      <c r="E301" s="2"/>
      <c r="F301" s="21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1" t="s">
        <v>16</v>
      </c>
      <c r="B302" s="21"/>
      <c r="C302" s="21"/>
      <c r="D302" s="21">
        <f>SUM(D297:D301)</f>
        <v>164150</v>
      </c>
      <c r="E302" s="2"/>
      <c r="F302" s="84" t="s">
        <v>16</v>
      </c>
      <c r="G302" s="85"/>
      <c r="H302" s="86"/>
      <c r="I302" s="21">
        <f>SUM(I297:I301)</f>
        <v>135200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thickTop="1" thickBot="1">
      <c r="A303" s="2"/>
      <c r="B303" s="2"/>
      <c r="C303" s="2" t="s">
        <v>191</v>
      </c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1" t="s">
        <v>0</v>
      </c>
      <c r="B304" s="21" t="s">
        <v>35</v>
      </c>
      <c r="C304" s="21" t="s">
        <v>120</v>
      </c>
      <c r="D304" s="9">
        <v>45935</v>
      </c>
      <c r="E304" s="2"/>
      <c r="F304" s="21" t="s">
        <v>0</v>
      </c>
      <c r="G304" s="21" t="s">
        <v>121</v>
      </c>
      <c r="H304" s="21" t="s">
        <v>28</v>
      </c>
      <c r="I304" s="9">
        <v>45935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1" t="s">
        <v>6</v>
      </c>
      <c r="B305" s="21" t="s">
        <v>7</v>
      </c>
      <c r="C305" s="21" t="s">
        <v>8</v>
      </c>
      <c r="D305" s="21" t="s">
        <v>9</v>
      </c>
      <c r="E305" s="2"/>
      <c r="F305" s="21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21">
        <v>6</v>
      </c>
      <c r="B306" s="21">
        <v>1000000</v>
      </c>
      <c r="C306" s="21">
        <f>VLOOKUP(A306&amp;"|"&amp;B306,$O$3:$P$17,2,FALSE)</f>
        <v>5300</v>
      </c>
      <c r="D306" s="21">
        <f>VLOOKUP(A306&amp;"|"&amp;B306,$Q$3:$R$17,2,FALSE)</f>
        <v>44700</v>
      </c>
      <c r="E306" s="2"/>
      <c r="F306" s="21">
        <v>6</v>
      </c>
      <c r="G306" s="21">
        <v>1000000</v>
      </c>
      <c r="H306" s="21">
        <f>VLOOKUP(F306&amp;"|"&amp;G306,$O$3:$P$18,2,FALSE)</f>
        <v>5300</v>
      </c>
      <c r="I306" s="21">
        <f>VLOOKUP(F306&amp;"|"&amp;G306,$Q$3:$R$17,2,FALSE)</f>
        <v>44700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21">
        <v>1</v>
      </c>
      <c r="B307" s="21">
        <v>1000000</v>
      </c>
      <c r="C307" s="21">
        <f>VLOOKUP(A307&amp;"|"&amp;B307,$O$3:$P$16,2,FALSE)</f>
        <v>8000</v>
      </c>
      <c r="D307" s="21">
        <f>VLOOKUP(A307&amp;"|"&amp;B307,$Q$3:$R$16,2,FALSE)</f>
        <v>42000</v>
      </c>
      <c r="E307" s="2"/>
      <c r="F307" s="21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1"/>
      <c r="B308" s="21"/>
      <c r="C308" s="21"/>
      <c r="D308" s="21"/>
      <c r="E308" s="2"/>
      <c r="F308" s="21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1"/>
      <c r="B309" s="21"/>
      <c r="C309" s="21"/>
      <c r="D309" s="21"/>
      <c r="E309" s="2"/>
      <c r="F309" s="21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1"/>
      <c r="B310" s="21"/>
      <c r="C310" s="21"/>
      <c r="D310" s="21"/>
      <c r="E310" s="2"/>
      <c r="F310" s="21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1" t="s">
        <v>16</v>
      </c>
      <c r="B311" s="21"/>
      <c r="C311" s="21"/>
      <c r="D311" s="21">
        <f>SUM(D306:D310)</f>
        <v>86700</v>
      </c>
      <c r="E311" s="2"/>
      <c r="F311" s="84" t="s">
        <v>16</v>
      </c>
      <c r="G311" s="85"/>
      <c r="H311" s="86"/>
      <c r="I311" s="21">
        <f>SUM(I306:I310)</f>
        <v>44700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thickTop="1" thickBo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1" t="s">
        <v>0</v>
      </c>
      <c r="B313" s="21" t="s">
        <v>122</v>
      </c>
      <c r="C313" s="21" t="s">
        <v>76</v>
      </c>
      <c r="D313" s="9">
        <v>45935</v>
      </c>
      <c r="E313" s="2"/>
      <c r="F313" s="21" t="s">
        <v>0</v>
      </c>
      <c r="G313" s="21" t="s">
        <v>61</v>
      </c>
      <c r="H313" s="21" t="s">
        <v>123</v>
      </c>
      <c r="I313" s="9">
        <v>45935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1" t="s">
        <v>6</v>
      </c>
      <c r="B314" s="21" t="s">
        <v>7</v>
      </c>
      <c r="C314" s="21" t="s">
        <v>8</v>
      </c>
      <c r="D314" s="21" t="s">
        <v>9</v>
      </c>
      <c r="E314" s="2"/>
      <c r="F314" s="21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21">
        <v>6</v>
      </c>
      <c r="B315" s="21">
        <v>500000</v>
      </c>
      <c r="C315" s="21">
        <f>VLOOKUP(A315&amp;"|"&amp;B315,$O$3:$P$16,2,FALSE)</f>
        <v>2600</v>
      </c>
      <c r="D315" s="21">
        <f>VLOOKUP(A315&amp;"|"&amp;B315,$Q$3:$R$16,2,FALSE)</f>
        <v>22400</v>
      </c>
      <c r="E315" s="2"/>
      <c r="F315" s="21">
        <v>17</v>
      </c>
      <c r="G315" s="21">
        <v>500000</v>
      </c>
      <c r="H315" s="21">
        <f>VLOOKUP(F315&amp;"|"&amp;G315,$O$3:$P$16,2,FALSE)</f>
        <v>300</v>
      </c>
      <c r="I315" s="21">
        <f>VLOOKUP(F315&amp;"|"&amp;G315,$Q$3:$R$16,2,FALSE)</f>
        <v>24700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21">
        <v>11</v>
      </c>
      <c r="B316" s="21">
        <v>500000</v>
      </c>
      <c r="C316" s="21">
        <f>VLOOKUP(A316&amp;"|"&amp;B316,$O$3:$P$16,2,FALSE)</f>
        <v>1600</v>
      </c>
      <c r="D316" s="21">
        <f>VLOOKUP(A316&amp;"|"&amp;B316,$Q$3:$R$16,2,FALSE)</f>
        <v>23400</v>
      </c>
      <c r="E316" s="2"/>
      <c r="F316" s="21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1"/>
      <c r="B317" s="21"/>
      <c r="C317" s="21"/>
      <c r="D317" s="21"/>
      <c r="E317" s="2"/>
      <c r="F317" s="21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1"/>
      <c r="B318" s="21"/>
      <c r="C318" s="21"/>
      <c r="D318" s="21"/>
      <c r="E318" s="2"/>
      <c r="F318" s="21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1"/>
      <c r="B319" s="21"/>
      <c r="C319" s="21"/>
      <c r="D319" s="21"/>
      <c r="E319" s="2"/>
      <c r="F319" s="21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1" t="s">
        <v>16</v>
      </c>
      <c r="B320" s="21"/>
      <c r="C320" s="21"/>
      <c r="D320" s="21">
        <f>SUM(D315:D319)</f>
        <v>45800</v>
      </c>
      <c r="E320" s="2"/>
      <c r="F320" s="84" t="s">
        <v>16</v>
      </c>
      <c r="G320" s="85"/>
      <c r="H320" s="86"/>
      <c r="I320" s="21">
        <f>SUM(I315:I319)</f>
        <v>24700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thickTop="1" thickBo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1" t="s">
        <v>0</v>
      </c>
      <c r="B322" s="21" t="s">
        <v>124</v>
      </c>
      <c r="C322" s="21" t="s">
        <v>125</v>
      </c>
      <c r="D322" s="9">
        <v>45935</v>
      </c>
      <c r="E322" s="2"/>
      <c r="F322" s="21" t="s">
        <v>0</v>
      </c>
      <c r="G322" s="21" t="s">
        <v>126</v>
      </c>
      <c r="H322" s="21" t="s">
        <v>22</v>
      </c>
      <c r="I322" s="9">
        <v>45935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1" t="s">
        <v>6</v>
      </c>
      <c r="B323" s="21" t="s">
        <v>7</v>
      </c>
      <c r="C323" s="21" t="s">
        <v>8</v>
      </c>
      <c r="D323" s="21" t="s">
        <v>9</v>
      </c>
      <c r="E323" s="2"/>
      <c r="F323" s="21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21">
        <v>1</v>
      </c>
      <c r="B324" s="21">
        <v>500000</v>
      </c>
      <c r="C324" s="21">
        <f>VLOOKUP(A324&amp;"|"&amp;B324,$O$3:$P$16,2,FALSE)</f>
        <v>4000</v>
      </c>
      <c r="D324" s="21">
        <f>VLOOKUP(A324&amp;"|"&amp;B324,$Q$3:$R$16,2,FALSE)</f>
        <v>21000</v>
      </c>
      <c r="E324" s="2"/>
      <c r="F324" s="21">
        <v>11</v>
      </c>
      <c r="G324" s="21">
        <v>500000</v>
      </c>
      <c r="H324" s="21">
        <f>VLOOKUP(F324&amp;"|"&amp;G324,$O$3:$P$16,2,FALSE)</f>
        <v>1600</v>
      </c>
      <c r="I324" s="21">
        <f>VLOOKUP(F324&amp;"|"&amp;G324,$Q$3:$R$16,2,FALSE)</f>
        <v>23400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1"/>
      <c r="B325" s="21"/>
      <c r="C325" s="21"/>
      <c r="D325" s="21"/>
      <c r="E325" s="2"/>
      <c r="F325" s="21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1"/>
      <c r="B326" s="21"/>
      <c r="C326" s="21"/>
      <c r="D326" s="21"/>
      <c r="E326" s="2"/>
      <c r="F326" s="21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1"/>
      <c r="B327" s="21"/>
      <c r="C327" s="21"/>
      <c r="D327" s="21"/>
      <c r="E327" s="10"/>
      <c r="F327" s="21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1"/>
      <c r="B328" s="21"/>
      <c r="C328" s="21"/>
      <c r="D328" s="21"/>
      <c r="E328" s="2"/>
      <c r="F328" s="21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1" t="s">
        <v>16</v>
      </c>
      <c r="B329" s="21"/>
      <c r="C329" s="21"/>
      <c r="D329" s="21">
        <f>SUM(D324:D328)</f>
        <v>21000</v>
      </c>
      <c r="E329" s="2"/>
      <c r="F329" s="84" t="s">
        <v>16</v>
      </c>
      <c r="G329" s="85"/>
      <c r="H329" s="86"/>
      <c r="I329" s="21">
        <f>SUM(I324:I328)</f>
        <v>23400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thickTop="1" thickBo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1" t="s">
        <v>0</v>
      </c>
      <c r="B331" s="21" t="s">
        <v>127</v>
      </c>
      <c r="C331" s="21" t="s">
        <v>24</v>
      </c>
      <c r="D331" s="9">
        <v>45935</v>
      </c>
      <c r="E331" s="2"/>
      <c r="F331" s="21" t="s">
        <v>0</v>
      </c>
      <c r="G331" s="21" t="s">
        <v>73</v>
      </c>
      <c r="H331" s="21" t="s">
        <v>18</v>
      </c>
      <c r="I331" s="9">
        <v>45935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1" t="s">
        <v>6</v>
      </c>
      <c r="B332" s="21" t="s">
        <v>7</v>
      </c>
      <c r="C332" s="21" t="s">
        <v>8</v>
      </c>
      <c r="D332" s="21" t="s">
        <v>9</v>
      </c>
      <c r="E332" s="2"/>
      <c r="F332" s="21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21">
        <v>11</v>
      </c>
      <c r="B333" s="21">
        <v>500000</v>
      </c>
      <c r="C333" s="21">
        <f>VLOOKUP(A333&amp;"|"&amp;B333,$O$3:$P$16,2,FALSE)</f>
        <v>1600</v>
      </c>
      <c r="D333" s="21">
        <f>VLOOKUP(A333&amp;"|"&amp;B333,$Q$3:$R$16,2,FALSE)</f>
        <v>23400</v>
      </c>
      <c r="E333" s="2"/>
      <c r="F333" s="21">
        <v>11</v>
      </c>
      <c r="G333" s="21">
        <v>500000</v>
      </c>
      <c r="H333" s="21">
        <f>VLOOKUP(F333&amp;"|"&amp;G333,$O$3:$P$16,2,FALSE)</f>
        <v>1600</v>
      </c>
      <c r="I333" s="21">
        <f>VLOOKUP(F333&amp;"|"&amp;G333,$Q$3:$R$16,2,FALSE)</f>
        <v>23400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21">
        <v>14</v>
      </c>
      <c r="B334" s="21">
        <v>500000</v>
      </c>
      <c r="C334" s="21">
        <f>VLOOKUP(A334&amp;"|"&amp;B334,$O$3:$P$16,2,FALSE)</f>
        <v>1000</v>
      </c>
      <c r="D334" s="21">
        <f>VLOOKUP(A334&amp;"|"&amp;B334,$Q$3:$R$16,2,FALSE)</f>
        <v>24000</v>
      </c>
      <c r="E334" s="2"/>
      <c r="F334" s="21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1"/>
      <c r="B335" s="21"/>
      <c r="C335" s="21"/>
      <c r="D335" s="21"/>
      <c r="E335" s="2"/>
      <c r="F335" s="21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1"/>
      <c r="B336" s="21"/>
      <c r="C336" s="21"/>
      <c r="D336" s="21"/>
      <c r="E336" s="2"/>
      <c r="F336" s="21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1"/>
      <c r="B337" s="21"/>
      <c r="C337" s="21"/>
      <c r="D337" s="21"/>
      <c r="E337" s="2"/>
      <c r="F337" s="21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1" t="s">
        <v>16</v>
      </c>
      <c r="B338" s="21"/>
      <c r="C338" s="21"/>
      <c r="D338" s="21">
        <f>SUM(D333:D337)</f>
        <v>47400</v>
      </c>
      <c r="E338" s="10"/>
      <c r="F338" s="84" t="s">
        <v>16</v>
      </c>
      <c r="G338" s="85"/>
      <c r="H338" s="86"/>
      <c r="I338" s="21">
        <f>SUM(I333:I337)</f>
        <v>23400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thickTop="1" thickBo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1" t="s">
        <v>0</v>
      </c>
      <c r="B340" s="21" t="s">
        <v>128</v>
      </c>
      <c r="C340" s="21" t="s">
        <v>34</v>
      </c>
      <c r="D340" s="9">
        <v>45935</v>
      </c>
      <c r="E340" s="2"/>
      <c r="F340" s="21" t="s">
        <v>0</v>
      </c>
      <c r="G340" s="21" t="s">
        <v>129</v>
      </c>
      <c r="H340" s="21" t="s">
        <v>39</v>
      </c>
      <c r="I340" s="9">
        <v>45935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1" t="s">
        <v>6</v>
      </c>
      <c r="B341" s="21" t="s">
        <v>7</v>
      </c>
      <c r="C341" s="21" t="s">
        <v>8</v>
      </c>
      <c r="D341" s="21" t="s">
        <v>9</v>
      </c>
      <c r="E341" s="2"/>
      <c r="F341" s="21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21">
        <v>14</v>
      </c>
      <c r="B342" s="21">
        <v>500000</v>
      </c>
      <c r="C342" s="21">
        <f>VLOOKUP(A342&amp;"|"&amp;B342,$O$3:$P$16,2,FALSE)</f>
        <v>1000</v>
      </c>
      <c r="D342" s="21">
        <f>VLOOKUP(A342&amp;"|"&amp;B342,$Q$3:$R$16,2,FALSE)</f>
        <v>24000</v>
      </c>
      <c r="E342" s="2"/>
      <c r="F342" s="21">
        <v>1</v>
      </c>
      <c r="G342" s="21">
        <v>500000</v>
      </c>
      <c r="H342" s="21">
        <f>VLOOKUP(F342&amp;"|"&amp;G342,$O$3:$P$16,2,FALSE)</f>
        <v>4000</v>
      </c>
      <c r="I342" s="21">
        <f>VLOOKUP(F342&amp;"|"&amp;G342,$Q$3:$R$16,2,FALSE)</f>
        <v>21000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1"/>
      <c r="B343" s="21"/>
      <c r="C343" s="21"/>
      <c r="D343" s="21"/>
      <c r="E343" s="2"/>
      <c r="F343" s="21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1"/>
      <c r="B344" s="21"/>
      <c r="C344" s="21"/>
      <c r="D344" s="21"/>
      <c r="E344" s="2"/>
      <c r="F344" s="21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1"/>
      <c r="B345" s="21"/>
      <c r="C345" s="21"/>
      <c r="D345" s="21"/>
      <c r="E345" s="2"/>
      <c r="F345" s="21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1"/>
      <c r="B346" s="21"/>
      <c r="C346" s="21"/>
      <c r="D346" s="21"/>
      <c r="E346" s="2"/>
      <c r="F346" s="21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1" t="s">
        <v>16</v>
      </c>
      <c r="B347" s="21"/>
      <c r="C347" s="21"/>
      <c r="D347" s="21">
        <f>SUM(D342:D346)</f>
        <v>24000</v>
      </c>
      <c r="E347" s="2"/>
      <c r="F347" s="84" t="s">
        <v>16</v>
      </c>
      <c r="G347" s="85"/>
      <c r="H347" s="86"/>
      <c r="I347" s="21">
        <f>SUM(I342:I346)</f>
        <v>21000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10"/>
      <c r="B348" s="10"/>
      <c r="C348" s="10"/>
      <c r="D348" s="10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1" t="s">
        <v>0</v>
      </c>
      <c r="B349" s="21" t="s">
        <v>130</v>
      </c>
      <c r="C349" s="21" t="s">
        <v>104</v>
      </c>
      <c r="D349" s="9">
        <v>45935</v>
      </c>
      <c r="E349" s="2"/>
      <c r="F349" s="21" t="s">
        <v>0</v>
      </c>
      <c r="G349" s="21" t="s">
        <v>131</v>
      </c>
      <c r="H349" s="21" t="s">
        <v>41</v>
      </c>
      <c r="I349" s="9">
        <v>45935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1" t="s">
        <v>6</v>
      </c>
      <c r="B350" s="21" t="s">
        <v>7</v>
      </c>
      <c r="C350" s="21" t="s">
        <v>8</v>
      </c>
      <c r="D350" s="21" t="s">
        <v>9</v>
      </c>
      <c r="E350" s="2"/>
      <c r="F350" s="21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21">
        <v>17</v>
      </c>
      <c r="B351" s="21">
        <v>500000</v>
      </c>
      <c r="C351" s="21">
        <f>VLOOKUP(A351&amp;"|"&amp;B351,$O$3:$P$16,2,FALSE)</f>
        <v>300</v>
      </c>
      <c r="D351" s="21">
        <f>VLOOKUP(A351&amp;"|"&amp;B351,$Q$3:$R$16,2,FALSE)</f>
        <v>24700</v>
      </c>
      <c r="E351" s="2"/>
      <c r="F351" s="21">
        <v>1</v>
      </c>
      <c r="G351" s="21">
        <v>500000</v>
      </c>
      <c r="H351" s="21">
        <f>VLOOKUP(F351&amp;"|"&amp;G351,$O$3:$P$16,2,FALSE)</f>
        <v>4000</v>
      </c>
      <c r="I351" s="21">
        <f>VLOOKUP(F351&amp;"|"&amp;G351,$Q$3:$R$16,2,FALSE)</f>
        <v>21000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1"/>
      <c r="B352" s="21"/>
      <c r="C352" s="21"/>
      <c r="D352" s="21"/>
      <c r="E352" s="2"/>
      <c r="F352" s="21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1"/>
      <c r="B353" s="21"/>
      <c r="C353" s="21"/>
      <c r="D353" s="21"/>
      <c r="E353" s="2"/>
      <c r="F353" s="21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1"/>
      <c r="B354" s="21"/>
      <c r="C354" s="21"/>
      <c r="D354" s="21"/>
      <c r="E354" s="2"/>
      <c r="F354" s="21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1"/>
      <c r="B355" s="21"/>
      <c r="C355" s="21"/>
      <c r="D355" s="21"/>
      <c r="E355" s="2"/>
      <c r="F355" s="21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1" t="s">
        <v>16</v>
      </c>
      <c r="B356" s="21"/>
      <c r="C356" s="21"/>
      <c r="D356" s="21">
        <f>SUM(D351:D355)</f>
        <v>24700</v>
      </c>
      <c r="E356" s="2"/>
      <c r="F356" s="84" t="s">
        <v>16</v>
      </c>
      <c r="G356" s="85"/>
      <c r="H356" s="86"/>
      <c r="I356" s="21">
        <f>SUM(I351:I355)</f>
        <v>21000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10"/>
      <c r="B357" s="10"/>
      <c r="C357" s="10"/>
      <c r="D357" s="10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1" t="s">
        <v>0</v>
      </c>
      <c r="B358" s="21" t="s">
        <v>132</v>
      </c>
      <c r="C358" s="21" t="s">
        <v>133</v>
      </c>
      <c r="D358" s="9">
        <v>45935</v>
      </c>
      <c r="E358" s="2"/>
      <c r="F358" s="21" t="s">
        <v>0</v>
      </c>
      <c r="G358" s="21" t="s">
        <v>63</v>
      </c>
      <c r="H358" s="21" t="s">
        <v>43</v>
      </c>
      <c r="I358" s="9">
        <v>45935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1" t="s">
        <v>6</v>
      </c>
      <c r="B359" s="21" t="s">
        <v>7</v>
      </c>
      <c r="C359" s="21" t="s">
        <v>8</v>
      </c>
      <c r="D359" s="21" t="s">
        <v>9</v>
      </c>
      <c r="E359" s="2"/>
      <c r="F359" s="21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21">
        <v>6</v>
      </c>
      <c r="B360" s="21">
        <v>500000</v>
      </c>
      <c r="C360" s="21">
        <f>VLOOKUP(A360&amp;"|"&amp;B360,$O$3:$P$16,2,FALSE)</f>
        <v>2600</v>
      </c>
      <c r="D360" s="21">
        <f>VLOOKUP(A360&amp;"|"&amp;B360,$Q$3:$R$16,2,FALSE)</f>
        <v>22400</v>
      </c>
      <c r="E360" s="2"/>
      <c r="F360" s="21">
        <v>14</v>
      </c>
      <c r="G360" s="21">
        <v>500000</v>
      </c>
      <c r="H360" s="21">
        <f>VLOOKUP(F360&amp;"|"&amp;G360,$O$3:$P$16,2,FALSE)</f>
        <v>1000</v>
      </c>
      <c r="I360" s="21">
        <f>VLOOKUP(F360&amp;"|"&amp;G360,$Q$3:$R$16,2,FALSE)</f>
        <v>24000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21">
        <v>1.1000000000000001</v>
      </c>
      <c r="B361" s="21">
        <v>1000000</v>
      </c>
      <c r="C361" s="21">
        <f>VLOOKUP(A361&amp;"|"&amp;B361,$O$3:$P$16,2,FALSE)</f>
        <v>8550</v>
      </c>
      <c r="D361" s="21">
        <f>VLOOKUP(A361&amp;"|"&amp;B361,$Q$3:$R$16,2,FALSE)</f>
        <v>41450</v>
      </c>
      <c r="E361" s="2"/>
      <c r="F361" s="21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1"/>
      <c r="B362" s="21"/>
      <c r="C362" s="21"/>
      <c r="D362" s="21"/>
      <c r="E362" s="2"/>
      <c r="F362" s="21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1"/>
      <c r="B363" s="21"/>
      <c r="C363" s="21"/>
      <c r="D363" s="21"/>
      <c r="E363" s="2"/>
      <c r="F363" s="21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1"/>
      <c r="B364" s="21"/>
      <c r="C364" s="21"/>
      <c r="D364" s="21"/>
      <c r="E364" s="2"/>
      <c r="F364" s="21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1" t="s">
        <v>16</v>
      </c>
      <c r="B365" s="21"/>
      <c r="C365" s="21"/>
      <c r="D365" s="21">
        <f>SUM(D360:D364)</f>
        <v>63850</v>
      </c>
      <c r="E365" s="2"/>
      <c r="F365" s="84" t="s">
        <v>16</v>
      </c>
      <c r="G365" s="85"/>
      <c r="H365" s="86"/>
      <c r="I365" s="21">
        <f>SUM(I360:I364)</f>
        <v>24000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thickTop="1" thickBo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1" t="s">
        <v>0</v>
      </c>
      <c r="B367" s="21" t="s">
        <v>187</v>
      </c>
      <c r="C367" s="21" t="s">
        <v>28</v>
      </c>
      <c r="D367" s="9">
        <v>45935</v>
      </c>
      <c r="E367" s="2"/>
      <c r="F367" s="21" t="s">
        <v>0</v>
      </c>
      <c r="G367" s="21" t="s">
        <v>126</v>
      </c>
      <c r="H367" s="21" t="s">
        <v>43</v>
      </c>
      <c r="I367" s="9">
        <v>45935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1" t="s">
        <v>6</v>
      </c>
      <c r="B368" s="21" t="s">
        <v>7</v>
      </c>
      <c r="C368" s="21" t="s">
        <v>8</v>
      </c>
      <c r="D368" s="21" t="s">
        <v>9</v>
      </c>
      <c r="E368" s="2"/>
      <c r="F368" s="21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21">
        <v>6</v>
      </c>
      <c r="B369" s="21">
        <v>1000000</v>
      </c>
      <c r="C369" s="21">
        <f>VLOOKUP(A369&amp;"|"&amp;B369,$O$3:$P$16,2,FALSE)</f>
        <v>5300</v>
      </c>
      <c r="D369" s="21">
        <f>VLOOKUP(A369&amp;"|"&amp;B369,$Q$3:$R$16,2,FALSE)</f>
        <v>44700</v>
      </c>
      <c r="E369" s="2"/>
      <c r="F369" s="21">
        <v>14</v>
      </c>
      <c r="G369" s="21">
        <v>500000</v>
      </c>
      <c r="H369" s="21">
        <f>VLOOKUP(F369&amp;"|"&amp;G369,$O$3:$P$16,2,FALSE)</f>
        <v>1000</v>
      </c>
      <c r="I369" s="21">
        <f>VLOOKUP(F369&amp;"|"&amp;G369,$Q$3:$R$16,2,FALSE)</f>
        <v>24000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21">
        <v>1</v>
      </c>
      <c r="B370" s="21">
        <v>500000</v>
      </c>
      <c r="C370" s="21">
        <f>VLOOKUP(A370&amp;"|"&amp;B370,$O$3:$P$16,2,FALSE)</f>
        <v>4000</v>
      </c>
      <c r="D370" s="21">
        <f>VLOOKUP(A370&amp;"|"&amp;B370,$Q$3:$R$16,2,FALSE)</f>
        <v>21000</v>
      </c>
      <c r="E370" s="4"/>
      <c r="F370" s="21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1"/>
      <c r="B371" s="21"/>
      <c r="C371" s="21"/>
      <c r="D371" s="21"/>
      <c r="E371" s="4"/>
      <c r="F371" s="21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1"/>
      <c r="B372" s="21"/>
      <c r="C372" s="21"/>
      <c r="D372" s="21"/>
      <c r="E372" s="4"/>
      <c r="F372" s="21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1"/>
      <c r="B373" s="21"/>
      <c r="C373" s="21"/>
      <c r="D373" s="21"/>
      <c r="E373" s="4"/>
      <c r="F373" s="21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1" t="s">
        <v>16</v>
      </c>
      <c r="B374" s="21"/>
      <c r="C374" s="21"/>
      <c r="D374" s="21">
        <f>SUM(D369:D373)</f>
        <v>65700</v>
      </c>
      <c r="E374" s="4"/>
      <c r="F374" s="84" t="s">
        <v>16</v>
      </c>
      <c r="G374" s="85"/>
      <c r="H374" s="86"/>
      <c r="I374" s="21">
        <f>SUM(I369:I373)</f>
        <v>24000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thickTop="1" thickBo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1" t="s">
        <v>0</v>
      </c>
      <c r="B376" s="21" t="s">
        <v>35</v>
      </c>
      <c r="C376" s="21" t="s">
        <v>62</v>
      </c>
      <c r="D376" s="9">
        <v>45935</v>
      </c>
      <c r="E376" s="4"/>
      <c r="F376" s="21" t="s">
        <v>0</v>
      </c>
      <c r="G376" s="21" t="s">
        <v>109</v>
      </c>
      <c r="H376" s="21" t="s">
        <v>134</v>
      </c>
      <c r="I376" s="9">
        <v>45935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1" t="s">
        <v>6</v>
      </c>
      <c r="B377" s="21" t="s">
        <v>7</v>
      </c>
      <c r="C377" s="21" t="s">
        <v>8</v>
      </c>
      <c r="D377" s="21" t="s">
        <v>9</v>
      </c>
      <c r="E377" s="4"/>
      <c r="F377" s="21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21">
        <v>6</v>
      </c>
      <c r="B378" s="21">
        <v>500000</v>
      </c>
      <c r="C378" s="21">
        <f>VLOOKUP(A378&amp;"|"&amp;B378,$O$3:$P$17,2,FALSE)</f>
        <v>2600</v>
      </c>
      <c r="D378" s="21">
        <f>VLOOKUP(A378&amp;"|"&amp;B378,$Q$3:$R$17,2,FALSE)</f>
        <v>22400</v>
      </c>
      <c r="E378" s="4"/>
      <c r="F378" s="21">
        <v>6</v>
      </c>
      <c r="G378" s="21">
        <v>500000</v>
      </c>
      <c r="H378" s="21">
        <f>VLOOKUP(F378&amp;"|"&amp;G378,$O$3:$P$17,2,FALSE)</f>
        <v>2600</v>
      </c>
      <c r="I378" s="21">
        <f>VLOOKUP(F378&amp;"|"&amp;G378,$Q$3:$R$17,2,FALSE)</f>
        <v>22400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1"/>
      <c r="B379" s="21"/>
      <c r="C379" s="21"/>
      <c r="D379" s="21"/>
      <c r="E379" s="4"/>
      <c r="F379" s="21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1"/>
      <c r="B380" s="21"/>
      <c r="C380" s="21"/>
      <c r="D380" s="21"/>
      <c r="E380" s="4"/>
      <c r="F380" s="21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1"/>
      <c r="B381" s="21"/>
      <c r="C381" s="21"/>
      <c r="D381" s="21"/>
      <c r="E381" s="4"/>
      <c r="F381" s="21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1"/>
      <c r="B382" s="21"/>
      <c r="C382" s="21"/>
      <c r="D382" s="21"/>
      <c r="E382" s="4"/>
      <c r="F382" s="21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1" t="s">
        <v>16</v>
      </c>
      <c r="B383" s="21"/>
      <c r="C383" s="21"/>
      <c r="D383" s="21">
        <f>SUM(D378:D382)</f>
        <v>22400</v>
      </c>
      <c r="E383" s="4"/>
      <c r="F383" s="84" t="s">
        <v>16</v>
      </c>
      <c r="G383" s="85"/>
      <c r="H383" s="86"/>
      <c r="I383" s="21">
        <f>SUM(I378:I382)</f>
        <v>22400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thickTop="1" thickBo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1" t="s">
        <v>0</v>
      </c>
      <c r="B385" s="21" t="s">
        <v>128</v>
      </c>
      <c r="C385" s="21" t="s">
        <v>134</v>
      </c>
      <c r="D385" s="9">
        <v>45935</v>
      </c>
      <c r="E385" s="4"/>
      <c r="F385" s="21" t="s">
        <v>0</v>
      </c>
      <c r="G385" s="21" t="s">
        <v>135</v>
      </c>
      <c r="H385" s="21" t="s">
        <v>136</v>
      </c>
      <c r="I385" s="9">
        <v>45935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1" t="s">
        <v>6</v>
      </c>
      <c r="B386" s="21" t="s">
        <v>7</v>
      </c>
      <c r="C386" s="21" t="s">
        <v>8</v>
      </c>
      <c r="D386" s="21" t="s">
        <v>9</v>
      </c>
      <c r="E386" s="4"/>
      <c r="F386" s="21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21">
        <v>17</v>
      </c>
      <c r="B387" s="21">
        <v>1000000</v>
      </c>
      <c r="C387" s="21">
        <f>VLOOKUP(A387&amp;"|"&amp;B387,$O$3:$P$16,2,FALSE)</f>
        <v>350</v>
      </c>
      <c r="D387" s="21">
        <f>VLOOKUP(A387&amp;"|"&amp;B387,$Q$3:$R$16,2,FALSE)</f>
        <v>49650</v>
      </c>
      <c r="E387" s="4"/>
      <c r="F387" s="21">
        <v>11</v>
      </c>
      <c r="G387" s="21">
        <v>500000</v>
      </c>
      <c r="H387" s="21">
        <f>VLOOKUP(F387&amp;"|"&amp;G387,$O$3:$P$16,2,FALSE)</f>
        <v>1600</v>
      </c>
      <c r="I387" s="21">
        <f>VLOOKUP(F387&amp;"|"&amp;G387,$Q$3:$R$16,2,FALSE)</f>
        <v>23400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21">
        <v>17.100000000000001</v>
      </c>
      <c r="B388" s="21">
        <v>1000000</v>
      </c>
      <c r="C388" s="21">
        <f>VLOOKUP(A388&amp;"|"&amp;B388,$O$3:$P$16,2,FALSE)</f>
        <v>600</v>
      </c>
      <c r="D388" s="21">
        <f>VLOOKUP(A388&amp;"|"&amp;B388,$Q$3:$R$16,2,FALSE)</f>
        <v>49400</v>
      </c>
      <c r="E388" s="4"/>
      <c r="F388" s="21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1"/>
      <c r="B389" s="21"/>
      <c r="C389" s="21"/>
      <c r="D389" s="21"/>
      <c r="E389" s="4"/>
      <c r="F389" s="21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1"/>
      <c r="B390" s="21"/>
      <c r="C390" s="21"/>
      <c r="D390" s="21"/>
      <c r="E390" s="4"/>
      <c r="F390" s="21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1"/>
      <c r="B391" s="21"/>
      <c r="C391" s="21"/>
      <c r="D391" s="21"/>
      <c r="E391" s="4"/>
      <c r="F391" s="21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59" t="s">
        <v>49</v>
      </c>
      <c r="B392" s="53"/>
      <c r="C392" s="54"/>
      <c r="D392" s="21">
        <f>SUM(D387:D391)</f>
        <v>99050</v>
      </c>
      <c r="E392" s="4"/>
      <c r="F392" s="84" t="s">
        <v>16</v>
      </c>
      <c r="G392" s="85"/>
      <c r="H392" s="86"/>
      <c r="I392" s="21">
        <f>SUM(I387:I391)</f>
        <v>23400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2"/>
      <c r="B393" s="2"/>
      <c r="C393" s="2"/>
      <c r="D393" s="10"/>
      <c r="E393" s="4"/>
      <c r="F393" s="2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1" t="s">
        <v>0</v>
      </c>
      <c r="B394" s="21" t="s">
        <v>137</v>
      </c>
      <c r="C394" s="21" t="s">
        <v>138</v>
      </c>
      <c r="D394" s="9">
        <v>45935</v>
      </c>
      <c r="E394" s="4"/>
      <c r="F394" s="21" t="s">
        <v>0</v>
      </c>
      <c r="G394" s="21" t="s">
        <v>139</v>
      </c>
      <c r="H394" s="21" t="s">
        <v>140</v>
      </c>
      <c r="I394" s="9">
        <v>45935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1" t="s">
        <v>6</v>
      </c>
      <c r="B395" s="21" t="s">
        <v>7</v>
      </c>
      <c r="C395" s="21" t="s">
        <v>8</v>
      </c>
      <c r="D395" s="21" t="s">
        <v>9</v>
      </c>
      <c r="E395" s="4"/>
      <c r="F395" s="21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21">
        <v>17</v>
      </c>
      <c r="B396" s="21">
        <v>1000000</v>
      </c>
      <c r="C396" s="21">
        <f>VLOOKUP(A396&amp;"|"&amp;B396,$O$3:$P$16,2,FALSE)</f>
        <v>350</v>
      </c>
      <c r="D396" s="21">
        <f>VLOOKUP(A396&amp;"|"&amp;B396,$Q$3:$R$16,2,FALSE)</f>
        <v>49650</v>
      </c>
      <c r="E396" s="4"/>
      <c r="F396" s="21">
        <v>6</v>
      </c>
      <c r="G396" s="21">
        <v>1000000</v>
      </c>
      <c r="H396" s="21">
        <f>VLOOKUP(F396&amp;"|"&amp;G396,$O$3:$P$16,2,FALSE)</f>
        <v>5300</v>
      </c>
      <c r="I396" s="21">
        <f>VLOOKUP(F396&amp;"|"&amp;G396,$Q$3:$R$16,2,FALSE)</f>
        <v>44700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1"/>
      <c r="B397" s="21"/>
      <c r="C397" s="21"/>
      <c r="D397" s="21"/>
      <c r="E397" s="4"/>
      <c r="F397" s="21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1"/>
      <c r="B398" s="21"/>
      <c r="C398" s="21"/>
      <c r="D398" s="21"/>
      <c r="E398" s="4"/>
      <c r="F398" s="21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1"/>
      <c r="B399" s="21"/>
      <c r="C399" s="21"/>
      <c r="D399" s="21"/>
      <c r="E399" s="4"/>
      <c r="F399" s="21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1"/>
      <c r="B400" s="21"/>
      <c r="C400" s="21"/>
      <c r="D400" s="21"/>
      <c r="E400" s="4"/>
      <c r="F400" s="21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59" t="s">
        <v>49</v>
      </c>
      <c r="B401" s="53"/>
      <c r="C401" s="54"/>
      <c r="D401" s="21">
        <f>SUM(D396:D400)</f>
        <v>49650</v>
      </c>
      <c r="E401" s="4"/>
      <c r="F401" s="84" t="s">
        <v>16</v>
      </c>
      <c r="G401" s="85"/>
      <c r="H401" s="86"/>
      <c r="I401" s="21">
        <f>SUM(I396:I400)</f>
        <v>44700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2"/>
      <c r="B402" s="2"/>
      <c r="C402" s="2"/>
      <c r="D402" s="2"/>
      <c r="E402" s="4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2" t="s">
        <v>0</v>
      </c>
      <c r="B403" s="12" t="s">
        <v>141</v>
      </c>
      <c r="C403" s="12" t="s">
        <v>142</v>
      </c>
      <c r="D403" s="9">
        <v>45935</v>
      </c>
      <c r="E403" s="4"/>
      <c r="F403" s="21" t="s">
        <v>0</v>
      </c>
      <c r="G403" s="21" t="s">
        <v>143</v>
      </c>
      <c r="H403" s="21" t="s">
        <v>144</v>
      </c>
      <c r="I403" s="9">
        <v>45935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1" t="s">
        <v>6</v>
      </c>
      <c r="B404" s="21" t="s">
        <v>7</v>
      </c>
      <c r="C404" s="21" t="s">
        <v>8</v>
      </c>
      <c r="D404" s="21" t="s">
        <v>9</v>
      </c>
      <c r="E404" s="4"/>
      <c r="F404" s="21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21">
        <v>17.100000000000001</v>
      </c>
      <c r="B405" s="21">
        <v>1000000</v>
      </c>
      <c r="C405" s="21">
        <f>VLOOKUP(A405&amp;"|"&amp;B405,$O$3:$P$16,2,FALSE)</f>
        <v>600</v>
      </c>
      <c r="D405" s="21">
        <f>VLOOKUP(A405&amp;"|"&amp;B405,$Q$3:$R$16,2,FALSE)</f>
        <v>49400</v>
      </c>
      <c r="E405" s="4"/>
      <c r="F405" s="21">
        <v>17</v>
      </c>
      <c r="G405" s="21">
        <v>500000</v>
      </c>
      <c r="H405" s="21">
        <f>VLOOKUP(F405&amp;"|"&amp;G405,$O$3:$P$16,2,FALSE)</f>
        <v>300</v>
      </c>
      <c r="I405" s="21">
        <f>VLOOKUP(F405&amp;"|"&amp;G405,$Q$3:$R$16,2,FALSE)</f>
        <v>24700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1"/>
      <c r="B406" s="21"/>
      <c r="C406" s="21"/>
      <c r="D406" s="21"/>
      <c r="E406" s="4"/>
      <c r="F406" s="21">
        <v>1</v>
      </c>
      <c r="G406" s="21">
        <v>500000</v>
      </c>
      <c r="H406" s="21">
        <f>VLOOKUP(F406&amp;"|"&amp;G406,$O$3:$P$16,2,FALSE)</f>
        <v>4000</v>
      </c>
      <c r="I406" s="21">
        <f>VLOOKUP(F406&amp;"|"&amp;G406,$Q$3:$R$16,2,FALSE)</f>
        <v>21000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1"/>
      <c r="B407" s="21"/>
      <c r="C407" s="21"/>
      <c r="D407" s="21"/>
      <c r="E407" s="4"/>
      <c r="F407" s="21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1"/>
      <c r="B408" s="21"/>
      <c r="C408" s="21"/>
      <c r="D408" s="21"/>
      <c r="E408" s="4"/>
      <c r="F408" s="21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1"/>
      <c r="B409" s="21"/>
      <c r="C409" s="21"/>
      <c r="D409" s="21"/>
      <c r="E409" s="4"/>
      <c r="F409" s="21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59" t="s">
        <v>49</v>
      </c>
      <c r="B410" s="53"/>
      <c r="C410" s="54"/>
      <c r="D410" s="21">
        <f>SUM(D405:D409)</f>
        <v>49400</v>
      </c>
      <c r="E410" s="4"/>
      <c r="F410" s="84" t="s">
        <v>16</v>
      </c>
      <c r="G410" s="85"/>
      <c r="H410" s="86"/>
      <c r="I410" s="21">
        <f>SUM(I405:I409)</f>
        <v>45700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thickTop="1" thickBot="1">
      <c r="A411" s="2"/>
      <c r="B411" s="2"/>
      <c r="C411" s="2"/>
      <c r="D411" s="2"/>
      <c r="E411" s="4"/>
      <c r="F411" s="2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2" t="s">
        <v>0</v>
      </c>
      <c r="B412" s="12" t="s">
        <v>145</v>
      </c>
      <c r="C412" s="12" t="s">
        <v>43</v>
      </c>
      <c r="D412" s="9">
        <v>45935</v>
      </c>
      <c r="E412" s="4"/>
      <c r="F412" s="21" t="s">
        <v>0</v>
      </c>
      <c r="G412" s="21" t="s">
        <v>146</v>
      </c>
      <c r="H412" s="21" t="s">
        <v>147</v>
      </c>
      <c r="I412" s="9">
        <v>45935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1" t="s">
        <v>6</v>
      </c>
      <c r="B413" s="21" t="s">
        <v>7</v>
      </c>
      <c r="C413" s="21" t="s">
        <v>8</v>
      </c>
      <c r="D413" s="21" t="s">
        <v>9</v>
      </c>
      <c r="E413" s="4"/>
      <c r="F413" s="21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1">
        <v>6</v>
      </c>
      <c r="B414" s="21">
        <v>500000</v>
      </c>
      <c r="C414" s="21">
        <f>VLOOKUP(A414&amp;"|"&amp;B414,$O$3:$P$17,2,FALSE)</f>
        <v>2600</v>
      </c>
      <c r="D414" s="21">
        <f>VLOOKUP(A414&amp;"|"&amp;B414,$Q$3:$R$17,2,FALSE)</f>
        <v>22400</v>
      </c>
      <c r="E414" s="4"/>
      <c r="F414" s="21">
        <v>1</v>
      </c>
      <c r="G414" s="21">
        <v>1000000</v>
      </c>
      <c r="H414" s="21">
        <f>VLOOKUP(F414&amp;"|"&amp;G414,$O$3:$P$16,2,FALSE)</f>
        <v>8000</v>
      </c>
      <c r="I414" s="21">
        <f>VLOOKUP(F414&amp;"|"&amp;G414,$Q$3:$R$16,2,FALSE)</f>
        <v>42000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1"/>
      <c r="B415" s="21"/>
      <c r="C415" s="21"/>
      <c r="D415" s="21"/>
      <c r="E415" s="4"/>
      <c r="F415" s="21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1"/>
      <c r="B416" s="21"/>
      <c r="C416" s="21"/>
      <c r="D416" s="21"/>
      <c r="E416" s="4"/>
      <c r="F416" s="21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1"/>
      <c r="B417" s="21"/>
      <c r="C417" s="21"/>
      <c r="D417" s="21"/>
      <c r="E417" s="4"/>
      <c r="F417" s="21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1"/>
      <c r="B418" s="21"/>
      <c r="C418" s="21"/>
      <c r="D418" s="21"/>
      <c r="E418" s="4"/>
      <c r="F418" s="21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59" t="s">
        <v>49</v>
      </c>
      <c r="B419" s="53"/>
      <c r="C419" s="54"/>
      <c r="D419" s="21">
        <f>SUM(D414:D418)</f>
        <v>22400</v>
      </c>
      <c r="E419" s="4"/>
      <c r="F419" s="84" t="s">
        <v>16</v>
      </c>
      <c r="G419" s="85"/>
      <c r="H419" s="86"/>
      <c r="I419" s="21">
        <f>SUM(I414:I418)</f>
        <v>42000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thickTop="1" thickBot="1">
      <c r="A420" s="2"/>
      <c r="B420" s="2"/>
      <c r="C420" s="2"/>
      <c r="D420" s="2"/>
      <c r="E420" s="4"/>
      <c r="F420" s="2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2" t="s">
        <v>0</v>
      </c>
      <c r="B421" s="12" t="s">
        <v>148</v>
      </c>
      <c r="C421" s="12" t="s">
        <v>62</v>
      </c>
      <c r="D421" s="9">
        <v>45935</v>
      </c>
      <c r="E421" s="4"/>
      <c r="F421" s="12" t="s">
        <v>0</v>
      </c>
      <c r="G421" s="12" t="s">
        <v>33</v>
      </c>
      <c r="H421" s="12" t="s">
        <v>76</v>
      </c>
      <c r="I421" s="9">
        <v>45935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1" t="s">
        <v>6</v>
      </c>
      <c r="B422" s="21" t="s">
        <v>7</v>
      </c>
      <c r="C422" s="21" t="s">
        <v>8</v>
      </c>
      <c r="D422" s="21" t="s">
        <v>9</v>
      </c>
      <c r="E422" s="4"/>
      <c r="F422" s="21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21">
        <v>6</v>
      </c>
      <c r="B423" s="21">
        <v>1000000</v>
      </c>
      <c r="C423" s="21">
        <f>VLOOKUP(A423&amp;"|"&amp;B423,$O$3:$P$17,2,FALSE)</f>
        <v>5300</v>
      </c>
      <c r="D423" s="21">
        <f>VLOOKUP(A423&amp;"|"&amp;B423,$Q$3:$R$17,2,FALSE)</f>
        <v>44700</v>
      </c>
      <c r="E423" s="4"/>
      <c r="F423" s="21">
        <v>6</v>
      </c>
      <c r="G423" s="21">
        <v>2000000</v>
      </c>
      <c r="H423" s="21">
        <f>VLOOKUP(F423&amp;"|"&amp;G423,$O$3:$P$16,2,FALSE)</f>
        <v>9500</v>
      </c>
      <c r="I423" s="21">
        <f>VLOOKUP(F423&amp;"|"&amp;G423,$Q$3:$R$16,2,FALSE)</f>
        <v>90500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1"/>
      <c r="B424" s="21"/>
      <c r="C424" s="21"/>
      <c r="D424" s="21"/>
      <c r="E424" s="4"/>
      <c r="F424" s="21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1"/>
      <c r="B425" s="21"/>
      <c r="C425" s="21"/>
      <c r="D425" s="21"/>
      <c r="E425" s="4"/>
      <c r="F425" s="21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1"/>
      <c r="B426" s="21"/>
      <c r="C426" s="21"/>
      <c r="D426" s="21"/>
      <c r="E426" s="4"/>
      <c r="F426" s="21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1"/>
      <c r="B427" s="21"/>
      <c r="C427" s="21"/>
      <c r="D427" s="21"/>
      <c r="E427" s="4"/>
      <c r="F427" s="21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59" t="s">
        <v>49</v>
      </c>
      <c r="B428" s="53"/>
      <c r="C428" s="54"/>
      <c r="D428" s="21">
        <f>SUM(D423:D427)</f>
        <v>44700</v>
      </c>
      <c r="E428" s="4"/>
      <c r="F428" s="81" t="s">
        <v>49</v>
      </c>
      <c r="G428" s="82"/>
      <c r="H428" s="83"/>
      <c r="I428" s="21">
        <f>SUM(I423:I427)</f>
        <v>90500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thickTop="1" thickBot="1">
      <c r="A429" s="2"/>
      <c r="B429" s="2"/>
      <c r="C429" s="2"/>
      <c r="D429" s="2"/>
      <c r="E429" s="4"/>
      <c r="F429" s="2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2" t="s">
        <v>0</v>
      </c>
      <c r="B430" s="12" t="s">
        <v>149</v>
      </c>
      <c r="C430" s="12" t="s">
        <v>24</v>
      </c>
      <c r="D430" s="9">
        <v>45935</v>
      </c>
      <c r="E430" s="4"/>
      <c r="F430" s="12" t="s">
        <v>0</v>
      </c>
      <c r="G430" s="12" t="s">
        <v>57</v>
      </c>
      <c r="H430" s="12" t="s">
        <v>150</v>
      </c>
      <c r="I430" s="9">
        <v>45935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1" t="s">
        <v>6</v>
      </c>
      <c r="B431" s="21" t="s">
        <v>7</v>
      </c>
      <c r="C431" s="21" t="s">
        <v>8</v>
      </c>
      <c r="D431" s="21" t="s">
        <v>9</v>
      </c>
      <c r="E431" s="4"/>
      <c r="F431" s="21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21">
        <v>6</v>
      </c>
      <c r="B432" s="21">
        <v>1000000</v>
      </c>
      <c r="C432" s="21">
        <f>VLOOKUP(A432&amp;"|"&amp;B432,$O$3:$P$16,2,FALSE)</f>
        <v>5300</v>
      </c>
      <c r="D432" s="21">
        <f>VLOOKUP(A432&amp;"|"&amp;B432,$Q$3:$R$16,2,FALSE)</f>
        <v>44700</v>
      </c>
      <c r="E432" s="4"/>
      <c r="F432" s="21">
        <v>6</v>
      </c>
      <c r="G432" s="21">
        <v>1000000</v>
      </c>
      <c r="H432" s="21">
        <f>VLOOKUP(F432&amp;"|"&amp;G432,$O$3:$P$16,2,FALSE)</f>
        <v>5300</v>
      </c>
      <c r="I432" s="21">
        <f>VLOOKUP(F432&amp;"|"&amp;G432,$Q$3:$R$16,2,FALSE)</f>
        <v>44700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1"/>
      <c r="B433" s="21"/>
      <c r="C433" s="21"/>
      <c r="D433" s="21"/>
      <c r="E433" s="4"/>
      <c r="F433" s="21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1"/>
      <c r="B434" s="21"/>
      <c r="C434" s="21"/>
      <c r="D434" s="21"/>
      <c r="E434" s="4"/>
      <c r="F434" s="21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1"/>
      <c r="B435" s="21"/>
      <c r="C435" s="21"/>
      <c r="D435" s="21"/>
      <c r="E435" s="4"/>
      <c r="F435" s="21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1"/>
      <c r="B436" s="21"/>
      <c r="C436" s="21"/>
      <c r="D436" s="21"/>
      <c r="E436" s="4"/>
      <c r="F436" s="21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59" t="s">
        <v>49</v>
      </c>
      <c r="B437" s="53"/>
      <c r="C437" s="54"/>
      <c r="D437" s="21">
        <f>SUM(D432:D436)</f>
        <v>44700</v>
      </c>
      <c r="E437" s="4"/>
      <c r="F437" s="81" t="s">
        <v>49</v>
      </c>
      <c r="G437" s="82"/>
      <c r="H437" s="83"/>
      <c r="I437" s="21">
        <f>SUM(I432:I436)</f>
        <v>44700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2"/>
      <c r="B438" s="6"/>
      <c r="C438" s="2"/>
      <c r="D438" s="10"/>
      <c r="E438" s="4"/>
      <c r="F438" s="2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2" t="s">
        <v>0</v>
      </c>
      <c r="B439" s="12" t="s">
        <v>151</v>
      </c>
      <c r="C439" s="12" t="s">
        <v>43</v>
      </c>
      <c r="D439" s="9">
        <v>45935</v>
      </c>
      <c r="E439" s="4"/>
      <c r="F439" s="12" t="s">
        <v>0</v>
      </c>
      <c r="G439" s="12" t="s">
        <v>152</v>
      </c>
      <c r="H439" s="12" t="s">
        <v>43</v>
      </c>
      <c r="I439" s="9">
        <v>45935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1" t="s">
        <v>6</v>
      </c>
      <c r="B440" s="21" t="s">
        <v>7</v>
      </c>
      <c r="C440" s="21" t="s">
        <v>8</v>
      </c>
      <c r="D440" s="21" t="s">
        <v>9</v>
      </c>
      <c r="E440" s="4"/>
      <c r="F440" s="21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21">
        <v>1</v>
      </c>
      <c r="B441" s="21">
        <v>500000</v>
      </c>
      <c r="C441" s="21">
        <f>VLOOKUP(A441&amp;"|"&amp;B441,$O$3:$P$16,2,FALSE)</f>
        <v>4000</v>
      </c>
      <c r="D441" s="21">
        <f>VLOOKUP(A441&amp;"|"&amp;B441,$Q$3:$R$16,2,FALSE)</f>
        <v>21000</v>
      </c>
      <c r="E441" s="4"/>
      <c r="F441" s="21">
        <v>6</v>
      </c>
      <c r="G441" s="21">
        <v>2000000</v>
      </c>
      <c r="H441" s="21">
        <f>VLOOKUP(F441&amp;"|"&amp;G441,$O$3:$P$16,2,FALSE)</f>
        <v>9500</v>
      </c>
      <c r="I441" s="21">
        <f>VLOOKUP(F441&amp;"|"&amp;G441,$Q$3:$R$16,2,FALSE)</f>
        <v>90500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1"/>
      <c r="B442" s="21"/>
      <c r="C442" s="21"/>
      <c r="D442" s="21"/>
      <c r="E442" s="4"/>
      <c r="F442" s="21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1"/>
      <c r="B443" s="21"/>
      <c r="C443" s="21"/>
      <c r="D443" s="21"/>
      <c r="E443" s="4"/>
      <c r="F443" s="21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1"/>
      <c r="B444" s="21"/>
      <c r="C444" s="21"/>
      <c r="D444" s="21"/>
      <c r="E444" s="4"/>
      <c r="F444" s="21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1"/>
      <c r="B445" s="21"/>
      <c r="C445" s="21"/>
      <c r="D445" s="21"/>
      <c r="E445" s="4"/>
      <c r="F445" s="21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59" t="s">
        <v>49</v>
      </c>
      <c r="B446" s="53"/>
      <c r="C446" s="54"/>
      <c r="D446" s="21">
        <f>SUM(D441:D445)</f>
        <v>21000</v>
      </c>
      <c r="E446" s="4"/>
      <c r="F446" s="81" t="s">
        <v>49</v>
      </c>
      <c r="G446" s="82"/>
      <c r="H446" s="83"/>
      <c r="I446" s="21">
        <f>SUM(I441:I445)</f>
        <v>90500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2"/>
      <c r="B447" s="2"/>
      <c r="C447" s="2"/>
      <c r="D447" s="2"/>
      <c r="E447" s="4"/>
      <c r="F447" s="2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2" t="s">
        <v>0</v>
      </c>
      <c r="B448" s="12" t="s">
        <v>128</v>
      </c>
      <c r="C448" s="12" t="s">
        <v>101</v>
      </c>
      <c r="D448" s="9">
        <v>45935</v>
      </c>
      <c r="E448" s="4"/>
      <c r="F448" s="12" t="s">
        <v>0</v>
      </c>
      <c r="G448" s="12" t="s">
        <v>153</v>
      </c>
      <c r="H448" s="12" t="s">
        <v>101</v>
      </c>
      <c r="I448" s="9">
        <v>45935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1" t="s">
        <v>6</v>
      </c>
      <c r="B449" s="21" t="s">
        <v>7</v>
      </c>
      <c r="C449" s="21" t="s">
        <v>8</v>
      </c>
      <c r="D449" s="21" t="s">
        <v>9</v>
      </c>
      <c r="E449" s="4"/>
      <c r="F449" s="21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21">
        <v>1</v>
      </c>
      <c r="B450" s="21">
        <v>1000000</v>
      </c>
      <c r="C450" s="21">
        <f>VLOOKUP(A450&amp;"|"&amp;B450,$O$3:$P$16,2,FALSE)</f>
        <v>8000</v>
      </c>
      <c r="D450" s="21">
        <f>VLOOKUP(A450&amp;"|"&amp;B450,$Q$3:$R$16,2,FALSE)</f>
        <v>42000</v>
      </c>
      <c r="E450" s="4"/>
      <c r="F450" s="21">
        <v>1.1000000000000001</v>
      </c>
      <c r="G450" s="21">
        <v>1000000</v>
      </c>
      <c r="H450" s="21">
        <f>VLOOKUP(F450&amp;"|"&amp;G450,$O$3:$P$19,2,FALSE)</f>
        <v>8550</v>
      </c>
      <c r="I450" s="21">
        <f>VLOOKUP(F450&amp;"|"&amp;G450,$Q$3:$R$19,2,FALSE)</f>
        <v>41450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1"/>
      <c r="B451" s="21"/>
      <c r="C451" s="21"/>
      <c r="D451" s="21"/>
      <c r="E451" s="4"/>
      <c r="F451" s="21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1"/>
      <c r="B452" s="21"/>
      <c r="C452" s="21"/>
      <c r="D452" s="21"/>
      <c r="E452" s="4"/>
      <c r="F452" s="21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1"/>
      <c r="B453" s="21"/>
      <c r="C453" s="21"/>
      <c r="D453" s="21"/>
      <c r="E453" s="4"/>
      <c r="F453" s="21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1"/>
      <c r="B454" s="21"/>
      <c r="C454" s="21"/>
      <c r="D454" s="21"/>
      <c r="E454" s="4"/>
      <c r="F454" s="21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59" t="s">
        <v>49</v>
      </c>
      <c r="B455" s="53"/>
      <c r="C455" s="54"/>
      <c r="D455" s="21">
        <f>SUM(D450:D454)</f>
        <v>42000</v>
      </c>
      <c r="E455" s="4"/>
      <c r="F455" s="81" t="s">
        <v>49</v>
      </c>
      <c r="G455" s="82"/>
      <c r="H455" s="83"/>
      <c r="I455" s="21">
        <f>SUM(I450:I454)</f>
        <v>41450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thickTop="1" thickBot="1">
      <c r="A456" s="2"/>
      <c r="B456" s="2"/>
      <c r="C456" s="2"/>
      <c r="D456" s="2"/>
      <c r="E456" s="4"/>
      <c r="F456" s="2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2" t="s">
        <v>0</v>
      </c>
      <c r="B457" s="12" t="s">
        <v>35</v>
      </c>
      <c r="C457" s="12" t="s">
        <v>154</v>
      </c>
      <c r="D457" s="9">
        <v>45935</v>
      </c>
      <c r="E457" s="4"/>
      <c r="F457" s="12" t="s">
        <v>0</v>
      </c>
      <c r="G457" s="12" t="s">
        <v>155</v>
      </c>
      <c r="H457" s="12" t="s">
        <v>156</v>
      </c>
      <c r="I457" s="9">
        <v>45935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1" t="s">
        <v>6</v>
      </c>
      <c r="B458" s="21" t="s">
        <v>7</v>
      </c>
      <c r="C458" s="21" t="s">
        <v>8</v>
      </c>
      <c r="D458" s="21" t="s">
        <v>9</v>
      </c>
      <c r="E458" s="4"/>
      <c r="F458" s="21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21">
        <v>17</v>
      </c>
      <c r="B459" s="21">
        <v>500000</v>
      </c>
      <c r="C459" s="21">
        <f>VLOOKUP(A459&amp;"|"&amp;B459,$O$3:$P$16,2,FALSE)</f>
        <v>300</v>
      </c>
      <c r="D459" s="21">
        <f>VLOOKUP(A459&amp;"|"&amp;B459,$Q$3:$R$16,2,FALSE)</f>
        <v>24700</v>
      </c>
      <c r="E459" s="4"/>
      <c r="F459" s="21">
        <v>6</v>
      </c>
      <c r="G459" s="21">
        <v>1000000</v>
      </c>
      <c r="H459" s="21">
        <f>VLOOKUP(F459&amp;"|"&amp;G459,$O$3:$P$17,2,FALSE)</f>
        <v>5300</v>
      </c>
      <c r="I459" s="21">
        <f>VLOOKUP(F459&amp;"|"&amp;G459,$Q$3:$R$17,2,FALSE)</f>
        <v>44700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21">
        <v>6</v>
      </c>
      <c r="B460" s="21">
        <v>1000000</v>
      </c>
      <c r="C460" s="21">
        <f>VLOOKUP(A460&amp;"|"&amp;B460,$O$3:$P$16,2,FALSE)</f>
        <v>5300</v>
      </c>
      <c r="D460" s="21">
        <f>VLOOKUP(A460&amp;"|"&amp;B460,$Q$3:$R$16,2,FALSE)</f>
        <v>44700</v>
      </c>
      <c r="E460" s="4"/>
      <c r="F460" s="21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1"/>
      <c r="B461" s="21"/>
      <c r="C461" s="21"/>
      <c r="D461" s="21"/>
      <c r="E461" s="4"/>
      <c r="F461" s="21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1"/>
      <c r="B462" s="21"/>
      <c r="C462" s="21"/>
      <c r="D462" s="21"/>
      <c r="E462" s="4"/>
      <c r="F462" s="21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1"/>
      <c r="B463" s="21"/>
      <c r="C463" s="21"/>
      <c r="D463" s="21"/>
      <c r="E463" s="4"/>
      <c r="F463" s="21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59" t="s">
        <v>49</v>
      </c>
      <c r="B464" s="53"/>
      <c r="C464" s="54"/>
      <c r="D464" s="21">
        <f>SUM(D459:D463)</f>
        <v>69400</v>
      </c>
      <c r="E464" s="4"/>
      <c r="F464" s="81" t="s">
        <v>49</v>
      </c>
      <c r="G464" s="82"/>
      <c r="H464" s="83"/>
      <c r="I464" s="21">
        <f>SUM(I459:I463)</f>
        <v>44700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thickTop="1" thickBot="1">
      <c r="A465" s="2"/>
      <c r="B465" s="2"/>
      <c r="C465" s="2"/>
      <c r="D465" s="2"/>
      <c r="E465" s="4"/>
      <c r="F465" s="2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2" t="s">
        <v>0</v>
      </c>
      <c r="B466" s="12" t="s">
        <v>157</v>
      </c>
      <c r="C466" s="12" t="s">
        <v>48</v>
      </c>
      <c r="D466" s="9">
        <v>45935</v>
      </c>
      <c r="E466" s="4"/>
      <c r="F466" s="12" t="s">
        <v>0</v>
      </c>
      <c r="G466" s="12" t="s">
        <v>59</v>
      </c>
      <c r="H466" s="12" t="s">
        <v>158</v>
      </c>
      <c r="I466" s="9">
        <v>45935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1" t="s">
        <v>6</v>
      </c>
      <c r="B467" s="21" t="s">
        <v>7</v>
      </c>
      <c r="C467" s="21" t="s">
        <v>8</v>
      </c>
      <c r="D467" s="21" t="s">
        <v>9</v>
      </c>
      <c r="E467" s="4"/>
      <c r="F467" s="21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21">
        <v>17</v>
      </c>
      <c r="B468" s="21">
        <v>1000000</v>
      </c>
      <c r="C468" s="21">
        <f>VLOOKUP(A468&amp;"|"&amp;B468,$O$3:$P$16,2,FALSE)</f>
        <v>350</v>
      </c>
      <c r="D468" s="21">
        <f>VLOOKUP(A468&amp;"|"&amp;B468,$Q$3:$R$16,2,FALSE)</f>
        <v>49650</v>
      </c>
      <c r="E468" s="4"/>
      <c r="F468" s="21">
        <v>17</v>
      </c>
      <c r="G468" s="21">
        <v>1000000</v>
      </c>
      <c r="H468" s="21">
        <f>VLOOKUP(F468&amp;"|"&amp;G468,$O$3:$P$16,2,FALSE)</f>
        <v>350</v>
      </c>
      <c r="I468" s="21">
        <f>VLOOKUP(F468&amp;"|"&amp;G468,$Q$3:$R$16,2,FALSE)</f>
        <v>49650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21">
        <v>1</v>
      </c>
      <c r="B469" s="21">
        <v>1000000</v>
      </c>
      <c r="C469" s="21">
        <f>VLOOKUP(A469&amp;"|"&amp;B469,$O$3:$P$17,2,FALSE)</f>
        <v>8000</v>
      </c>
      <c r="D469" s="21">
        <f>VLOOKUP(A469&amp;"|"&amp;B469,$Q$3:$R$17,2,FALSE)</f>
        <v>42000</v>
      </c>
      <c r="E469" s="4"/>
      <c r="F469" s="21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1"/>
      <c r="B470" s="21"/>
      <c r="C470" s="21"/>
      <c r="D470" s="21"/>
      <c r="E470" s="4"/>
      <c r="F470" s="21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1"/>
      <c r="B471" s="21"/>
      <c r="C471" s="21"/>
      <c r="D471" s="21"/>
      <c r="E471" s="4"/>
      <c r="F471" s="21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1"/>
      <c r="B472" s="21"/>
      <c r="C472" s="21"/>
      <c r="D472" s="21"/>
      <c r="E472" s="4"/>
      <c r="F472" s="21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59" t="s">
        <v>49</v>
      </c>
      <c r="B473" s="53"/>
      <c r="C473" s="54"/>
      <c r="D473" s="21">
        <f>SUM(D468:D472)</f>
        <v>91650</v>
      </c>
      <c r="E473" s="4"/>
      <c r="F473" s="81" t="s">
        <v>49</v>
      </c>
      <c r="G473" s="82"/>
      <c r="H473" s="83"/>
      <c r="I473" s="21">
        <f>SUM(I468:I472)</f>
        <v>49650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thickTop="1" thickBot="1">
      <c r="A474" s="2"/>
      <c r="B474" s="2"/>
      <c r="C474" s="2"/>
      <c r="D474" s="2"/>
      <c r="E474" s="4"/>
      <c r="F474" s="2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2" t="s">
        <v>0</v>
      </c>
      <c r="B475" s="12" t="s">
        <v>66</v>
      </c>
      <c r="C475" s="12" t="s">
        <v>43</v>
      </c>
      <c r="D475" s="9">
        <v>45935</v>
      </c>
      <c r="E475" s="4"/>
      <c r="F475" s="12" t="s">
        <v>0</v>
      </c>
      <c r="G475" s="12" t="s">
        <v>159</v>
      </c>
      <c r="H475" s="12" t="s">
        <v>41</v>
      </c>
      <c r="I475" s="9">
        <v>45935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1" t="s">
        <v>6</v>
      </c>
      <c r="B476" s="21" t="s">
        <v>7</v>
      </c>
      <c r="C476" s="21" t="s">
        <v>8</v>
      </c>
      <c r="D476" s="21" t="s">
        <v>9</v>
      </c>
      <c r="E476" s="4"/>
      <c r="F476" s="21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21">
        <v>17</v>
      </c>
      <c r="B477" s="21">
        <v>500000</v>
      </c>
      <c r="C477" s="21">
        <f>VLOOKUP(A477&amp;"|"&amp;B477,$O$3:$P$16,2,FALSE)</f>
        <v>300</v>
      </c>
      <c r="D477" s="21">
        <f>VLOOKUP(A477&amp;"|"&amp;B477,$Q$3:$R$16,2,FALSE)</f>
        <v>24700</v>
      </c>
      <c r="E477" s="4"/>
      <c r="F477" s="21">
        <v>1</v>
      </c>
      <c r="G477" s="21">
        <v>500000</v>
      </c>
      <c r="H477" s="21">
        <f>VLOOKUP(F477&amp;"|"&amp;G477,$O$3:$P$16,2,FALSE)</f>
        <v>4000</v>
      </c>
      <c r="I477" s="21">
        <f>VLOOKUP(F477&amp;"|"&amp;G477,$Q$3:$R$16,2,FALSE)</f>
        <v>21000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1"/>
      <c r="B478" s="21"/>
      <c r="C478" s="21"/>
      <c r="D478" s="21"/>
      <c r="E478" s="4"/>
      <c r="F478" s="21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1"/>
      <c r="B479" s="21"/>
      <c r="C479" s="21"/>
      <c r="D479" s="21"/>
      <c r="E479" s="4"/>
      <c r="F479" s="21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1"/>
      <c r="B480" s="21"/>
      <c r="C480" s="21"/>
      <c r="D480" s="21"/>
      <c r="E480" s="4"/>
      <c r="F480" s="21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1"/>
      <c r="B481" s="21"/>
      <c r="C481" s="21"/>
      <c r="D481" s="21"/>
      <c r="E481" s="4"/>
      <c r="F481" s="21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59" t="s">
        <v>49</v>
      </c>
      <c r="B482" s="53"/>
      <c r="C482" s="54"/>
      <c r="D482" s="21">
        <f>SUM(D477:D481)</f>
        <v>24700</v>
      </c>
      <c r="E482" s="4"/>
      <c r="F482" s="81" t="s">
        <v>49</v>
      </c>
      <c r="G482" s="82"/>
      <c r="H482" s="83"/>
      <c r="I482" s="21">
        <f>SUM(I477:I481)</f>
        <v>21000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2"/>
      <c r="B483" s="6"/>
      <c r="C483" s="2"/>
      <c r="D483" s="10"/>
      <c r="E483" s="4"/>
      <c r="F483" s="2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2" t="s">
        <v>0</v>
      </c>
      <c r="B484" s="12" t="s">
        <v>160</v>
      </c>
      <c r="C484" s="12" t="s">
        <v>43</v>
      </c>
      <c r="D484" s="9">
        <v>45935</v>
      </c>
      <c r="E484" s="4"/>
      <c r="F484" s="12" t="s">
        <v>0</v>
      </c>
      <c r="G484" s="12" t="s">
        <v>44</v>
      </c>
      <c r="H484" s="12" t="s">
        <v>43</v>
      </c>
      <c r="I484" s="9">
        <v>45935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1" t="s">
        <v>6</v>
      </c>
      <c r="B485" s="21" t="s">
        <v>7</v>
      </c>
      <c r="C485" s="21" t="s">
        <v>8</v>
      </c>
      <c r="D485" s="21" t="s">
        <v>9</v>
      </c>
      <c r="E485" s="4"/>
      <c r="F485" s="21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21">
        <v>14</v>
      </c>
      <c r="B486" s="21">
        <v>500000</v>
      </c>
      <c r="C486" s="21">
        <f>VLOOKUP(A486&amp;"|"&amp;B486,$O$3:$P$16,2,FALSE)</f>
        <v>1000</v>
      </c>
      <c r="D486" s="21">
        <f>VLOOKUP(A486&amp;"|"&amp;B486,$Q$3:$R$16,2,FALSE)</f>
        <v>24000</v>
      </c>
      <c r="E486" s="4"/>
      <c r="F486" s="21">
        <v>6</v>
      </c>
      <c r="G486" s="21">
        <v>500000</v>
      </c>
      <c r="H486" s="21">
        <f>VLOOKUP(F486&amp;"|"&amp;G486,$O$3:$P$16,2,FALSE)</f>
        <v>2600</v>
      </c>
      <c r="I486" s="21">
        <f>VLOOKUP(F486&amp;"|"&amp;G486,$Q$3:$R$16,2,FALSE)</f>
        <v>22400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21">
        <v>14</v>
      </c>
      <c r="B487" s="21">
        <v>500000</v>
      </c>
      <c r="C487" s="21">
        <f>VLOOKUP(A487&amp;"|"&amp;B487,$O$3:$P$16,2,FALSE)</f>
        <v>1000</v>
      </c>
      <c r="D487" s="21">
        <f>VLOOKUP(A487&amp;"|"&amp;B487,$Q$3:$R$16,2,FALSE)</f>
        <v>24000</v>
      </c>
      <c r="E487" s="4"/>
      <c r="F487" s="21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1"/>
      <c r="B488" s="21"/>
      <c r="C488" s="21"/>
      <c r="D488" s="21"/>
      <c r="E488" s="4"/>
      <c r="F488" s="21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1"/>
      <c r="B489" s="21"/>
      <c r="C489" s="21"/>
      <c r="D489" s="21"/>
      <c r="E489" s="4"/>
      <c r="F489" s="21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1"/>
      <c r="B490" s="21"/>
      <c r="C490" s="21"/>
      <c r="D490" s="21"/>
      <c r="E490" s="4"/>
      <c r="F490" s="21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59" t="s">
        <v>49</v>
      </c>
      <c r="B491" s="53"/>
      <c r="C491" s="54"/>
      <c r="D491" s="21">
        <f>SUM(D486:D490)</f>
        <v>48000</v>
      </c>
      <c r="E491" s="4"/>
      <c r="F491" s="81" t="s">
        <v>49</v>
      </c>
      <c r="G491" s="82"/>
      <c r="H491" s="83"/>
      <c r="I491" s="21">
        <f>SUM(I486:I490)</f>
        <v>22400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thickTop="1" thickBot="1">
      <c r="A492" s="2"/>
      <c r="B492" s="2"/>
      <c r="C492" s="2"/>
      <c r="D492" s="2"/>
      <c r="E492" s="4"/>
      <c r="F492" s="2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2" t="s">
        <v>0</v>
      </c>
      <c r="B493" s="12" t="s">
        <v>161</v>
      </c>
      <c r="C493" s="12" t="s">
        <v>43</v>
      </c>
      <c r="D493" s="9">
        <v>45935</v>
      </c>
      <c r="E493" s="4"/>
      <c r="F493" s="12" t="s">
        <v>0</v>
      </c>
      <c r="G493" s="12" t="s">
        <v>162</v>
      </c>
      <c r="H493" s="12" t="s">
        <v>163</v>
      </c>
      <c r="I493" s="9">
        <v>45935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1" t="s">
        <v>6</v>
      </c>
      <c r="B494" s="21" t="s">
        <v>7</v>
      </c>
      <c r="C494" s="21" t="s">
        <v>8</v>
      </c>
      <c r="D494" s="21" t="s">
        <v>9</v>
      </c>
      <c r="E494" s="4"/>
      <c r="F494" s="21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21">
        <v>11</v>
      </c>
      <c r="B495" s="21">
        <v>500000</v>
      </c>
      <c r="C495" s="21">
        <f>VLOOKUP(A495&amp;"|"&amp;B495,$O$3:$P$16,2,FALSE)</f>
        <v>1600</v>
      </c>
      <c r="D495" s="21">
        <f>VLOOKUP(A495&amp;"|"&amp;B495,$Q$3:$R$16,2,FALSE)</f>
        <v>23400</v>
      </c>
      <c r="E495" s="4"/>
      <c r="F495" s="21">
        <v>11</v>
      </c>
      <c r="G495" s="21">
        <v>500000</v>
      </c>
      <c r="H495" s="21">
        <f>VLOOKUP(F495&amp;"|"&amp;G495,$O$3:$P$16,2,FALSE)</f>
        <v>1600</v>
      </c>
      <c r="I495" s="21">
        <f>VLOOKUP(F495&amp;"|"&amp;G495,$Q$3:$R$16,2,FALSE)</f>
        <v>23400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1"/>
      <c r="B496" s="21"/>
      <c r="C496" s="21"/>
      <c r="D496" s="21"/>
      <c r="E496" s="4"/>
      <c r="F496" s="21">
        <v>11</v>
      </c>
      <c r="G496" s="21">
        <v>500000</v>
      </c>
      <c r="H496" s="21">
        <f>VLOOKUP(F496&amp;"|"&amp;G496,$O$3:$P$16,2,FALSE)</f>
        <v>1600</v>
      </c>
      <c r="I496" s="21">
        <f>VLOOKUP(F496&amp;"|"&amp;G496,$Q$3:$R$16,2,FALSE)</f>
        <v>23400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1"/>
      <c r="B497" s="21"/>
      <c r="C497" s="21"/>
      <c r="D497" s="21"/>
      <c r="E497" s="4"/>
      <c r="F497" s="21">
        <v>6</v>
      </c>
      <c r="G497" s="21">
        <v>500000</v>
      </c>
      <c r="H497" s="21">
        <f>VLOOKUP(F497&amp;"|"&amp;G497,$O$3:$P$17,2,FALSE)</f>
        <v>2600</v>
      </c>
      <c r="I497" s="21">
        <f>VLOOKUP(F497&amp;"|"&amp;G497,$Q$3:$R$17,2,FALSE)</f>
        <v>22400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1"/>
      <c r="B498" s="21"/>
      <c r="C498" s="21"/>
      <c r="D498" s="21"/>
      <c r="E498" s="4"/>
      <c r="F498" s="21">
        <v>1</v>
      </c>
      <c r="G498" s="21">
        <v>1000000</v>
      </c>
      <c r="H498" s="21">
        <f>VLOOKUP(F498&amp;"|"&amp;G498,$O$3:$P$17,2,FALSE)</f>
        <v>8000</v>
      </c>
      <c r="I498" s="21">
        <f>VLOOKUP(F498&amp;"|"&amp;G498,$Q$3:$R$17,2,FALSE)</f>
        <v>42000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1"/>
      <c r="B499" s="21"/>
      <c r="C499" s="21"/>
      <c r="D499" s="21"/>
      <c r="E499" s="4"/>
      <c r="F499" s="21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59" t="s">
        <v>49</v>
      </c>
      <c r="B500" s="53"/>
      <c r="C500" s="54"/>
      <c r="D500" s="21">
        <f>SUM(D495:D499)</f>
        <v>23400</v>
      </c>
      <c r="E500" s="4"/>
      <c r="F500" s="81" t="s">
        <v>49</v>
      </c>
      <c r="G500" s="82"/>
      <c r="H500" s="83"/>
      <c r="I500" s="21">
        <f>SUM(I495:I499)</f>
        <v>111200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2" t="s">
        <v>0</v>
      </c>
      <c r="B502" s="12" t="s">
        <v>164</v>
      </c>
      <c r="C502" s="12" t="s">
        <v>165</v>
      </c>
      <c r="D502" s="9">
        <v>45935</v>
      </c>
      <c r="E502" s="4"/>
      <c r="F502" s="12" t="s">
        <v>3</v>
      </c>
      <c r="G502" s="12" t="s">
        <v>166</v>
      </c>
      <c r="H502" s="12" t="s">
        <v>167</v>
      </c>
      <c r="I502" s="9">
        <v>45935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1" t="s">
        <v>6</v>
      </c>
      <c r="B503" s="21" t="s">
        <v>7</v>
      </c>
      <c r="C503" s="21" t="s">
        <v>8</v>
      </c>
      <c r="D503" s="21" t="s">
        <v>9</v>
      </c>
      <c r="E503" s="4"/>
      <c r="F503" s="21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21">
        <v>6</v>
      </c>
      <c r="B504" s="21">
        <v>2000000</v>
      </c>
      <c r="C504" s="21">
        <f>VLOOKUP(A504&amp;"|"&amp;B504,$O$3:$P$16,2,FALSE)</f>
        <v>9500</v>
      </c>
      <c r="D504" s="21">
        <f>VLOOKUP(A504&amp;"|"&amp;B504,$Q$3:$R$16,2,FALSE)</f>
        <v>90500</v>
      </c>
      <c r="E504" s="4"/>
      <c r="F504" s="21">
        <v>6</v>
      </c>
      <c r="G504" s="21">
        <v>500000</v>
      </c>
      <c r="H504" s="21">
        <f>VLOOKUP(F504&amp;"|"&amp;G504,$O$3:$P$17,2,FALSE)</f>
        <v>2600</v>
      </c>
      <c r="I504" s="21">
        <f>VLOOKUP(F504&amp;"|"&amp;G504,$Q$3:$R$17,2,FALSE)</f>
        <v>22400</v>
      </c>
    </row>
    <row r="505" spans="1:26" ht="20.25" thickTop="1" thickBot="1">
      <c r="A505" s="21"/>
      <c r="B505" s="21"/>
      <c r="C505" s="21"/>
      <c r="D505" s="21"/>
      <c r="E505" s="4"/>
      <c r="F505" s="21"/>
      <c r="G505" s="21"/>
      <c r="H505" s="21"/>
      <c r="I505" s="21"/>
    </row>
    <row r="506" spans="1:26" ht="20.25" thickTop="1" thickBot="1">
      <c r="A506" s="21"/>
      <c r="B506" s="21"/>
      <c r="C506" s="21"/>
      <c r="D506" s="21"/>
      <c r="E506" s="4"/>
      <c r="F506" s="21"/>
      <c r="G506" s="21"/>
      <c r="H506" s="21"/>
      <c r="I506" s="21"/>
    </row>
    <row r="507" spans="1:26" ht="20.25" thickTop="1" thickBot="1">
      <c r="A507" s="21"/>
      <c r="B507" s="21"/>
      <c r="C507" s="21"/>
      <c r="D507" s="21"/>
      <c r="E507" s="4"/>
      <c r="F507" s="21"/>
      <c r="G507" s="21"/>
      <c r="H507" s="21"/>
      <c r="I507" s="21"/>
    </row>
    <row r="508" spans="1:26" ht="20.25" thickTop="1" thickBot="1">
      <c r="A508" s="21"/>
      <c r="B508" s="21"/>
      <c r="C508" s="21"/>
      <c r="D508" s="21"/>
      <c r="E508" s="4"/>
      <c r="F508" s="21"/>
      <c r="G508" s="21"/>
      <c r="H508" s="21"/>
      <c r="I508" s="21"/>
    </row>
    <row r="509" spans="1:26" ht="20.25" thickTop="1" thickBot="1">
      <c r="A509" s="59" t="s">
        <v>49</v>
      </c>
      <c r="B509" s="53"/>
      <c r="C509" s="54"/>
      <c r="D509" s="21">
        <f>SUM(D504:D508)</f>
        <v>90500</v>
      </c>
      <c r="E509" s="4"/>
      <c r="F509" s="59" t="s">
        <v>49</v>
      </c>
      <c r="G509" s="53"/>
      <c r="H509" s="54"/>
      <c r="I509" s="21">
        <f>SUM(I504:I508)</f>
        <v>22400</v>
      </c>
    </row>
    <row r="510" spans="1:26" ht="16.5" thickTop="1" thickBot="1"/>
    <row r="511" spans="1:26" ht="20.25" thickTop="1" thickBot="1">
      <c r="A511" s="12" t="s">
        <v>0</v>
      </c>
      <c r="B511" s="12" t="s">
        <v>146</v>
      </c>
      <c r="C511" s="12" t="s">
        <v>38</v>
      </c>
      <c r="D511" s="9">
        <v>45935</v>
      </c>
      <c r="E511" s="4"/>
      <c r="F511" s="12" t="s">
        <v>3</v>
      </c>
      <c r="G511" s="12" t="s">
        <v>57</v>
      </c>
      <c r="H511" s="12" t="s">
        <v>168</v>
      </c>
      <c r="I511" s="9">
        <v>45935</v>
      </c>
    </row>
    <row r="512" spans="1:26" ht="20.25" thickTop="1" thickBot="1">
      <c r="A512" s="21" t="s">
        <v>6</v>
      </c>
      <c r="B512" s="21" t="s">
        <v>7</v>
      </c>
      <c r="C512" s="21" t="s">
        <v>8</v>
      </c>
      <c r="D512" s="21" t="s">
        <v>9</v>
      </c>
      <c r="E512" s="4"/>
      <c r="F512" s="21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21">
        <v>6</v>
      </c>
      <c r="B513" s="21">
        <v>500000</v>
      </c>
      <c r="C513" s="21">
        <f>VLOOKUP(A513&amp;"|"&amp;B513,$O$3:$P$17,2,FALSE)</f>
        <v>2600</v>
      </c>
      <c r="D513" s="21">
        <f>VLOOKUP(A513&amp;"|"&amp;B513,$Q$3:$R$17,2,FALSE)</f>
        <v>22400</v>
      </c>
      <c r="E513" s="4"/>
      <c r="F513" s="21">
        <v>6</v>
      </c>
      <c r="G513" s="21">
        <v>500000</v>
      </c>
      <c r="H513" s="21">
        <f>VLOOKUP(F513&amp;"|"&amp;G513,$O$3:$P$17,2,FALSE)</f>
        <v>2600</v>
      </c>
      <c r="I513" s="21">
        <f>VLOOKUP(F513&amp;"|"&amp;G513,$Q$3:$R$17,2,FALSE)</f>
        <v>22400</v>
      </c>
    </row>
    <row r="514" spans="1:9" ht="20.25" thickTop="1" thickBot="1">
      <c r="A514" s="21"/>
      <c r="B514" s="21"/>
      <c r="C514" s="21"/>
      <c r="D514" s="21"/>
      <c r="E514" s="4"/>
      <c r="F514" s="21"/>
      <c r="G514" s="21"/>
      <c r="H514" s="21"/>
      <c r="I514" s="21"/>
    </row>
    <row r="515" spans="1:9" ht="20.25" thickTop="1" thickBot="1">
      <c r="A515" s="21"/>
      <c r="B515" s="21"/>
      <c r="C515" s="21"/>
      <c r="D515" s="21"/>
      <c r="E515" s="4"/>
      <c r="F515" s="21"/>
      <c r="G515" s="21"/>
      <c r="H515" s="21"/>
      <c r="I515" s="21"/>
    </row>
    <row r="516" spans="1:9" ht="20.25" thickTop="1" thickBot="1">
      <c r="A516" s="21"/>
      <c r="B516" s="21"/>
      <c r="C516" s="21"/>
      <c r="D516" s="21"/>
      <c r="E516" s="4"/>
      <c r="F516" s="21"/>
      <c r="G516" s="21"/>
      <c r="H516" s="21"/>
      <c r="I516" s="21"/>
    </row>
    <row r="517" spans="1:9" ht="20.25" thickTop="1" thickBot="1">
      <c r="A517" s="21"/>
      <c r="B517" s="21"/>
      <c r="C517" s="21"/>
      <c r="D517" s="21"/>
      <c r="E517" s="4"/>
      <c r="F517" s="21"/>
      <c r="G517" s="21"/>
      <c r="H517" s="21"/>
      <c r="I517" s="21"/>
    </row>
    <row r="518" spans="1:9" ht="20.25" thickTop="1" thickBot="1">
      <c r="A518" s="59" t="s">
        <v>49</v>
      </c>
      <c r="B518" s="53"/>
      <c r="C518" s="54"/>
      <c r="D518" s="21">
        <f>SUM(D513:D517)</f>
        <v>22400</v>
      </c>
      <c r="E518" s="4"/>
      <c r="F518" s="81" t="s">
        <v>25</v>
      </c>
      <c r="G518" s="82"/>
      <c r="H518" s="83"/>
      <c r="I518" s="21">
        <f>SUM(I513:I517)</f>
        <v>22400</v>
      </c>
    </row>
    <row r="519" spans="1:9" ht="16.5" thickTop="1" thickBot="1"/>
    <row r="520" spans="1:9" ht="20.25" thickTop="1" thickBot="1">
      <c r="A520" s="12" t="s">
        <v>3</v>
      </c>
      <c r="B520" s="12" t="s">
        <v>169</v>
      </c>
      <c r="C520" s="12" t="s">
        <v>170</v>
      </c>
      <c r="D520" s="9">
        <v>45935</v>
      </c>
      <c r="F520" s="12" t="s">
        <v>3</v>
      </c>
      <c r="G520" s="12" t="s">
        <v>171</v>
      </c>
      <c r="H520" s="12" t="s">
        <v>172</v>
      </c>
      <c r="I520" s="9">
        <v>45935</v>
      </c>
    </row>
    <row r="521" spans="1:9" ht="20.25" thickTop="1" thickBot="1">
      <c r="A521" s="21" t="s">
        <v>6</v>
      </c>
      <c r="B521" s="21" t="s">
        <v>7</v>
      </c>
      <c r="C521" s="21" t="s">
        <v>8</v>
      </c>
      <c r="D521" s="21" t="s">
        <v>9</v>
      </c>
      <c r="F521" s="21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21">
        <v>17</v>
      </c>
      <c r="B522" s="21">
        <v>500000</v>
      </c>
      <c r="C522" s="21">
        <f>VLOOKUP(A522&amp;"|"&amp;B522,$O$3:$P$17,2,FALSE)</f>
        <v>300</v>
      </c>
      <c r="D522" s="21">
        <f>VLOOKUP(A522&amp;"|"&amp;B522,$Q$3:$R$17,2,FALSE)</f>
        <v>24700</v>
      </c>
      <c r="F522" s="21">
        <v>6</v>
      </c>
      <c r="G522" s="21">
        <v>1000000</v>
      </c>
      <c r="H522" s="21">
        <f>VLOOKUP(F522&amp;"|"&amp;G522,$O$3:$P$17,2,FALSE)</f>
        <v>5300</v>
      </c>
      <c r="I522" s="21">
        <f>VLOOKUP(F522&amp;"|"&amp;G522,$Q$3:$R$17,2,FALSE)</f>
        <v>44700</v>
      </c>
    </row>
    <row r="523" spans="1:9" ht="20.25" thickTop="1" thickBot="1">
      <c r="A523" s="21"/>
      <c r="B523" s="21"/>
      <c r="C523" s="21"/>
      <c r="D523" s="21"/>
      <c r="F523" s="21">
        <v>6</v>
      </c>
      <c r="G523" s="21">
        <v>1000000</v>
      </c>
      <c r="H523" s="21">
        <f>VLOOKUP(F523&amp;"|"&amp;G523,$O$3:$P$17,2,FALSE)</f>
        <v>5300</v>
      </c>
      <c r="I523" s="21">
        <f>VLOOKUP(F523&amp;"|"&amp;G523,$Q$3:$R$17,2,FALSE)</f>
        <v>44700</v>
      </c>
    </row>
    <row r="524" spans="1:9" ht="20.25" thickTop="1" thickBot="1">
      <c r="A524" s="21"/>
      <c r="B524" s="21"/>
      <c r="C524" s="21"/>
      <c r="D524" s="21"/>
      <c r="F524" s="21"/>
      <c r="G524" s="21"/>
      <c r="H524" s="21"/>
      <c r="I524" s="21"/>
    </row>
    <row r="525" spans="1:9" ht="20.25" thickTop="1" thickBot="1">
      <c r="A525" s="21"/>
      <c r="B525" s="21"/>
      <c r="C525" s="21"/>
      <c r="D525" s="21"/>
      <c r="F525" s="21"/>
      <c r="G525" s="21"/>
      <c r="H525" s="21"/>
      <c r="I525" s="21"/>
    </row>
    <row r="526" spans="1:9" ht="20.25" thickTop="1" thickBot="1">
      <c r="A526" s="21"/>
      <c r="B526" s="21"/>
      <c r="C526" s="21"/>
      <c r="D526" s="21"/>
      <c r="F526" s="21"/>
      <c r="G526" s="21"/>
      <c r="H526" s="21"/>
      <c r="I526" s="21"/>
    </row>
    <row r="527" spans="1:9" ht="20.25" thickTop="1" thickBot="1">
      <c r="A527" s="59" t="s">
        <v>49</v>
      </c>
      <c r="B527" s="53"/>
      <c r="C527" s="54"/>
      <c r="D527" s="21">
        <f>SUM(D522:D526)</f>
        <v>24700</v>
      </c>
      <c r="F527" s="81" t="s">
        <v>25</v>
      </c>
      <c r="G527" s="82"/>
      <c r="H527" s="83"/>
      <c r="I527" s="21">
        <f>SUM(I522:I526)</f>
        <v>89400</v>
      </c>
    </row>
    <row r="528" spans="1:9" ht="16.5" thickTop="1" thickBot="1"/>
    <row r="529" spans="1:9" ht="20.25" thickTop="1" thickBot="1">
      <c r="A529" s="12" t="s">
        <v>3</v>
      </c>
      <c r="B529" s="12" t="s">
        <v>61</v>
      </c>
      <c r="C529" s="12" t="s">
        <v>173</v>
      </c>
      <c r="D529" s="9">
        <v>45935</v>
      </c>
      <c r="F529" s="12" t="s">
        <v>3</v>
      </c>
      <c r="G529" s="12" t="s">
        <v>174</v>
      </c>
      <c r="H529" s="12" t="s">
        <v>175</v>
      </c>
      <c r="I529" s="9">
        <v>45935</v>
      </c>
    </row>
    <row r="530" spans="1:9" ht="20.25" thickTop="1" thickBot="1">
      <c r="A530" s="21" t="s">
        <v>6</v>
      </c>
      <c r="B530" s="21" t="s">
        <v>7</v>
      </c>
      <c r="C530" s="21" t="s">
        <v>8</v>
      </c>
      <c r="D530" s="21" t="s">
        <v>9</v>
      </c>
      <c r="F530" s="21" t="s">
        <v>6</v>
      </c>
      <c r="G530" s="21" t="s">
        <v>7</v>
      </c>
      <c r="H530" s="21" t="s">
        <v>8</v>
      </c>
      <c r="I530" s="21" t="s">
        <v>9</v>
      </c>
    </row>
    <row r="531" spans="1:9" ht="20.25" thickTop="1" thickBot="1">
      <c r="A531" s="21">
        <v>1</v>
      </c>
      <c r="B531" s="21">
        <v>1000000</v>
      </c>
      <c r="C531" s="21">
        <f>VLOOKUP(A531&amp;"|"&amp;B531,$O$3:$P$17,2,FALSE)</f>
        <v>8000</v>
      </c>
      <c r="D531" s="21">
        <f>VLOOKUP(A531&amp;"|"&amp;B531,$Q$3:$R$17,2,FALSE)</f>
        <v>42000</v>
      </c>
      <c r="F531" s="21">
        <v>6</v>
      </c>
      <c r="G531" s="21">
        <v>2000000</v>
      </c>
      <c r="H531" s="21">
        <f>VLOOKUP(F531&amp;"|"&amp;G531,$O$3:$P$17,2,FALSE)</f>
        <v>9500</v>
      </c>
      <c r="I531" s="21">
        <f>VLOOKUP(F531&amp;"|"&amp;G531,$Q$3:$R$17,2,FALSE)</f>
        <v>90500</v>
      </c>
    </row>
    <row r="532" spans="1:9" ht="20.25" thickTop="1" thickBot="1">
      <c r="A532" s="21">
        <v>1.1000000000000001</v>
      </c>
      <c r="B532" s="21">
        <v>1000000</v>
      </c>
      <c r="C532" s="21">
        <f>VLOOKUP(A532&amp;"|"&amp;B532,$O$3:$P$17,2,FALSE)</f>
        <v>8550</v>
      </c>
      <c r="D532" s="21">
        <f>VLOOKUP(A532&amp;"|"&amp;B532,$Q$3:$R$17,2,FALSE)</f>
        <v>41450</v>
      </c>
      <c r="F532" s="21"/>
      <c r="G532" s="21"/>
      <c r="H532" s="21"/>
      <c r="I532" s="21"/>
    </row>
    <row r="533" spans="1:9" ht="20.25" thickTop="1" thickBot="1">
      <c r="A533" s="21"/>
      <c r="B533" s="21"/>
      <c r="C533" s="21"/>
      <c r="D533" s="21"/>
      <c r="F533" s="21"/>
      <c r="G533" s="21"/>
      <c r="H533" s="21"/>
      <c r="I533" s="21"/>
    </row>
    <row r="534" spans="1:9" ht="20.25" thickTop="1" thickBot="1">
      <c r="A534" s="21"/>
      <c r="B534" s="21"/>
      <c r="C534" s="21"/>
      <c r="D534" s="21"/>
      <c r="F534" s="21"/>
      <c r="G534" s="21"/>
      <c r="H534" s="21"/>
      <c r="I534" s="21"/>
    </row>
    <row r="535" spans="1:9" ht="20.25" thickTop="1" thickBot="1">
      <c r="A535" s="21"/>
      <c r="B535" s="21"/>
      <c r="C535" s="21"/>
      <c r="D535" s="21"/>
      <c r="F535" s="21"/>
      <c r="G535" s="21"/>
      <c r="H535" s="21"/>
      <c r="I535" s="21"/>
    </row>
    <row r="536" spans="1:9" ht="20.25" thickTop="1" thickBot="1">
      <c r="A536" s="59" t="s">
        <v>49</v>
      </c>
      <c r="B536" s="53"/>
      <c r="C536" s="54"/>
      <c r="D536" s="21">
        <f>SUM(D531:D535)</f>
        <v>83450</v>
      </c>
      <c r="F536" s="59" t="s">
        <v>49</v>
      </c>
      <c r="G536" s="53"/>
      <c r="H536" s="54"/>
      <c r="I536" s="21">
        <f>SUM(I531:I535)</f>
        <v>90500</v>
      </c>
    </row>
    <row r="537" spans="1:9" ht="16.5" thickTop="1" thickBot="1"/>
    <row r="538" spans="1:9" ht="20.25" thickTop="1" thickBot="1">
      <c r="A538" s="12" t="s">
        <v>3</v>
      </c>
      <c r="B538" s="12" t="s">
        <v>176</v>
      </c>
      <c r="C538" s="12" t="s">
        <v>173</v>
      </c>
      <c r="D538" s="9">
        <v>45935</v>
      </c>
      <c r="F538" s="12" t="s">
        <v>3</v>
      </c>
      <c r="G538" s="12" t="s">
        <v>1</v>
      </c>
      <c r="H538" s="12" t="s">
        <v>173</v>
      </c>
      <c r="I538" s="9">
        <v>45935</v>
      </c>
    </row>
    <row r="539" spans="1:9" ht="20.25" thickTop="1" thickBot="1">
      <c r="A539" s="21" t="s">
        <v>6</v>
      </c>
      <c r="B539" s="21" t="s">
        <v>7</v>
      </c>
      <c r="C539" s="21" t="s">
        <v>8</v>
      </c>
      <c r="D539" s="21" t="s">
        <v>9</v>
      </c>
      <c r="F539" s="21" t="s">
        <v>6</v>
      </c>
      <c r="G539" s="21" t="s">
        <v>7</v>
      </c>
      <c r="H539" s="21" t="s">
        <v>8</v>
      </c>
      <c r="I539" s="21" t="s">
        <v>9</v>
      </c>
    </row>
    <row r="540" spans="1:9" ht="20.25" thickTop="1" thickBot="1">
      <c r="A540" s="21">
        <v>1.1000000000000001</v>
      </c>
      <c r="B540" s="21">
        <v>1000000</v>
      </c>
      <c r="C540" s="21">
        <f>VLOOKUP(A540&amp;"|"&amp;B540,$O$3:$P$17,2,FALSE)</f>
        <v>8550</v>
      </c>
      <c r="D540" s="21">
        <f>VLOOKUP(A540&amp;"|"&amp;B540,$Q$3:$R$17,2,FALSE)</f>
        <v>41450</v>
      </c>
      <c r="F540" s="21">
        <v>1</v>
      </c>
      <c r="G540" s="21">
        <v>1000000</v>
      </c>
      <c r="H540" s="21">
        <f>VLOOKUP(F540&amp;"|"&amp;G540,$O$3:$P$17,2,FALSE)</f>
        <v>8000</v>
      </c>
      <c r="I540" s="21">
        <f>VLOOKUP(F540&amp;"|"&amp;G540,$Q$3:$R$17,2,FALSE)</f>
        <v>42000</v>
      </c>
    </row>
    <row r="541" spans="1:9" ht="20.25" thickTop="1" thickBot="1">
      <c r="A541" s="21"/>
      <c r="B541" s="21"/>
      <c r="C541" s="21"/>
      <c r="D541" s="21"/>
      <c r="F541" s="21">
        <v>1.1000000000000001</v>
      </c>
      <c r="G541" s="21">
        <v>1000000</v>
      </c>
      <c r="H541" s="21">
        <f>VLOOKUP(F541&amp;"|"&amp;G541,$O$3:$P$17,2,FALSE)</f>
        <v>8550</v>
      </c>
      <c r="I541" s="21">
        <f>VLOOKUP(F541&amp;"|"&amp;G541,$Q$3:$R$17,2,FALSE)</f>
        <v>41450</v>
      </c>
    </row>
    <row r="542" spans="1:9" ht="20.25" thickTop="1" thickBot="1">
      <c r="A542" s="21"/>
      <c r="B542" s="21"/>
      <c r="C542" s="21"/>
      <c r="D542" s="21"/>
      <c r="F542" s="21"/>
      <c r="G542" s="21"/>
      <c r="H542" s="21"/>
      <c r="I542" s="21"/>
    </row>
    <row r="543" spans="1:9" ht="20.25" thickTop="1" thickBot="1">
      <c r="A543" s="21"/>
      <c r="B543" s="21"/>
      <c r="C543" s="21"/>
      <c r="D543" s="21"/>
      <c r="F543" s="21"/>
      <c r="G543" s="21"/>
      <c r="H543" s="21"/>
      <c r="I543" s="21"/>
    </row>
    <row r="544" spans="1:9" ht="20.25" thickTop="1" thickBot="1">
      <c r="A544" s="21"/>
      <c r="B544" s="21"/>
      <c r="C544" s="21"/>
      <c r="D544" s="21"/>
      <c r="F544" s="21"/>
      <c r="G544" s="21"/>
      <c r="H544" s="21"/>
      <c r="I544" s="21"/>
    </row>
    <row r="545" spans="1:9" ht="20.25" thickTop="1" thickBot="1">
      <c r="A545" s="59" t="s">
        <v>49</v>
      </c>
      <c r="B545" s="53"/>
      <c r="C545" s="54"/>
      <c r="D545" s="21">
        <f>SUM(D540:D544)</f>
        <v>41450</v>
      </c>
      <c r="F545" s="59" t="s">
        <v>49</v>
      </c>
      <c r="G545" s="53"/>
      <c r="H545" s="54"/>
      <c r="I545" s="21">
        <f>SUM(I540:I544)</f>
        <v>83450</v>
      </c>
    </row>
    <row r="546" spans="1:9" ht="16.5" thickTop="1" thickBot="1"/>
    <row r="547" spans="1:9" ht="20.25" thickTop="1" thickBot="1">
      <c r="A547" s="12" t="s">
        <v>3</v>
      </c>
      <c r="B547" s="12" t="s">
        <v>177</v>
      </c>
      <c r="C547" s="12" t="s">
        <v>178</v>
      </c>
      <c r="D547" s="9">
        <v>45935</v>
      </c>
      <c r="F547" s="12" t="s">
        <v>3</v>
      </c>
      <c r="G547" s="12" t="s">
        <v>73</v>
      </c>
      <c r="H547" s="12" t="s">
        <v>48</v>
      </c>
      <c r="I547" s="9">
        <v>45935</v>
      </c>
    </row>
    <row r="548" spans="1:9" ht="20.25" thickTop="1" thickBot="1">
      <c r="A548" s="21" t="s">
        <v>6</v>
      </c>
      <c r="B548" s="21" t="s">
        <v>7</v>
      </c>
      <c r="C548" s="21" t="s">
        <v>8</v>
      </c>
      <c r="D548" s="21" t="s">
        <v>9</v>
      </c>
      <c r="F548" s="21" t="s">
        <v>6</v>
      </c>
      <c r="G548" s="21" t="s">
        <v>7</v>
      </c>
      <c r="H548" s="21" t="s">
        <v>8</v>
      </c>
      <c r="I548" s="21" t="s">
        <v>9</v>
      </c>
    </row>
    <row r="549" spans="1:9" ht="20.25" thickTop="1" thickBot="1">
      <c r="A549" s="21">
        <v>1.1000000000000001</v>
      </c>
      <c r="B549" s="21">
        <v>1000000</v>
      </c>
      <c r="C549" s="21">
        <f>VLOOKUP(A549&amp;"|"&amp;B549,$O$3:$P$17,2,FALSE)</f>
        <v>8550</v>
      </c>
      <c r="D549" s="21">
        <f>VLOOKUP(A549&amp;"|"&amp;B549,$Q$3:$R$17,2,FALSE)</f>
        <v>41450</v>
      </c>
      <c r="F549" s="21">
        <v>1.1000000000000001</v>
      </c>
      <c r="G549" s="21">
        <v>1000000</v>
      </c>
      <c r="H549" s="21">
        <f>VLOOKUP(F549&amp;"|"&amp;G549,$O$3:$P$17,2,FALSE)</f>
        <v>8550</v>
      </c>
      <c r="I549" s="21">
        <f>VLOOKUP(F549&amp;"|"&amp;G549,$Q$3:$R$17,2,FALSE)</f>
        <v>41450</v>
      </c>
    </row>
    <row r="550" spans="1:9" ht="20.25" thickTop="1" thickBot="1">
      <c r="A550" s="21"/>
      <c r="B550" s="21"/>
      <c r="C550" s="21"/>
      <c r="D550" s="21"/>
      <c r="F550" s="21"/>
      <c r="G550" s="21"/>
      <c r="H550" s="21"/>
      <c r="I550" s="21"/>
    </row>
    <row r="551" spans="1:9" ht="20.25" thickTop="1" thickBot="1">
      <c r="A551" s="21"/>
      <c r="B551" s="21"/>
      <c r="C551" s="21"/>
      <c r="D551" s="21"/>
      <c r="F551" s="21"/>
      <c r="G551" s="21"/>
      <c r="H551" s="21"/>
      <c r="I551" s="21"/>
    </row>
    <row r="552" spans="1:9" ht="20.25" thickTop="1" thickBot="1">
      <c r="A552" s="21"/>
      <c r="B552" s="21"/>
      <c r="C552" s="21"/>
      <c r="D552" s="21"/>
      <c r="F552" s="21"/>
      <c r="G552" s="21"/>
      <c r="H552" s="21"/>
      <c r="I552" s="21"/>
    </row>
    <row r="553" spans="1:9" ht="20.25" thickTop="1" thickBot="1">
      <c r="A553" s="21"/>
      <c r="B553" s="21"/>
      <c r="C553" s="21"/>
      <c r="D553" s="21"/>
      <c r="F553" s="21"/>
      <c r="G553" s="21"/>
      <c r="H553" s="21"/>
      <c r="I553" s="21"/>
    </row>
    <row r="554" spans="1:9" ht="20.25" thickTop="1" thickBot="1">
      <c r="A554" s="59" t="s">
        <v>49</v>
      </c>
      <c r="B554" s="53"/>
      <c r="C554" s="54"/>
      <c r="D554" s="21">
        <f>SUM(D549:D553)</f>
        <v>41450</v>
      </c>
      <c r="F554" s="59" t="s">
        <v>49</v>
      </c>
      <c r="G554" s="53"/>
      <c r="H554" s="54"/>
      <c r="I554" s="21">
        <f>SUM(I549:I553)</f>
        <v>41450</v>
      </c>
    </row>
    <row r="555" spans="1:9" ht="16.5" thickTop="1" thickBot="1"/>
    <row r="556" spans="1:9" ht="20.25" thickTop="1" thickBot="1">
      <c r="A556" s="12" t="s">
        <v>3</v>
      </c>
      <c r="B556" s="12" t="s">
        <v>124</v>
      </c>
      <c r="C556" s="12" t="s">
        <v>24</v>
      </c>
      <c r="D556" s="9">
        <v>45935</v>
      </c>
      <c r="F556" s="12" t="s">
        <v>3</v>
      </c>
      <c r="G556" s="12" t="s">
        <v>73</v>
      </c>
      <c r="H556" s="12" t="s">
        <v>179</v>
      </c>
      <c r="I556" s="9">
        <v>45935</v>
      </c>
    </row>
    <row r="557" spans="1:9" ht="20.25" thickTop="1" thickBot="1">
      <c r="A557" s="21" t="s">
        <v>6</v>
      </c>
      <c r="B557" s="21" t="s">
        <v>7</v>
      </c>
      <c r="C557" s="21" t="s">
        <v>8</v>
      </c>
      <c r="D557" s="21" t="s">
        <v>9</v>
      </c>
      <c r="F557" s="21" t="s">
        <v>6</v>
      </c>
      <c r="G557" s="21" t="s">
        <v>7</v>
      </c>
      <c r="H557" s="21" t="s">
        <v>8</v>
      </c>
      <c r="I557" s="21" t="s">
        <v>9</v>
      </c>
    </row>
    <row r="558" spans="1:9" ht="20.25" thickTop="1" thickBot="1">
      <c r="A558" s="21">
        <v>1.1000000000000001</v>
      </c>
      <c r="B558" s="21">
        <v>1000000</v>
      </c>
      <c r="C558" s="21">
        <f>VLOOKUP(A558&amp;"|"&amp;B558,$O$3:$P$17,2,FALSE)</f>
        <v>8550</v>
      </c>
      <c r="D558" s="21">
        <f>VLOOKUP(A558&amp;"|"&amp;B558,$Q$3:$R$17,2,FALSE)</f>
        <v>41450</v>
      </c>
      <c r="F558" s="21">
        <v>1</v>
      </c>
      <c r="G558" s="21">
        <v>500000</v>
      </c>
      <c r="H558" s="21">
        <f>VLOOKUP(F558&amp;"|"&amp;G558,$O$3:$P$17,2,FALSE)</f>
        <v>4000</v>
      </c>
      <c r="I558" s="21">
        <f>VLOOKUP(F558&amp;"|"&amp;G558,$Q$3:$R$17,2,FALSE)</f>
        <v>21000</v>
      </c>
    </row>
    <row r="559" spans="1:9" ht="20.25" thickTop="1" thickBot="1">
      <c r="A559" s="21"/>
      <c r="B559" s="21"/>
      <c r="C559" s="21"/>
      <c r="D559" s="21"/>
      <c r="F559" s="21"/>
      <c r="G559" s="21"/>
      <c r="H559" s="21"/>
      <c r="I559" s="21"/>
    </row>
    <row r="560" spans="1:9" ht="20.25" thickTop="1" thickBot="1">
      <c r="A560" s="21"/>
      <c r="B560" s="21"/>
      <c r="C560" s="21"/>
      <c r="D560" s="21"/>
      <c r="F560" s="21"/>
      <c r="G560" s="21"/>
      <c r="H560" s="21"/>
      <c r="I560" s="21"/>
    </row>
    <row r="561" spans="1:9" ht="20.25" thickTop="1" thickBot="1">
      <c r="A561" s="21"/>
      <c r="B561" s="21"/>
      <c r="C561" s="21"/>
      <c r="D561" s="21"/>
      <c r="F561" s="21"/>
      <c r="G561" s="21"/>
      <c r="H561" s="21"/>
      <c r="I561" s="21"/>
    </row>
    <row r="562" spans="1:9" ht="20.25" thickTop="1" thickBot="1">
      <c r="A562" s="21"/>
      <c r="B562" s="21"/>
      <c r="C562" s="21"/>
      <c r="D562" s="21"/>
      <c r="F562" s="21"/>
      <c r="G562" s="21"/>
      <c r="H562" s="21"/>
      <c r="I562" s="21"/>
    </row>
    <row r="563" spans="1:9" ht="20.25" thickTop="1" thickBot="1">
      <c r="A563" s="59" t="s">
        <v>49</v>
      </c>
      <c r="B563" s="53"/>
      <c r="C563" s="54"/>
      <c r="D563" s="21">
        <f>SUM(D558:D562)</f>
        <v>41450</v>
      </c>
      <c r="F563" s="59" t="s">
        <v>49</v>
      </c>
      <c r="G563" s="53"/>
      <c r="H563" s="54"/>
      <c r="I563" s="21">
        <f>SUM(I558:I562)</f>
        <v>21000</v>
      </c>
    </row>
    <row r="564" spans="1:9" ht="16.5" thickTop="1" thickBot="1"/>
    <row r="565" spans="1:9" ht="20.25" thickTop="1" thickBot="1">
      <c r="A565" s="12" t="s">
        <v>3</v>
      </c>
      <c r="B565" s="12" t="s">
        <v>180</v>
      </c>
      <c r="C565" s="12" t="s">
        <v>181</v>
      </c>
      <c r="D565" s="9">
        <v>45935</v>
      </c>
      <c r="F565" s="12" t="s">
        <v>3</v>
      </c>
      <c r="G565" s="12" t="s">
        <v>61</v>
      </c>
      <c r="H565" s="12" t="s">
        <v>39</v>
      </c>
      <c r="I565" s="9">
        <v>45935</v>
      </c>
    </row>
    <row r="566" spans="1:9" ht="20.25" thickTop="1" thickBot="1">
      <c r="A566" s="21" t="s">
        <v>6</v>
      </c>
      <c r="B566" s="21" t="s">
        <v>7</v>
      </c>
      <c r="C566" s="21" t="s">
        <v>8</v>
      </c>
      <c r="D566" s="21" t="s">
        <v>9</v>
      </c>
      <c r="F566" s="21" t="s">
        <v>6</v>
      </c>
      <c r="G566" s="21" t="s">
        <v>7</v>
      </c>
      <c r="H566" s="21" t="s">
        <v>8</v>
      </c>
      <c r="I566" s="21" t="s">
        <v>9</v>
      </c>
    </row>
    <row r="567" spans="1:9" ht="20.25" thickTop="1" thickBot="1">
      <c r="A567" s="21">
        <v>1</v>
      </c>
      <c r="B567" s="21">
        <v>500000</v>
      </c>
      <c r="C567" s="21">
        <f>VLOOKUP(A567&amp;"|"&amp;B567,$O$3:$P$17,2,FALSE)</f>
        <v>4000</v>
      </c>
      <c r="D567" s="21">
        <f>VLOOKUP(A567&amp;"|"&amp;B567,$Q$3:$R$17,2,FALSE)</f>
        <v>21000</v>
      </c>
      <c r="F567" s="21">
        <v>1</v>
      </c>
      <c r="G567" s="21">
        <v>500000</v>
      </c>
      <c r="H567" s="21">
        <f>VLOOKUP(F567&amp;"|"&amp;G567,$O$3:$P$17,2,FALSE)</f>
        <v>4000</v>
      </c>
      <c r="I567" s="21">
        <f>VLOOKUP(F567&amp;"|"&amp;G567,$Q$3:$R$17,2,FALSE)</f>
        <v>21000</v>
      </c>
    </row>
    <row r="568" spans="1:9" ht="20.25" thickTop="1" thickBot="1">
      <c r="A568" s="21"/>
      <c r="B568" s="21"/>
      <c r="C568" s="21"/>
      <c r="D568" s="21"/>
      <c r="F568" s="21"/>
      <c r="G568" s="21"/>
      <c r="H568" s="21"/>
      <c r="I568" s="21"/>
    </row>
    <row r="569" spans="1:9" ht="20.25" thickTop="1" thickBot="1">
      <c r="A569" s="21"/>
      <c r="B569" s="21"/>
      <c r="C569" s="21"/>
      <c r="D569" s="21"/>
      <c r="F569" s="21"/>
      <c r="G569" s="21"/>
      <c r="H569" s="21"/>
      <c r="I569" s="21"/>
    </row>
    <row r="570" spans="1:9" ht="20.25" thickTop="1" thickBot="1">
      <c r="A570" s="21"/>
      <c r="B570" s="21"/>
      <c r="C570" s="21"/>
      <c r="D570" s="21"/>
      <c r="F570" s="21"/>
      <c r="G570" s="21"/>
      <c r="H570" s="21"/>
      <c r="I570" s="21"/>
    </row>
    <row r="571" spans="1:9" ht="20.25" thickTop="1" thickBot="1">
      <c r="A571" s="21"/>
      <c r="B571" s="21"/>
      <c r="C571" s="21"/>
      <c r="D571" s="21"/>
      <c r="F571" s="21"/>
      <c r="G571" s="21"/>
      <c r="H571" s="21"/>
      <c r="I571" s="21"/>
    </row>
    <row r="572" spans="1:9" ht="20.25" thickTop="1" thickBot="1">
      <c r="A572" s="59" t="s">
        <v>49</v>
      </c>
      <c r="B572" s="53"/>
      <c r="C572" s="54"/>
      <c r="D572" s="21">
        <f>SUM(D567:D571)</f>
        <v>21000</v>
      </c>
      <c r="F572" s="59" t="s">
        <v>49</v>
      </c>
      <c r="G572" s="53"/>
      <c r="H572" s="54"/>
      <c r="I572" s="21">
        <f>SUM(I567:I571)</f>
        <v>21000</v>
      </c>
    </row>
    <row r="573" spans="1:9" ht="16.5" thickTop="1" thickBot="1"/>
    <row r="574" spans="1:9" ht="20.25" thickTop="1" thickBot="1">
      <c r="A574" s="12" t="s">
        <v>3</v>
      </c>
      <c r="B574" s="12" t="s">
        <v>21</v>
      </c>
      <c r="C574" s="12" t="s">
        <v>24</v>
      </c>
      <c r="D574" s="9">
        <v>45935</v>
      </c>
    </row>
    <row r="575" spans="1:9" ht="20.25" thickTop="1" thickBot="1">
      <c r="A575" s="21" t="s">
        <v>6</v>
      </c>
      <c r="B575" s="21" t="s">
        <v>7</v>
      </c>
      <c r="C575" s="21" t="s">
        <v>8</v>
      </c>
      <c r="D575" s="21" t="s">
        <v>9</v>
      </c>
    </row>
    <row r="576" spans="1:9" ht="20.25" thickTop="1" thickBot="1">
      <c r="A576" s="21">
        <v>1</v>
      </c>
      <c r="B576" s="21">
        <v>500000</v>
      </c>
      <c r="C576" s="21">
        <f>VLOOKUP(A576&amp;"|"&amp;B576,$O$3:$P$17,2,FALSE)</f>
        <v>4000</v>
      </c>
      <c r="D576" s="21">
        <f>VLOOKUP(A576&amp;"|"&amp;B576,$Q$3:$R$17,2,FALSE)</f>
        <v>21000</v>
      </c>
    </row>
    <row r="577" spans="1:4" ht="20.25" thickTop="1" thickBot="1">
      <c r="A577" s="21"/>
      <c r="B577" s="21"/>
      <c r="C577" s="21"/>
      <c r="D577" s="21"/>
    </row>
    <row r="578" spans="1:4" ht="20.25" thickTop="1" thickBot="1">
      <c r="A578" s="21"/>
      <c r="B578" s="21"/>
      <c r="C578" s="21"/>
      <c r="D578" s="21"/>
    </row>
    <row r="579" spans="1:4" ht="20.25" thickTop="1" thickBot="1">
      <c r="A579" s="21"/>
      <c r="B579" s="21"/>
      <c r="C579" s="21"/>
      <c r="D579" s="21"/>
    </row>
    <row r="580" spans="1:4" ht="20.25" thickTop="1" thickBot="1">
      <c r="A580" s="21"/>
      <c r="B580" s="21"/>
      <c r="C580" s="21"/>
      <c r="D580" s="21"/>
    </row>
    <row r="581" spans="1:4" ht="20.25" thickTop="1" thickBot="1">
      <c r="A581" s="59" t="s">
        <v>49</v>
      </c>
      <c r="B581" s="53"/>
      <c r="C581" s="54"/>
      <c r="D581" s="21">
        <f>SUM(D576:D580)</f>
        <v>21000</v>
      </c>
    </row>
    <row r="582" spans="1:4" ht="15.75" thickTop="1"/>
  </sheetData>
  <mergeCells count="64">
    <mergeCell ref="A8:C8"/>
    <mergeCell ref="F8:H8"/>
    <mergeCell ref="A17:C17"/>
    <mergeCell ref="F17:H17"/>
    <mergeCell ref="A26:C26"/>
    <mergeCell ref="F26:H26"/>
    <mergeCell ref="F103:H103"/>
    <mergeCell ref="A35:C35"/>
    <mergeCell ref="F35:H35"/>
    <mergeCell ref="A44:C44"/>
    <mergeCell ref="F44:H44"/>
    <mergeCell ref="A53:C53"/>
    <mergeCell ref="F53:H53"/>
    <mergeCell ref="A62:C62"/>
    <mergeCell ref="F62:H62"/>
    <mergeCell ref="F71:H71"/>
    <mergeCell ref="F85:H85"/>
    <mergeCell ref="F94:H94"/>
    <mergeCell ref="F211:H211"/>
    <mergeCell ref="F112:H112"/>
    <mergeCell ref="F121:H121"/>
    <mergeCell ref="F130:H130"/>
    <mergeCell ref="F139:H139"/>
    <mergeCell ref="F148:H148"/>
    <mergeCell ref="F157:H157"/>
    <mergeCell ref="F166:H166"/>
    <mergeCell ref="F175:H175"/>
    <mergeCell ref="F184:H184"/>
    <mergeCell ref="F193:H193"/>
    <mergeCell ref="F202:H202"/>
    <mergeCell ref="F320:H320"/>
    <mergeCell ref="F220:H220"/>
    <mergeCell ref="F229:H229"/>
    <mergeCell ref="F238:H238"/>
    <mergeCell ref="F247:H247"/>
    <mergeCell ref="F256:H256"/>
    <mergeCell ref="F265:H265"/>
    <mergeCell ref="F274:H274"/>
    <mergeCell ref="F284:H284"/>
    <mergeCell ref="F293:H293"/>
    <mergeCell ref="F302:H302"/>
    <mergeCell ref="F311:H311"/>
    <mergeCell ref="F428:H428"/>
    <mergeCell ref="F329:H329"/>
    <mergeCell ref="F338:H338"/>
    <mergeCell ref="F347:H347"/>
    <mergeCell ref="F356:H356"/>
    <mergeCell ref="F365:H365"/>
    <mergeCell ref="F374:H374"/>
    <mergeCell ref="F383:H383"/>
    <mergeCell ref="F392:H392"/>
    <mergeCell ref="F401:H401"/>
    <mergeCell ref="F410:H410"/>
    <mergeCell ref="F419:H419"/>
    <mergeCell ref="F491:H491"/>
    <mergeCell ref="F500:H500"/>
    <mergeCell ref="F518:H518"/>
    <mergeCell ref="F527:H527"/>
    <mergeCell ref="F437:H437"/>
    <mergeCell ref="F446:H446"/>
    <mergeCell ref="F455:H455"/>
    <mergeCell ref="F464:H464"/>
    <mergeCell ref="F473:H473"/>
    <mergeCell ref="F482:H48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7D0BC-8764-45F6-8BB9-2028D831BE8E}">
  <dimension ref="A1:Z591"/>
  <sheetViews>
    <sheetView workbookViewId="0">
      <selection sqref="A1:XFD1048576"/>
    </sheetView>
  </sheetViews>
  <sheetFormatPr defaultColWidth="13.85546875" defaultRowHeight="15"/>
  <cols>
    <col min="2" max="2" width="23" customWidth="1"/>
    <col min="3" max="3" width="17.7109375" customWidth="1"/>
    <col min="5" max="5" width="2.140625" customWidth="1"/>
    <col min="7" max="7" width="22.5703125" customWidth="1"/>
    <col min="8" max="8" width="17" customWidth="1"/>
    <col min="10" max="10" width="1.85546875" customWidth="1"/>
    <col min="11" max="11" width="0.28515625" customWidth="1"/>
    <col min="12" max="12" width="7" customWidth="1"/>
    <col min="13" max="13" width="11.5703125" customWidth="1"/>
    <col min="14" max="14" width="12.140625" customWidth="1"/>
    <col min="15" max="15" width="12.7109375" customWidth="1"/>
    <col min="16" max="16" width="12.85546875" customWidth="1"/>
    <col min="17" max="17" width="12.140625" customWidth="1"/>
    <col min="18" max="18" width="12.85546875" customWidth="1"/>
    <col min="19" max="19" width="2.42578125" customWidth="1"/>
    <col min="23" max="23" width="23.85546875" customWidth="1"/>
  </cols>
  <sheetData>
    <row r="1" spans="1:26" ht="20.25" thickTop="1" thickBot="1">
      <c r="A1" s="8" t="s">
        <v>0</v>
      </c>
      <c r="B1" s="8" t="s">
        <v>1</v>
      </c>
      <c r="C1" s="8" t="s">
        <v>2</v>
      </c>
      <c r="D1" s="9">
        <v>45935</v>
      </c>
      <c r="E1" s="10"/>
      <c r="F1" s="12" t="s">
        <v>3</v>
      </c>
      <c r="G1" s="12" t="s">
        <v>4</v>
      </c>
      <c r="H1" s="12" t="s">
        <v>5</v>
      </c>
      <c r="I1" s="9">
        <v>45935</v>
      </c>
      <c r="J1" s="13"/>
      <c r="L1" s="1"/>
      <c r="M1" s="1"/>
      <c r="N1" s="14"/>
      <c r="O1" s="15"/>
      <c r="P1" s="16"/>
      <c r="Q1" s="15"/>
      <c r="R1" s="17"/>
      <c r="S1" s="1"/>
      <c r="U1" s="1"/>
      <c r="V1" s="1"/>
      <c r="W1" s="1"/>
      <c r="X1" s="1"/>
      <c r="Y1" s="1"/>
      <c r="Z1" s="1"/>
    </row>
    <row r="2" spans="1:26" ht="31.5" thickTop="1" thickBot="1">
      <c r="A2" s="8" t="s">
        <v>6</v>
      </c>
      <c r="B2" s="8" t="s">
        <v>7</v>
      </c>
      <c r="C2" s="8" t="s">
        <v>8</v>
      </c>
      <c r="D2" s="8" t="s">
        <v>9</v>
      </c>
      <c r="E2" s="10"/>
      <c r="F2" s="21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8">
        <v>17</v>
      </c>
      <c r="B3" s="8">
        <v>1000000</v>
      </c>
      <c r="C3" s="8">
        <f>VLOOKUP(A3&amp;"|"&amp;B3,$O$3:$P$16,2,FALSE)</f>
        <v>350</v>
      </c>
      <c r="D3" s="8">
        <f>VLOOKUP(A3&amp;"|"&amp;B3,$Q$3:$R$16,2,FALSE)</f>
        <v>49650</v>
      </c>
      <c r="E3" s="10"/>
      <c r="F3" s="21">
        <v>17</v>
      </c>
      <c r="G3" s="21">
        <v>500000</v>
      </c>
      <c r="H3" s="21">
        <f>VLOOKUP(F3&amp;"|"&amp;G3,$O$3:$P$19,2,FALSE)</f>
        <v>300</v>
      </c>
      <c r="I3" s="21">
        <f>VLOOKUP(F3&amp;"|"&amp;G3,$Q$3:$R$19,2,FALSE)</f>
        <v>24700</v>
      </c>
      <c r="J3" s="13"/>
      <c r="K3" s="1"/>
      <c r="L3" s="46">
        <v>11</v>
      </c>
      <c r="M3" s="74">
        <v>500000</v>
      </c>
      <c r="N3" s="46">
        <v>32000</v>
      </c>
      <c r="O3" s="46" t="str">
        <f t="shared" ref="O3:O18" si="0">L3&amp;"|"&amp;M3</f>
        <v>11|500000</v>
      </c>
      <c r="P3" s="46">
        <f t="shared" ref="P3:P18" si="1">N3/20</f>
        <v>1600</v>
      </c>
      <c r="Q3" s="46" t="str">
        <f t="shared" ref="Q3:Q18" si="2">L3&amp;"|"&amp;M3</f>
        <v>11|500000</v>
      </c>
      <c r="R3" s="47">
        <f t="shared" ref="R3:R18" si="3">(M3-N3)/20</f>
        <v>23400</v>
      </c>
      <c r="S3" s="1"/>
      <c r="T3" s="49">
        <f>D8</f>
        <v>72050</v>
      </c>
      <c r="U3" s="49" t="str">
        <f>B1</f>
        <v>SOHANJI</v>
      </c>
      <c r="V3" s="49" t="str">
        <f>C1</f>
        <v>ALWN.CO</v>
      </c>
      <c r="W3" s="1"/>
      <c r="X3" s="49">
        <f>I8</f>
        <v>24700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8">
        <v>6</v>
      </c>
      <c r="B4" s="8">
        <v>500000</v>
      </c>
      <c r="C4" s="8">
        <f>VLOOKUP(A4&amp;"|"&amp;B4,$O$3:$P$16,2,FALSE)</f>
        <v>2600</v>
      </c>
      <c r="D4" s="8">
        <f>VLOOKUP(A4&amp;"|"&amp;B4,$Q$3:$R$16,2,FALSE)</f>
        <v>22400</v>
      </c>
      <c r="E4" s="10"/>
      <c r="F4" s="21"/>
      <c r="G4" s="21"/>
      <c r="H4" s="21"/>
      <c r="I4" s="21"/>
      <c r="J4" s="13"/>
      <c r="K4" s="1"/>
      <c r="L4" s="46">
        <v>11</v>
      </c>
      <c r="M4" s="74">
        <v>250000</v>
      </c>
      <c r="N4" s="45">
        <v>16000</v>
      </c>
      <c r="O4" s="46" t="str">
        <f t="shared" si="0"/>
        <v>11|250000</v>
      </c>
      <c r="P4" s="46">
        <f t="shared" si="1"/>
        <v>800</v>
      </c>
      <c r="Q4" s="46" t="str">
        <f t="shared" si="2"/>
        <v>11|250000</v>
      </c>
      <c r="R4" s="47">
        <f t="shared" si="3"/>
        <v>11700</v>
      </c>
      <c r="S4" s="1"/>
      <c r="T4" s="49">
        <f>D17</f>
        <v>24700</v>
      </c>
      <c r="U4" s="49" t="str">
        <f>B10</f>
        <v>JIVARAMJI</v>
      </c>
      <c r="V4" s="49" t="str">
        <f>C10</f>
        <v>YAMJAL</v>
      </c>
      <c r="W4" s="1"/>
      <c r="X4" s="49">
        <f>I17</f>
        <v>24700</v>
      </c>
      <c r="Y4" s="49" t="str">
        <f>G10</f>
        <v>BHAWARJI</v>
      </c>
      <c r="Z4" s="49" t="str">
        <f>H10</f>
        <v>BAJPLY</v>
      </c>
    </row>
    <row r="5" spans="1:26" ht="20.25" thickTop="1" thickBot="1">
      <c r="A5" s="8"/>
      <c r="B5" s="8"/>
      <c r="C5" s="8"/>
      <c r="D5" s="8"/>
      <c r="E5" s="10"/>
      <c r="F5" s="21"/>
      <c r="G5" s="21"/>
      <c r="H5" s="21"/>
      <c r="I5" s="21"/>
      <c r="J5" s="13"/>
      <c r="K5" s="1"/>
      <c r="L5" s="1">
        <v>6</v>
      </c>
      <c r="M5" s="1">
        <v>2000000</v>
      </c>
      <c r="N5" s="1">
        <v>190000</v>
      </c>
      <c r="O5" s="45" t="str">
        <f t="shared" si="0"/>
        <v>6|2000000</v>
      </c>
      <c r="P5" s="46">
        <f t="shared" si="1"/>
        <v>9500</v>
      </c>
      <c r="Q5" s="45" t="str">
        <f t="shared" si="2"/>
        <v>6|2000000</v>
      </c>
      <c r="R5" s="47">
        <f t="shared" si="3"/>
        <v>90500</v>
      </c>
      <c r="S5" s="1"/>
      <c r="T5" s="49">
        <f>D26</f>
        <v>140150</v>
      </c>
      <c r="U5" s="49" t="str">
        <f>B19</f>
        <v>MANGILALJI</v>
      </c>
      <c r="V5" s="49" t="str">
        <f>C19</f>
        <v>BOLARAM</v>
      </c>
      <c r="W5" s="1"/>
      <c r="X5" s="49">
        <f>I26</f>
        <v>148450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8"/>
      <c r="B6" s="8"/>
      <c r="C6" s="8"/>
      <c r="D6" s="8"/>
      <c r="E6" s="10"/>
      <c r="F6" s="21"/>
      <c r="G6" s="21"/>
      <c r="H6" s="21"/>
      <c r="I6" s="21"/>
      <c r="J6" s="13"/>
      <c r="K6" s="1"/>
      <c r="L6" s="48">
        <v>6</v>
      </c>
      <c r="M6" s="45">
        <v>500000</v>
      </c>
      <c r="N6" s="45">
        <v>52000</v>
      </c>
      <c r="O6" s="45" t="str">
        <f t="shared" si="0"/>
        <v>6|500000</v>
      </c>
      <c r="P6" s="46">
        <f t="shared" si="1"/>
        <v>2600</v>
      </c>
      <c r="Q6" s="45" t="str">
        <f t="shared" si="2"/>
        <v>6|500000</v>
      </c>
      <c r="R6" s="47">
        <f t="shared" si="3"/>
        <v>22400</v>
      </c>
      <c r="S6" s="1"/>
      <c r="T6" s="49">
        <f>D35</f>
        <v>146800</v>
      </c>
      <c r="U6" s="49" t="str">
        <f>B28</f>
        <v>KISHANJI</v>
      </c>
      <c r="V6" s="49" t="str">
        <f>C28</f>
        <v>KAMAN</v>
      </c>
      <c r="W6" s="1"/>
      <c r="X6" s="49">
        <f>I35</f>
        <v>22400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8"/>
      <c r="B7" s="8"/>
      <c r="C7" s="8"/>
      <c r="D7" s="8"/>
      <c r="E7" s="10"/>
      <c r="F7" s="21"/>
      <c r="G7" s="21"/>
      <c r="H7" s="21"/>
      <c r="I7" s="21"/>
      <c r="J7" s="13"/>
      <c r="K7" s="1"/>
      <c r="L7" s="48">
        <v>17.100000000000001</v>
      </c>
      <c r="M7" s="45">
        <v>500000</v>
      </c>
      <c r="N7" s="45">
        <v>3000</v>
      </c>
      <c r="O7" s="45" t="str">
        <f t="shared" si="0"/>
        <v>17.1|500000</v>
      </c>
      <c r="P7" s="46">
        <f t="shared" si="1"/>
        <v>150</v>
      </c>
      <c r="Q7" s="46" t="str">
        <f t="shared" si="2"/>
        <v>17.1|500000</v>
      </c>
      <c r="R7" s="47">
        <f t="shared" si="3"/>
        <v>24850</v>
      </c>
      <c r="S7" s="1"/>
      <c r="T7" s="49">
        <f>D44</f>
        <v>24050</v>
      </c>
      <c r="U7" s="49" t="str">
        <f>B37</f>
        <v>BHONARAMJI</v>
      </c>
      <c r="V7" s="49" t="str">
        <f>C37</f>
        <v>G.MAISAMA</v>
      </c>
      <c r="W7" s="1"/>
      <c r="X7" s="49">
        <f>I44</f>
        <v>139900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87" t="s">
        <v>16</v>
      </c>
      <c r="B8" s="88"/>
      <c r="C8" s="89"/>
      <c r="D8" s="8">
        <f>SUM(D3:D7)</f>
        <v>72050</v>
      </c>
      <c r="E8" s="10"/>
      <c r="F8" s="84" t="s">
        <v>16</v>
      </c>
      <c r="G8" s="85"/>
      <c r="H8" s="86"/>
      <c r="I8" s="21">
        <f>SUM(I3:I7)</f>
        <v>24700</v>
      </c>
      <c r="J8" s="13"/>
      <c r="K8" s="1"/>
      <c r="L8" s="48">
        <v>17</v>
      </c>
      <c r="M8" s="45">
        <v>1000000</v>
      </c>
      <c r="N8" s="45">
        <v>7000</v>
      </c>
      <c r="O8" s="45" t="str">
        <f t="shared" si="0"/>
        <v>17|1000000</v>
      </c>
      <c r="P8" s="46">
        <f t="shared" si="1"/>
        <v>350</v>
      </c>
      <c r="Q8" s="45" t="str">
        <f t="shared" si="2"/>
        <v>17|1000000</v>
      </c>
      <c r="R8" s="47">
        <f t="shared" si="3"/>
        <v>49650</v>
      </c>
      <c r="S8" s="1"/>
      <c r="T8" s="49">
        <f>D53</f>
        <v>24850</v>
      </c>
      <c r="U8" s="49" t="str">
        <f>B46</f>
        <v>RAMESHJI</v>
      </c>
      <c r="V8" s="49" t="str">
        <f>C46</f>
        <v>HITECH</v>
      </c>
      <c r="W8" s="1"/>
      <c r="X8" s="49">
        <f>I53</f>
        <v>24000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41"/>
      <c r="B9" s="40"/>
      <c r="C9" s="41"/>
      <c r="D9" s="41"/>
      <c r="E9" s="42"/>
      <c r="F9" s="42"/>
      <c r="G9" s="42"/>
      <c r="H9" s="42"/>
      <c r="I9" s="42"/>
      <c r="J9" s="13"/>
      <c r="K9" s="1"/>
      <c r="L9" s="48">
        <v>17.100000000000001</v>
      </c>
      <c r="M9" s="45">
        <v>1000000</v>
      </c>
      <c r="N9" s="45">
        <v>12000</v>
      </c>
      <c r="O9" s="45" t="str">
        <f t="shared" si="0"/>
        <v>17.1|1000000</v>
      </c>
      <c r="P9" s="46">
        <f t="shared" si="1"/>
        <v>600</v>
      </c>
      <c r="Q9" s="45" t="str">
        <f t="shared" si="2"/>
        <v>17.1|1000000</v>
      </c>
      <c r="R9" s="47">
        <f t="shared" si="3"/>
        <v>49400</v>
      </c>
      <c r="S9" s="1"/>
      <c r="T9" s="49">
        <f>D62</f>
        <v>91400</v>
      </c>
      <c r="U9" s="49" t="str">
        <f>B55</f>
        <v>SOHANJI</v>
      </c>
      <c r="V9" s="49" t="str">
        <f>C55</f>
        <v>KOTLAPUR</v>
      </c>
      <c r="W9" s="1"/>
      <c r="X9" s="49">
        <f>I62</f>
        <v>63850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1" t="s">
        <v>0</v>
      </c>
      <c r="B10" s="21" t="s">
        <v>17</v>
      </c>
      <c r="C10" s="21" t="s">
        <v>18</v>
      </c>
      <c r="D10" s="9">
        <v>45935</v>
      </c>
      <c r="E10" s="10"/>
      <c r="F10" s="21" t="s">
        <v>0</v>
      </c>
      <c r="G10" s="21" t="s">
        <v>19</v>
      </c>
      <c r="H10" s="21" t="s">
        <v>20</v>
      </c>
      <c r="I10" s="9">
        <v>45935</v>
      </c>
      <c r="J10" s="44"/>
      <c r="K10" s="1"/>
      <c r="L10" s="48">
        <v>14</v>
      </c>
      <c r="M10" s="45">
        <v>500000</v>
      </c>
      <c r="N10" s="45">
        <v>20000</v>
      </c>
      <c r="O10" s="45" t="str">
        <f t="shared" si="0"/>
        <v>14|500000</v>
      </c>
      <c r="P10" s="46">
        <f t="shared" si="1"/>
        <v>1000</v>
      </c>
      <c r="Q10" s="45" t="str">
        <f t="shared" si="2"/>
        <v>14|500000</v>
      </c>
      <c r="R10" s="47">
        <f t="shared" si="3"/>
        <v>24000</v>
      </c>
      <c r="S10" s="1"/>
      <c r="T10" s="49">
        <f>D71</f>
        <v>115350</v>
      </c>
      <c r="U10" s="49" t="str">
        <f>B64</f>
        <v>KUNARAMJI</v>
      </c>
      <c r="V10" s="49" t="str">
        <f>C64</f>
        <v>GANDHI NGR</v>
      </c>
      <c r="W10" s="1"/>
      <c r="X10" s="49">
        <f>I71</f>
        <v>47250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1" t="s">
        <v>6</v>
      </c>
      <c r="B11" s="21" t="s">
        <v>7</v>
      </c>
      <c r="C11" s="21" t="s">
        <v>8</v>
      </c>
      <c r="D11" s="21" t="s">
        <v>9</v>
      </c>
      <c r="E11" s="10"/>
      <c r="F11" s="21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48">
        <v>1</v>
      </c>
      <c r="M11" s="45">
        <v>500000</v>
      </c>
      <c r="N11" s="45">
        <v>80000</v>
      </c>
      <c r="O11" s="45" t="str">
        <f t="shared" si="0"/>
        <v>1|500000</v>
      </c>
      <c r="P11" s="46">
        <f t="shared" si="1"/>
        <v>4000</v>
      </c>
      <c r="Q11" s="45" t="str">
        <f t="shared" si="2"/>
        <v>1|500000</v>
      </c>
      <c r="R11" s="47">
        <f t="shared" si="3"/>
        <v>21000</v>
      </c>
      <c r="S11" s="1"/>
      <c r="T11" s="49">
        <f>D85</f>
        <v>363350</v>
      </c>
      <c r="U11" s="49" t="str">
        <f>B73</f>
        <v>MATAJI</v>
      </c>
      <c r="V11" s="49" t="str">
        <f>C73</f>
        <v>G.R</v>
      </c>
      <c r="W11" s="1"/>
      <c r="X11" s="49">
        <f>I85</f>
        <v>296300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21">
        <v>17</v>
      </c>
      <c r="B12" s="21">
        <v>500000</v>
      </c>
      <c r="C12" s="21">
        <f>VLOOKUP(A12&amp;"|"&amp;B12,$O$3:$P$16,2,FALSE)</f>
        <v>300</v>
      </c>
      <c r="D12" s="21">
        <f>VLOOKUP(A12&amp;"|"&amp;B12,$Q$3:$R$16,2,FALSE)</f>
        <v>24700</v>
      </c>
      <c r="E12" s="10"/>
      <c r="F12" s="21">
        <v>17</v>
      </c>
      <c r="G12" s="21">
        <v>500000</v>
      </c>
      <c r="H12" s="21">
        <f>VLOOKUP(F12&amp;"|"&amp;G12,$O$3:$P$16,2,FALSE)</f>
        <v>300</v>
      </c>
      <c r="I12" s="21">
        <f>VLOOKUP(F12&amp;"|"&amp;G12,$Q$3:$R$16,2,FALSE)</f>
        <v>24700</v>
      </c>
      <c r="J12" s="13"/>
      <c r="K12" s="1"/>
      <c r="L12" s="48">
        <v>1</v>
      </c>
      <c r="M12" s="45">
        <v>1000000</v>
      </c>
      <c r="N12" s="45">
        <v>160000</v>
      </c>
      <c r="O12" s="45" t="str">
        <f t="shared" si="0"/>
        <v>1|1000000</v>
      </c>
      <c r="P12" s="46">
        <f t="shared" si="1"/>
        <v>8000</v>
      </c>
      <c r="Q12" s="45" t="str">
        <f t="shared" si="2"/>
        <v>1|1000000</v>
      </c>
      <c r="R12" s="47">
        <f t="shared" si="3"/>
        <v>42000</v>
      </c>
      <c r="S12" s="1"/>
      <c r="T12" s="49">
        <f>D94</f>
        <v>272400</v>
      </c>
      <c r="U12" s="49" t="str">
        <f>B87</f>
        <v>MOHANLALJI</v>
      </c>
      <c r="V12" s="49" t="str">
        <f>C87</f>
        <v>SNT.NAGAR</v>
      </c>
      <c r="W12" s="1"/>
      <c r="X12" s="49">
        <f>I94</f>
        <v>24850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1"/>
      <c r="B13" s="21"/>
      <c r="C13" s="21"/>
      <c r="D13" s="21"/>
      <c r="E13" s="10"/>
      <c r="F13" s="21"/>
      <c r="G13" s="21"/>
      <c r="H13" s="21"/>
      <c r="I13" s="21"/>
      <c r="J13" s="13"/>
      <c r="K13" s="1"/>
      <c r="L13" s="48">
        <v>1.1000000000000001</v>
      </c>
      <c r="M13" s="1">
        <v>1000000</v>
      </c>
      <c r="N13" s="1">
        <v>171000</v>
      </c>
      <c r="O13" s="45" t="str">
        <f t="shared" si="0"/>
        <v>1.1|1000000</v>
      </c>
      <c r="P13" s="46">
        <f t="shared" si="1"/>
        <v>8550</v>
      </c>
      <c r="Q13" s="45" t="str">
        <f t="shared" si="2"/>
        <v>1.1|1000000</v>
      </c>
      <c r="R13" s="47">
        <f t="shared" si="3"/>
        <v>41450</v>
      </c>
      <c r="S13" s="1"/>
      <c r="T13" s="49">
        <f>D103</f>
        <v>47100</v>
      </c>
      <c r="U13" s="49" t="str">
        <f>B96</f>
        <v>PRAKASHJI</v>
      </c>
      <c r="V13" s="49" t="str">
        <f>C96</f>
        <v>KONDAPUR</v>
      </c>
      <c r="W13" s="1"/>
      <c r="X13" s="49">
        <f>I103</f>
        <v>140600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1"/>
      <c r="B14" s="21"/>
      <c r="C14" s="21"/>
      <c r="D14" s="21"/>
      <c r="E14" s="10"/>
      <c r="F14" s="21"/>
      <c r="G14" s="21"/>
      <c r="H14" s="21"/>
      <c r="I14" s="21"/>
      <c r="J14" s="13" t="s">
        <v>182</v>
      </c>
      <c r="K14" s="1"/>
      <c r="L14" s="48">
        <v>6</v>
      </c>
      <c r="M14" s="45">
        <v>1000000</v>
      </c>
      <c r="N14" s="45">
        <v>106000</v>
      </c>
      <c r="O14" s="45" t="str">
        <f t="shared" si="0"/>
        <v>6|1000000</v>
      </c>
      <c r="P14" s="46">
        <f t="shared" si="1"/>
        <v>5300</v>
      </c>
      <c r="Q14" s="45" t="str">
        <f t="shared" si="2"/>
        <v>6|1000000</v>
      </c>
      <c r="R14" s="47">
        <f t="shared" si="3"/>
        <v>44700</v>
      </c>
      <c r="S14" s="1"/>
      <c r="T14" s="49">
        <f>D112</f>
        <v>24700</v>
      </c>
      <c r="U14" s="49" t="str">
        <f>B105</f>
        <v>NARAYANJI</v>
      </c>
      <c r="V14" s="49" t="str">
        <f>C105</f>
        <v>SHAPUR</v>
      </c>
      <c r="W14" s="1"/>
      <c r="X14" s="49">
        <f>I112</f>
        <v>164850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1"/>
      <c r="B15" s="21"/>
      <c r="C15" s="21"/>
      <c r="D15" s="21"/>
      <c r="E15" s="10"/>
      <c r="F15" s="21"/>
      <c r="G15" s="21"/>
      <c r="H15" s="21"/>
      <c r="I15" s="21"/>
      <c r="J15" s="13"/>
      <c r="K15" s="1"/>
      <c r="L15" s="75">
        <v>17</v>
      </c>
      <c r="M15" s="45">
        <v>500000</v>
      </c>
      <c r="N15" s="45">
        <v>6000</v>
      </c>
      <c r="O15" s="45" t="str">
        <f t="shared" si="0"/>
        <v>17|500000</v>
      </c>
      <c r="P15" s="46">
        <f t="shared" si="1"/>
        <v>300</v>
      </c>
      <c r="Q15" s="45" t="str">
        <f t="shared" si="2"/>
        <v>17|500000</v>
      </c>
      <c r="R15" s="47">
        <f t="shared" si="3"/>
        <v>24700</v>
      </c>
      <c r="S15" s="1"/>
      <c r="T15" s="49">
        <f>D121</f>
        <v>112950</v>
      </c>
      <c r="U15" s="49" t="str">
        <f>B114</f>
        <v>CHENARAMJI</v>
      </c>
      <c r="V15" s="49" t="str">
        <f>C114</f>
        <v>KOTLAPUR</v>
      </c>
      <c r="W15" s="1"/>
      <c r="X15" s="49">
        <f>I121</f>
        <v>140150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1"/>
      <c r="B16" s="21"/>
      <c r="C16" s="21"/>
      <c r="D16" s="21"/>
      <c r="E16" s="2"/>
      <c r="F16" s="21"/>
      <c r="G16" s="21"/>
      <c r="H16" s="21"/>
      <c r="I16" s="21"/>
      <c r="J16" s="13"/>
      <c r="K16" s="1"/>
      <c r="L16" s="45">
        <v>6.1</v>
      </c>
      <c r="M16" s="46">
        <v>1000000</v>
      </c>
      <c r="N16" s="45">
        <v>95000</v>
      </c>
      <c r="O16" s="45" t="str">
        <f t="shared" si="0"/>
        <v>6.1|1000000</v>
      </c>
      <c r="P16" s="46">
        <f t="shared" si="1"/>
        <v>4750</v>
      </c>
      <c r="Q16" s="45" t="str">
        <f t="shared" si="2"/>
        <v>6.1|1000000</v>
      </c>
      <c r="R16" s="47">
        <f t="shared" si="3"/>
        <v>45250</v>
      </c>
      <c r="S16" s="1"/>
      <c r="T16" s="49">
        <f>D130</f>
        <v>115200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137900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84" t="s">
        <v>16</v>
      </c>
      <c r="B17" s="85"/>
      <c r="C17" s="86"/>
      <c r="D17" s="8">
        <f>SUM(D12:D16)</f>
        <v>24700</v>
      </c>
      <c r="E17" s="2"/>
      <c r="F17" s="84" t="s">
        <v>16</v>
      </c>
      <c r="G17" s="85"/>
      <c r="H17" s="86"/>
      <c r="I17" s="21">
        <f>SUM(I12:I13)</f>
        <v>24700</v>
      </c>
      <c r="J17" s="13"/>
      <c r="K17" s="1"/>
      <c r="L17" s="48"/>
      <c r="M17" s="1"/>
      <c r="N17" s="1"/>
      <c r="O17" s="45"/>
      <c r="P17" s="46"/>
      <c r="Q17" s="45"/>
      <c r="R17" s="47"/>
      <c r="S17" s="1"/>
      <c r="T17" s="49">
        <f>D139</f>
        <v>66700</v>
      </c>
      <c r="U17" s="49" t="str">
        <f>B132</f>
        <v>BHUNDARAMJI</v>
      </c>
      <c r="V17" s="49" t="str">
        <f>C132</f>
        <v>MIYAPUR</v>
      </c>
      <c r="W17" s="1"/>
      <c r="X17" s="49">
        <f>I139</f>
        <v>24700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"/>
      <c r="B18" s="3"/>
      <c r="C18" s="3"/>
      <c r="D18" s="3"/>
      <c r="E18" s="3"/>
      <c r="F18" s="42"/>
      <c r="G18" s="42"/>
      <c r="H18" s="42"/>
      <c r="I18" s="42"/>
      <c r="J18" s="13"/>
      <c r="K18" s="1"/>
      <c r="L18" s="48">
        <v>17</v>
      </c>
      <c r="M18" s="1">
        <v>250000</v>
      </c>
      <c r="N18" s="1">
        <v>3000</v>
      </c>
      <c r="O18" s="45" t="str">
        <f t="shared" si="0"/>
        <v>17|250000</v>
      </c>
      <c r="P18" s="46">
        <f t="shared" si="1"/>
        <v>150</v>
      </c>
      <c r="Q18" s="45" t="str">
        <f t="shared" si="2"/>
        <v>17|250000</v>
      </c>
      <c r="R18" s="47">
        <f t="shared" si="3"/>
        <v>12350</v>
      </c>
      <c r="S18" s="1"/>
      <c r="T18" s="49">
        <f>D148</f>
        <v>114100</v>
      </c>
      <c r="U18" s="49" t="str">
        <f>B141</f>
        <v>POKARJI</v>
      </c>
      <c r="V18" s="49" t="str">
        <f>C141</f>
        <v>J GUTTA</v>
      </c>
      <c r="W18" s="1"/>
      <c r="X18" s="49">
        <f>I148</f>
        <v>83450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1" t="s">
        <v>0</v>
      </c>
      <c r="B19" s="21" t="s">
        <v>21</v>
      </c>
      <c r="C19" s="21" t="s">
        <v>22</v>
      </c>
      <c r="D19" s="9">
        <v>45935</v>
      </c>
      <c r="E19" s="2"/>
      <c r="F19" s="21" t="s">
        <v>0</v>
      </c>
      <c r="G19" s="21" t="s">
        <v>23</v>
      </c>
      <c r="H19" s="21" t="s">
        <v>24</v>
      </c>
      <c r="I19" s="9">
        <v>45935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21000</v>
      </c>
      <c r="U19" s="49" t="str">
        <f>B150</f>
        <v>AKASHJI</v>
      </c>
      <c r="V19" s="49" t="str">
        <f>C150</f>
        <v>SNGAREDDY</v>
      </c>
      <c r="W19" s="1"/>
      <c r="X19" s="49">
        <f>I157</f>
        <v>90700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1" t="s">
        <v>6</v>
      </c>
      <c r="B20" s="21" t="s">
        <v>7</v>
      </c>
      <c r="C20" s="21" t="s">
        <v>8</v>
      </c>
      <c r="D20" s="21" t="s">
        <v>9</v>
      </c>
      <c r="E20" s="2"/>
      <c r="F20" s="21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49400</v>
      </c>
      <c r="U20" s="49" t="str">
        <f>B159</f>
        <v>HARISINGHJI</v>
      </c>
      <c r="V20" s="49" t="str">
        <f>C159</f>
        <v>RAMARAM</v>
      </c>
      <c r="W20" s="1"/>
      <c r="X20" s="49">
        <f>I166</f>
        <v>49400</v>
      </c>
      <c r="Y20" s="49" t="str">
        <f>G159</f>
        <v>MANGILALJI</v>
      </c>
      <c r="Z20" s="49" t="str">
        <f>H159</f>
        <v>MALLAPUR</v>
      </c>
    </row>
    <row r="21" spans="1:26" ht="20.25" thickTop="1" thickBot="1">
      <c r="A21" s="21">
        <v>17</v>
      </c>
      <c r="B21" s="21">
        <v>1000000</v>
      </c>
      <c r="C21" s="21">
        <f>VLOOKUP(A21&amp;"|"&amp;B21,$O$3:$P$16,2,FALSE)</f>
        <v>350</v>
      </c>
      <c r="D21" s="21">
        <f>VLOOKUP(A21&amp;"|"&amp;B21,$Q$3:$R$16,2,FALSE)</f>
        <v>49650</v>
      </c>
      <c r="E21" s="2"/>
      <c r="F21" s="21">
        <v>17</v>
      </c>
      <c r="G21" s="21">
        <v>1000000</v>
      </c>
      <c r="H21" s="21">
        <f>VLOOKUP(F21&amp;"|"&amp;G21,$O$3:$P$16,2,FALSE)</f>
        <v>350</v>
      </c>
      <c r="I21" s="21">
        <f>VLOOKUP(F21&amp;"|"&amp;G21,$Q$3:$R$16,2,FALSE)</f>
        <v>49650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,D590)</f>
        <v>4473450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581,I572,I563)</f>
        <v>4127350</v>
      </c>
      <c r="S21" s="1"/>
      <c r="T21" s="49">
        <f>D175</f>
        <v>94100</v>
      </c>
      <c r="U21" s="49" t="str">
        <f>B168</f>
        <v>BHORARAMJI</v>
      </c>
      <c r="V21" s="49" t="str">
        <f>C168</f>
        <v>MIYAPUR</v>
      </c>
      <c r="W21" s="1"/>
      <c r="X21" s="49">
        <f>I175</f>
        <v>73050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1">
        <v>6</v>
      </c>
      <c r="B22" s="21">
        <v>2000000</v>
      </c>
      <c r="C22" s="21">
        <f>VLOOKUP(A22&amp;"|"&amp;B22,$O$3:$P$17,2,FALSE)</f>
        <v>9500</v>
      </c>
      <c r="D22" s="21">
        <f>VLOOKUP(A22&amp;"|"&amp;B22,$Q$3:$R$17,2,FALSE)</f>
        <v>90500</v>
      </c>
      <c r="E22" s="2"/>
      <c r="F22" s="21">
        <v>17.100000000000001</v>
      </c>
      <c r="G22" s="21">
        <v>1000000</v>
      </c>
      <c r="H22" s="21">
        <f>VLOOKUP(F22&amp;"|"&amp;G22,$O$3:$P$16,2,FALSE)</f>
        <v>600</v>
      </c>
      <c r="I22" s="21">
        <f>VLOOKUP(F22&amp;"|"&amp;G22,$Q$3:$R$16,2,FALSE)</f>
        <v>49400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49">
        <f>D184</f>
        <v>114500</v>
      </c>
      <c r="U22" s="49" t="str">
        <f>B177</f>
        <v>MADARAMJI</v>
      </c>
      <c r="V22" s="49" t="str">
        <f>C177</f>
        <v>SHAPUR</v>
      </c>
      <c r="W22" s="1"/>
      <c r="X22" s="49">
        <f>I184</f>
        <v>49400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1"/>
      <c r="B23" s="21"/>
      <c r="C23" s="21"/>
      <c r="D23" s="21"/>
      <c r="E23" s="2"/>
      <c r="F23" s="21">
        <v>17.100000000000001</v>
      </c>
      <c r="G23" s="21">
        <v>1000000</v>
      </c>
      <c r="H23" s="21">
        <f>VLOOKUP(F23&amp;"|"&amp;G23,$O$3:$P$16,2,FALSE)</f>
        <v>600</v>
      </c>
      <c r="I23" s="21">
        <f>VLOOKUP(F23&amp;"|"&amp;G23,$Q$3:$R$16,2,FALSE)</f>
        <v>49400</v>
      </c>
      <c r="J23" s="1"/>
      <c r="K23" s="1"/>
      <c r="L23" s="1"/>
      <c r="M23" s="1"/>
      <c r="N23" s="1"/>
      <c r="O23" s="49">
        <f>SUM(O21,R21)</f>
        <v>8600800</v>
      </c>
      <c r="P23" s="1"/>
      <c r="Q23" s="1"/>
      <c r="R23" s="1"/>
      <c r="S23" s="1"/>
      <c r="T23" s="49">
        <f>D193</f>
        <v>91400</v>
      </c>
      <c r="U23" s="49" t="str">
        <f>B186</f>
        <v>GENARAMJI</v>
      </c>
      <c r="V23" s="49" t="str">
        <f>C186</f>
        <v>J GUTTA</v>
      </c>
      <c r="W23" s="1"/>
      <c r="X23" s="49">
        <f>I193</f>
        <v>24850</v>
      </c>
      <c r="Y23" s="49" t="str">
        <f>G186</f>
        <v>NARENDRAJI</v>
      </c>
      <c r="Z23" s="49" t="str">
        <f>H186</f>
        <v>SACHINJI</v>
      </c>
    </row>
    <row r="24" spans="1:26" ht="20.25" thickTop="1" thickBot="1">
      <c r="A24" s="21"/>
      <c r="B24" s="21"/>
      <c r="C24" s="21"/>
      <c r="D24" s="21"/>
      <c r="E24" s="2"/>
      <c r="F24" s="21"/>
      <c r="G24" s="21"/>
      <c r="H24" s="21"/>
      <c r="I24" s="21"/>
      <c r="J24" s="1"/>
      <c r="K24" s="1"/>
      <c r="L24" s="1"/>
      <c r="M24" s="1"/>
      <c r="N24" s="1" t="s">
        <v>26</v>
      </c>
      <c r="O24" s="1"/>
      <c r="P24" s="1"/>
      <c r="Q24" s="1"/>
      <c r="R24" s="1"/>
      <c r="S24" s="1"/>
      <c r="T24" s="49">
        <f>D202</f>
        <v>94100</v>
      </c>
      <c r="U24" s="49" t="str">
        <f>B195</f>
        <v>HONARAMJI</v>
      </c>
      <c r="V24" s="49" t="str">
        <f>C195</f>
        <v>RAMARAM</v>
      </c>
      <c r="W24" s="1"/>
      <c r="X24" s="49">
        <f>I202</f>
        <v>49200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1"/>
      <c r="B25" s="21"/>
      <c r="C25" s="21"/>
      <c r="D25" s="21"/>
      <c r="E25" s="2"/>
      <c r="F25" s="21"/>
      <c r="G25" s="21"/>
      <c r="H25" s="21"/>
      <c r="I25" s="21"/>
      <c r="J25" s="1"/>
      <c r="K25" s="1"/>
      <c r="L25" s="1"/>
      <c r="M25" s="1" t="s">
        <v>182</v>
      </c>
      <c r="N25" s="1"/>
      <c r="O25" s="49"/>
      <c r="P25" s="1"/>
      <c r="Q25" s="1"/>
      <c r="R25" s="1"/>
      <c r="S25" s="1"/>
      <c r="T25" s="49">
        <f>D211</f>
        <v>99050</v>
      </c>
      <c r="U25" s="49" t="str">
        <f>B204</f>
        <v>KAILASHJI</v>
      </c>
      <c r="V25" s="49" t="str">
        <f>C204</f>
        <v>SHIVAMPET</v>
      </c>
      <c r="W25" s="1"/>
      <c r="X25" s="49">
        <f>I211</f>
        <v>86150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84" t="s">
        <v>16</v>
      </c>
      <c r="B26" s="85"/>
      <c r="C26" s="86"/>
      <c r="D26" s="8">
        <f>SUM(D21:D25)</f>
        <v>140150</v>
      </c>
      <c r="E26" s="2"/>
      <c r="F26" s="84" t="s">
        <v>27</v>
      </c>
      <c r="G26" s="85"/>
      <c r="H26" s="86"/>
      <c r="I26" s="21">
        <f>SUM(I21:I25)</f>
        <v>148450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9">
        <f>D220</f>
        <v>21000</v>
      </c>
      <c r="U26" s="49" t="str">
        <f>B213</f>
        <v>PRAKASHJI</v>
      </c>
      <c r="V26" s="49" t="str">
        <f>C213</f>
        <v>GUTTA</v>
      </c>
      <c r="W26" s="1"/>
      <c r="X26" s="49">
        <f>I220</f>
        <v>45000</v>
      </c>
      <c r="Y26" s="49" t="str">
        <f>G213</f>
        <v>RAMESHJI</v>
      </c>
      <c r="Z26" s="49" t="str">
        <f>H213</f>
        <v>RR NAGAR</v>
      </c>
    </row>
    <row r="27" spans="1:26" ht="16.5" thickTop="1" thickBo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23400</v>
      </c>
      <c r="U27" s="49" t="str">
        <f>B222</f>
        <v>GENARAMJI</v>
      </c>
      <c r="V27" s="49" t="str">
        <f>C222</f>
        <v>RAMARAM</v>
      </c>
      <c r="W27" s="1"/>
      <c r="X27" s="49">
        <f>I229</f>
        <v>23400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1" t="s">
        <v>0</v>
      </c>
      <c r="B28" s="21" t="s">
        <v>187</v>
      </c>
      <c r="C28" s="21" t="s">
        <v>28</v>
      </c>
      <c r="D28" s="9">
        <v>45935</v>
      </c>
      <c r="E28" s="2"/>
      <c r="F28" s="21" t="s">
        <v>0</v>
      </c>
      <c r="G28" s="21" t="s">
        <v>29</v>
      </c>
      <c r="H28" s="21" t="s">
        <v>30</v>
      </c>
      <c r="I28" s="9">
        <v>45935</v>
      </c>
      <c r="J28" s="1"/>
      <c r="K28" s="1"/>
      <c r="L28" s="1"/>
      <c r="M28" s="1"/>
      <c r="O28" s="1"/>
      <c r="P28" s="1"/>
      <c r="Q28" s="1"/>
      <c r="R28" s="1"/>
      <c r="S28" s="1"/>
      <c r="T28" s="49">
        <f>D238</f>
        <v>22400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90500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1" t="s">
        <v>6</v>
      </c>
      <c r="B29" s="21" t="s">
        <v>7</v>
      </c>
      <c r="C29" s="21" t="s">
        <v>8</v>
      </c>
      <c r="D29" s="21" t="s">
        <v>9</v>
      </c>
      <c r="E29" s="2"/>
      <c r="F29" s="21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44700</v>
      </c>
      <c r="U29" s="49" t="str">
        <f>B240</f>
        <v>RUPARAMJI</v>
      </c>
      <c r="V29" s="49" t="str">
        <f>C240</f>
        <v>MIYAPUR</v>
      </c>
      <c r="W29" s="1"/>
      <c r="X29" s="49">
        <f>I247</f>
        <v>221950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21">
        <v>17.100000000000001</v>
      </c>
      <c r="B30" s="21">
        <v>1000000</v>
      </c>
      <c r="C30" s="21">
        <f>VLOOKUP(A30&amp;"|"&amp;B30,$O$3:$P$16,2,FALSE)</f>
        <v>600</v>
      </c>
      <c r="D30" s="21">
        <f>VLOOKUP(A30&amp;"|"&amp;B30,$Q$3:$R$16,2,FALSE)</f>
        <v>49400</v>
      </c>
      <c r="E30" s="2"/>
      <c r="F30" s="21">
        <v>6</v>
      </c>
      <c r="G30" s="21">
        <v>500000</v>
      </c>
      <c r="H30" s="21">
        <f>VLOOKUP(F30&amp;"|"&amp;G30,$O$3:$P$16,2,FALSE)</f>
        <v>2600</v>
      </c>
      <c r="I30" s="21">
        <f>VLOOKUP(F30&amp;"|"&amp;G30,$Q$3:$R$16,2,FALSE)</f>
        <v>22400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49">
        <f>D256</f>
        <v>83450</v>
      </c>
      <c r="U30" s="49" t="str">
        <f>B249</f>
        <v>OMJI</v>
      </c>
      <c r="V30" s="49" t="str">
        <f>C249</f>
        <v>IDPL</v>
      </c>
      <c r="W30" s="1"/>
      <c r="X30" s="49">
        <f>I256</f>
        <v>23400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21">
        <v>14</v>
      </c>
      <c r="B31" s="21">
        <v>500000</v>
      </c>
      <c r="C31" s="21">
        <f>VLOOKUP(A31&amp;"|"&amp;B31,$O$3:$P$16,2,FALSE)</f>
        <v>1000</v>
      </c>
      <c r="D31" s="21">
        <f>VLOOKUP(A31&amp;"|"&amp;B31,$Q$3:$R$16,2,FALSE)</f>
        <v>24000</v>
      </c>
      <c r="E31" s="2"/>
      <c r="F31" s="21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69400</v>
      </c>
      <c r="U31" s="49" t="str">
        <f>B258</f>
        <v>HEMARAMJI</v>
      </c>
      <c r="V31" s="49" t="str">
        <f>C258</f>
        <v>YAMJAL</v>
      </c>
      <c r="W31" s="1"/>
      <c r="X31" s="49">
        <f>I265</f>
        <v>21000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21">
        <v>14</v>
      </c>
      <c r="B32" s="21">
        <v>500000</v>
      </c>
      <c r="C32" s="21">
        <f>VLOOKUP(A32&amp;"|"&amp;B32,$O$3:$P$16,2,FALSE)</f>
        <v>1000</v>
      </c>
      <c r="D32" s="21">
        <f>VLOOKUP(A32&amp;"|"&amp;B32,$Q$3:$R$16,2,FALSE)</f>
        <v>24000</v>
      </c>
      <c r="E32" s="2"/>
      <c r="F32" s="21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22400</v>
      </c>
      <c r="U32" s="49" t="str">
        <f>B267</f>
        <v>DURGARAMJI</v>
      </c>
      <c r="V32" s="49" t="str">
        <f>C267</f>
        <v>RAMARAM</v>
      </c>
      <c r="W32" s="1"/>
      <c r="X32" s="49">
        <f>I274</f>
        <v>22400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21">
        <v>17.100000000000001</v>
      </c>
      <c r="B33" s="21">
        <v>1000000</v>
      </c>
      <c r="C33" s="21">
        <f>VLOOKUP(A33&amp;"|"&amp;B33,$O$3:$P$16,2,FALSE)</f>
        <v>600</v>
      </c>
      <c r="D33" s="21">
        <f>VLOOKUP(A33&amp;"|"&amp;B33,$Q$3:$R$16,2,FALSE)</f>
        <v>49400</v>
      </c>
      <c r="E33" s="2"/>
      <c r="F33" s="21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86700</v>
      </c>
      <c r="U33" s="49" t="str">
        <f>B276</f>
        <v>DHANARAMJI</v>
      </c>
      <c r="V33" s="49" t="str">
        <f>C276</f>
        <v>KAMAN</v>
      </c>
      <c r="W33" s="1"/>
      <c r="X33" s="49">
        <f>I284</f>
        <v>181800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1"/>
      <c r="B34" s="21"/>
      <c r="C34" s="21"/>
      <c r="D34" s="21"/>
      <c r="E34" s="2"/>
      <c r="F34" s="21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154900</v>
      </c>
      <c r="U34" s="49" t="str">
        <f>B286</f>
        <v>KHUSHVIRJI</v>
      </c>
      <c r="V34" s="49" t="str">
        <f>C286</f>
        <v>MEDCHAL</v>
      </c>
      <c r="W34" s="1"/>
      <c r="X34" s="49">
        <f>I293</f>
        <v>116100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84" t="s">
        <v>16</v>
      </c>
      <c r="B35" s="85"/>
      <c r="C35" s="86"/>
      <c r="D35" s="8">
        <f>SUM(D30:D34)</f>
        <v>146800</v>
      </c>
      <c r="E35" s="2"/>
      <c r="F35" s="84" t="s">
        <v>16</v>
      </c>
      <c r="G35" s="85"/>
      <c r="H35" s="86"/>
      <c r="I35" s="21">
        <f>SUM(I30:I34)</f>
        <v>22400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164150</v>
      </c>
      <c r="U35" s="49" t="str">
        <f>B295</f>
        <v>MUNJI</v>
      </c>
      <c r="V35" s="49" t="str">
        <f>C295</f>
        <v>RAMARAM</v>
      </c>
      <c r="W35" s="1"/>
      <c r="X35" s="49">
        <f>I302</f>
        <v>135200</v>
      </c>
      <c r="Y35" s="49" t="str">
        <f>G295</f>
        <v>JAIRUPRAMJI</v>
      </c>
      <c r="Z35" s="49" t="str">
        <f>H295</f>
        <v>RMTPUR</v>
      </c>
    </row>
    <row r="36" spans="1:26" ht="16.5" thickTop="1" thickBo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86700</v>
      </c>
      <c r="U36" s="49" t="str">
        <f>B304</f>
        <v>RAMESHJI</v>
      </c>
      <c r="V36" s="49" t="str">
        <f>C304</f>
        <v>ALWN COL</v>
      </c>
      <c r="W36" s="1"/>
      <c r="X36" s="49">
        <f>I311</f>
        <v>44700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1" t="s">
        <v>0</v>
      </c>
      <c r="B37" s="21" t="s">
        <v>31</v>
      </c>
      <c r="C37" s="21" t="s">
        <v>32</v>
      </c>
      <c r="D37" s="9">
        <v>45935</v>
      </c>
      <c r="E37" s="2"/>
      <c r="F37" s="21" t="s">
        <v>0</v>
      </c>
      <c r="G37" s="21" t="s">
        <v>33</v>
      </c>
      <c r="H37" s="21" t="s">
        <v>34</v>
      </c>
      <c r="I37" s="9">
        <v>45935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45800</v>
      </c>
      <c r="U37" s="49" t="str">
        <f>B313</f>
        <v>OM</v>
      </c>
      <c r="V37" s="49" t="str">
        <f>C313</f>
        <v>J GUTTA</v>
      </c>
      <c r="W37" s="1"/>
      <c r="X37" s="49">
        <f>I320</f>
        <v>24700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1" t="s">
        <v>6</v>
      </c>
      <c r="B38" s="21" t="s">
        <v>7</v>
      </c>
      <c r="C38" s="21" t="s">
        <v>8</v>
      </c>
      <c r="D38" s="21" t="s">
        <v>9</v>
      </c>
      <c r="E38" s="2"/>
      <c r="F38" s="21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21000</v>
      </c>
      <c r="U38" s="49" t="str">
        <f>B322</f>
        <v>BABULALJI</v>
      </c>
      <c r="V38" s="49" t="str">
        <f>C322</f>
        <v>CHILKA NGR</v>
      </c>
      <c r="W38" s="1"/>
      <c r="X38" s="49">
        <f>I329</f>
        <v>23400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21">
        <v>11</v>
      </c>
      <c r="B39" s="21">
        <v>250000</v>
      </c>
      <c r="C39" s="21">
        <f>VLOOKUP(A39&amp;"|"&amp;B39,$O$3:$P$16,2,FALSE)</f>
        <v>800</v>
      </c>
      <c r="D39" s="21">
        <f>VLOOKUP(A39&amp;"|"&amp;B39,$Q$3:$R$16,2,FALSE)</f>
        <v>11700</v>
      </c>
      <c r="E39" s="2"/>
      <c r="F39" s="21">
        <v>17.100000000000001</v>
      </c>
      <c r="G39" s="21">
        <v>1000000</v>
      </c>
      <c r="H39" s="21">
        <f>VLOOKUP(F39&amp;"|"&amp;G39,$O$3:$P$16,2,FALSE)</f>
        <v>600</v>
      </c>
      <c r="I39" s="21">
        <f>VLOOKUP(F39&amp;"|"&amp;G39,$Q$3:$R$16,2,FALSE)</f>
        <v>49400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47400</v>
      </c>
      <c r="U39" s="49" t="str">
        <f>B331</f>
        <v>MUKESHJI</v>
      </c>
      <c r="V39" s="49" t="str">
        <f>C331</f>
        <v>RAMARAM</v>
      </c>
      <c r="W39" s="1"/>
      <c r="X39" s="49">
        <f>I338</f>
        <v>23400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21">
        <v>17</v>
      </c>
      <c r="B40" s="21">
        <v>250000</v>
      </c>
      <c r="C40" s="21">
        <f>VLOOKUP(A40&amp;"|"&amp;B40,$O$3:$P$18,2,FALSE)</f>
        <v>150</v>
      </c>
      <c r="D40" s="21">
        <f>VLOOKUP(A40&amp;"|"&amp;B40,$Q$3:$R$18,2,FALSE)</f>
        <v>12350</v>
      </c>
      <c r="E40" s="2"/>
      <c r="F40" s="21">
        <v>6</v>
      </c>
      <c r="G40" s="21">
        <v>2000000</v>
      </c>
      <c r="H40" s="21">
        <f>VLOOKUP(F40&amp;"|"&amp;G40,$O$3:$P$16,2,FALSE)</f>
        <v>9500</v>
      </c>
      <c r="I40" s="21">
        <f>VLOOKUP(F40&amp;"|"&amp;G40,$Q$3:$R$16,2,FALSE)</f>
        <v>90500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24000</v>
      </c>
      <c r="U40" s="49" t="str">
        <f>B340</f>
        <v>MISRILALJI</v>
      </c>
      <c r="V40" s="49" t="str">
        <f>C340</f>
        <v>MEDCHAL</v>
      </c>
      <c r="W40" s="1"/>
      <c r="X40" s="49">
        <f>I347</f>
        <v>21000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1"/>
      <c r="B41" s="21"/>
      <c r="C41" s="21"/>
      <c r="D41" s="21"/>
      <c r="E41" s="2"/>
      <c r="F41" s="21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24700</v>
      </c>
      <c r="U41" s="49" t="str">
        <f>B349</f>
        <v>GOVIND</v>
      </c>
      <c r="V41" s="49" t="str">
        <f>C349</f>
        <v>PPR NGR</v>
      </c>
      <c r="W41" s="1"/>
      <c r="X41" s="49">
        <f>I356</f>
        <v>21000</v>
      </c>
      <c r="Y41" s="49" t="str">
        <f>G349</f>
        <v>NEMJI</v>
      </c>
      <c r="Z41" s="49" t="str">
        <f>H349</f>
        <v>SUCHITRA</v>
      </c>
    </row>
    <row r="42" spans="1:26" ht="20.25" thickTop="1" thickBot="1">
      <c r="A42" s="21"/>
      <c r="B42" s="21"/>
      <c r="C42" s="21"/>
      <c r="D42" s="21"/>
      <c r="E42" s="2"/>
      <c r="F42" s="21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63850</v>
      </c>
      <c r="U42" s="49" t="str">
        <f>B358</f>
        <v>SOHANLALJI</v>
      </c>
      <c r="V42" s="49" t="str">
        <f>C358</f>
        <v>RR NGR</v>
      </c>
      <c r="W42" s="1"/>
      <c r="X42" s="49">
        <f>I365</f>
        <v>24000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1"/>
      <c r="B43" s="21"/>
      <c r="C43" s="21"/>
      <c r="D43" s="21"/>
      <c r="E43" s="2"/>
      <c r="F43" s="21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65700</v>
      </c>
      <c r="U43" s="49" t="str">
        <f>B367</f>
        <v>KISHANJI</v>
      </c>
      <c r="V43" s="49" t="str">
        <f>C367</f>
        <v>KAMAN</v>
      </c>
      <c r="W43" s="1"/>
      <c r="X43" s="49">
        <f>I374</f>
        <v>24000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84" t="s">
        <v>16</v>
      </c>
      <c r="B44" s="85"/>
      <c r="C44" s="86"/>
      <c r="D44" s="8">
        <f>SUM(D39:D43)</f>
        <v>24050</v>
      </c>
      <c r="E44" s="2"/>
      <c r="F44" s="84" t="s">
        <v>16</v>
      </c>
      <c r="G44" s="85"/>
      <c r="H44" s="86"/>
      <c r="I44" s="21">
        <f>SUM(I39:I43)</f>
        <v>139900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22400</v>
      </c>
      <c r="U44" s="49" t="str">
        <f>B376</f>
        <v>RAMESHJI</v>
      </c>
      <c r="V44" s="49" t="str">
        <f>C376</f>
        <v>SHAPUR</v>
      </c>
      <c r="W44" s="1"/>
      <c r="X44" s="49">
        <f>I383</f>
        <v>22400</v>
      </c>
      <c r="Y44" s="49" t="str">
        <f>G376</f>
        <v>OMJI</v>
      </c>
      <c r="Z44" s="49" t="str">
        <f>H376</f>
        <v>SEC</v>
      </c>
    </row>
    <row r="45" spans="1:26" ht="16.5" thickTop="1" thickBo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99050</v>
      </c>
      <c r="U45" s="49" t="str">
        <f>B385</f>
        <v>MISRILALJI</v>
      </c>
      <c r="V45" s="49" t="str">
        <f>C385</f>
        <v>SEC</v>
      </c>
      <c r="W45" s="1"/>
      <c r="X45" s="49">
        <f>I392</f>
        <v>23400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1" t="s">
        <v>0</v>
      </c>
      <c r="B46" s="21" t="s">
        <v>35</v>
      </c>
      <c r="C46" s="21" t="s">
        <v>36</v>
      </c>
      <c r="D46" s="9">
        <v>45935</v>
      </c>
      <c r="E46" s="2"/>
      <c r="F46" s="21" t="s">
        <v>0</v>
      </c>
      <c r="G46" s="21" t="s">
        <v>37</v>
      </c>
      <c r="H46" s="21" t="s">
        <v>38</v>
      </c>
      <c r="I46" s="9">
        <v>45935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49650</v>
      </c>
      <c r="U46" s="49" t="str">
        <f>B394</f>
        <v>BAGDARAMJI</v>
      </c>
      <c r="V46" s="49" t="str">
        <f>C394</f>
        <v>GANDHINGR</v>
      </c>
      <c r="W46" s="1"/>
      <c r="X46" s="49">
        <f>I401</f>
        <v>44700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1" t="s">
        <v>6</v>
      </c>
      <c r="B47" s="21" t="s">
        <v>7</v>
      </c>
      <c r="C47" s="21" t="s">
        <v>8</v>
      </c>
      <c r="D47" s="21" t="s">
        <v>9</v>
      </c>
      <c r="E47" s="2"/>
      <c r="F47" s="21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49400</v>
      </c>
      <c r="U47" s="1" t="str">
        <f>B403</f>
        <v>NEMARANJI</v>
      </c>
      <c r="V47" s="1" t="str">
        <f>C403</f>
        <v>INDERSUM</v>
      </c>
      <c r="W47" s="1"/>
      <c r="X47" s="49">
        <f>I410</f>
        <v>45700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21">
        <v>17.100000000000001</v>
      </c>
      <c r="B48" s="21">
        <v>500000</v>
      </c>
      <c r="C48" s="21">
        <f>VLOOKUP(A48&amp;"|"&amp;B48,$O$3:$P$16,2,FALSE)</f>
        <v>150</v>
      </c>
      <c r="D48" s="21">
        <f>VLOOKUP(A48&amp;"|"&amp;B48,$Q$3:$R$16,2,FALSE)</f>
        <v>24850</v>
      </c>
      <c r="E48" s="2"/>
      <c r="F48" s="21">
        <v>14</v>
      </c>
      <c r="G48" s="21">
        <v>500000</v>
      </c>
      <c r="H48" s="21">
        <f>VLOOKUP(F48&amp;"|"&amp;G48,$O$3:$P$16,2,FALSE)</f>
        <v>1000</v>
      </c>
      <c r="I48" s="21">
        <f>VLOOKUP(F48&amp;"|"&amp;G48,$Q$3:$R$16,2,FALSE)</f>
        <v>24000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22400</v>
      </c>
      <c r="U48" s="1" t="str">
        <f>B412</f>
        <v>HEMANTJI</v>
      </c>
      <c r="V48" s="1" t="str">
        <f>C412</f>
        <v>SURARAM</v>
      </c>
      <c r="W48" s="1"/>
      <c r="X48" s="49">
        <f>I419</f>
        <v>65700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1"/>
      <c r="B49" s="21"/>
      <c r="C49" s="21"/>
      <c r="D49" s="21"/>
      <c r="E49" s="2"/>
      <c r="F49" s="21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44700</v>
      </c>
      <c r="U49" s="1" t="str">
        <f>B421</f>
        <v>RAJUJI</v>
      </c>
      <c r="V49" s="1" t="str">
        <f>C421</f>
        <v>SHAPUR</v>
      </c>
      <c r="W49" s="1"/>
      <c r="X49" s="49">
        <f>I428</f>
        <v>90500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1"/>
      <c r="B50" s="21"/>
      <c r="C50" s="21"/>
      <c r="D50" s="21"/>
      <c r="E50" s="2"/>
      <c r="F50" s="21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44700</v>
      </c>
      <c r="U50" s="1" t="str">
        <f>B430</f>
        <v>GOUTAMJI</v>
      </c>
      <c r="V50" s="1" t="str">
        <f>C430</f>
        <v>RAMARAM</v>
      </c>
      <c r="W50" s="1"/>
      <c r="X50" s="49">
        <f>I437</f>
        <v>44700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1"/>
      <c r="B51" s="21"/>
      <c r="C51" s="21"/>
      <c r="D51" s="21"/>
      <c r="E51" s="2"/>
      <c r="F51" s="21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21000</v>
      </c>
      <c r="U51" s="1" t="str">
        <f>B439</f>
        <v>BHERARAMJI</v>
      </c>
      <c r="V51" s="1" t="str">
        <f>C439</f>
        <v>SURARAM</v>
      </c>
      <c r="W51" s="1"/>
      <c r="X51" s="49">
        <f>I446</f>
        <v>90500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1"/>
      <c r="B52" s="21"/>
      <c r="C52" s="21"/>
      <c r="D52" s="21"/>
      <c r="E52" s="2"/>
      <c r="F52" s="21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42000</v>
      </c>
      <c r="U52" s="1" t="str">
        <f>B448</f>
        <v>MISRILALJI</v>
      </c>
      <c r="V52" s="1" t="str">
        <f>C448</f>
        <v>GUTTA</v>
      </c>
      <c r="W52" s="1"/>
      <c r="X52" s="49">
        <f>I455</f>
        <v>41450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84" t="s">
        <v>16</v>
      </c>
      <c r="B53" s="85"/>
      <c r="C53" s="86"/>
      <c r="D53" s="8">
        <f>SUM(D48:D52)</f>
        <v>24850</v>
      </c>
      <c r="E53" s="2"/>
      <c r="F53" s="84" t="s">
        <v>16</v>
      </c>
      <c r="G53" s="85"/>
      <c r="H53" s="86"/>
      <c r="I53" s="21">
        <f>SUM(I48:I52)</f>
        <v>24000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69400</v>
      </c>
      <c r="U53" s="1" t="str">
        <f>B457</f>
        <v>RAMESHJI</v>
      </c>
      <c r="V53" s="1" t="str">
        <f>C457</f>
        <v>BOOK GUTA</v>
      </c>
      <c r="W53" s="1"/>
      <c r="X53" s="49">
        <f>I464</f>
        <v>44700</v>
      </c>
      <c r="Y53" s="1" t="str">
        <f>G457</f>
        <v>HEERJI</v>
      </c>
      <c r="Z53" s="1" t="str">
        <f>H457</f>
        <v>HANUMAN NG</v>
      </c>
    </row>
    <row r="54" spans="1:26" ht="16.5" thickTop="1" thickBo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91650</v>
      </c>
      <c r="U54" s="1" t="str">
        <f>B466</f>
        <v>VALARAMJI</v>
      </c>
      <c r="V54" s="1" t="str">
        <f>C466</f>
        <v>CHINTAL</v>
      </c>
      <c r="W54" s="1"/>
      <c r="X54" s="49">
        <f>I473</f>
        <v>49650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1" t="s">
        <v>0</v>
      </c>
      <c r="B55" s="21" t="s">
        <v>1</v>
      </c>
      <c r="C55" s="21" t="s">
        <v>39</v>
      </c>
      <c r="D55" s="9">
        <v>45935</v>
      </c>
      <c r="E55" s="2"/>
      <c r="F55" s="21" t="s">
        <v>0</v>
      </c>
      <c r="G55" s="21" t="s">
        <v>40</v>
      </c>
      <c r="H55" s="21" t="s">
        <v>41</v>
      </c>
      <c r="I55" s="9">
        <v>45935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24700</v>
      </c>
      <c r="U55" s="1" t="str">
        <f>B475</f>
        <v>NARAYANLALJI</v>
      </c>
      <c r="V55" s="1" t="str">
        <f>C475</f>
        <v>SURARAM</v>
      </c>
      <c r="W55" s="49"/>
      <c r="X55" s="49">
        <f>I482</f>
        <v>21000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1" t="s">
        <v>6</v>
      </c>
      <c r="B56" s="21" t="s">
        <v>7</v>
      </c>
      <c r="C56" s="21" t="s">
        <v>8</v>
      </c>
      <c r="D56" s="21" t="s">
        <v>9</v>
      </c>
      <c r="E56" s="2"/>
      <c r="F56" s="21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48000</v>
      </c>
      <c r="U56" s="1" t="s">
        <v>42</v>
      </c>
      <c r="V56" s="1" t="s">
        <v>43</v>
      </c>
      <c r="W56" s="1"/>
      <c r="X56" s="49">
        <f>I491</f>
        <v>22400</v>
      </c>
      <c r="Y56" s="1" t="s">
        <v>44</v>
      </c>
      <c r="Z56" s="1" t="s">
        <v>43</v>
      </c>
    </row>
    <row r="57" spans="1:26" ht="20.25" thickTop="1" thickBot="1">
      <c r="A57" s="21">
        <v>17.100000000000001</v>
      </c>
      <c r="B57" s="21">
        <v>1000000</v>
      </c>
      <c r="C57" s="21">
        <f>VLOOKUP(A57&amp;"|"&amp;B57,$O$3:$P$16,2,FALSE)</f>
        <v>600</v>
      </c>
      <c r="D57" s="21">
        <f>VLOOKUP(A57&amp;"|"&amp;B57,$Q$3:$R$16,2,FALSE)</f>
        <v>49400</v>
      </c>
      <c r="E57" s="2"/>
      <c r="F57" s="21">
        <v>1.1000000000000001</v>
      </c>
      <c r="G57" s="21">
        <v>1000000</v>
      </c>
      <c r="H57" s="21">
        <f>VLOOKUP(F57&amp;"|"&amp;G57,$O$3:$P$19,2,FALSE)</f>
        <v>8550</v>
      </c>
      <c r="I57" s="21">
        <f>VLOOKUP(F57&amp;"|"&amp;G57,$Q$3:$R$19,2,FALSE)</f>
        <v>41450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23400</v>
      </c>
      <c r="U57" s="1" t="str">
        <f>B493</f>
        <v>CHANDARAMJI</v>
      </c>
      <c r="V57" s="1" t="str">
        <f>C493</f>
        <v>SURARAM</v>
      </c>
      <c r="W57" s="1"/>
      <c r="X57" s="49">
        <f>I500</f>
        <v>111200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21">
        <v>1</v>
      </c>
      <c r="B58" s="21">
        <v>1000000</v>
      </c>
      <c r="C58" s="21">
        <f>VLOOKUP(A58&amp;"|"&amp;B58,$O$3:$P$16,2,FALSE)</f>
        <v>8000</v>
      </c>
      <c r="D58" s="21">
        <f>VLOOKUP(A58&amp;"|"&amp;B58,$Q$3:$R$16,2,FALSE)</f>
        <v>42000</v>
      </c>
      <c r="E58" s="2"/>
      <c r="F58" s="21">
        <v>6</v>
      </c>
      <c r="G58" s="21">
        <v>500000</v>
      </c>
      <c r="H58" s="21">
        <f>VLOOKUP(F58&amp;"|"&amp;G58,$O$3:$P$19,2,FALSE)</f>
        <v>2600</v>
      </c>
      <c r="I58" s="21">
        <f>VLOOKUP(F58&amp;"|"&amp;G58,$Q$3:$R$19,2,FALSE)</f>
        <v>22400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90500</v>
      </c>
      <c r="U58" s="49" t="str">
        <f>B502</f>
        <v>CHAMPALALJI</v>
      </c>
      <c r="V58" s="1" t="str">
        <f>C502</f>
        <v>RNGRD</v>
      </c>
      <c r="W58" s="1"/>
      <c r="X58" s="49">
        <f>I509</f>
        <v>22400</v>
      </c>
      <c r="Y58" s="1" t="str">
        <f>G502</f>
        <v>VENKTESHVAR</v>
      </c>
      <c r="Z58" s="1" t="str">
        <f>H502</f>
        <v>AB CO</v>
      </c>
    </row>
    <row r="59" spans="1:26" ht="20.25" thickTop="1" thickBot="1">
      <c r="A59" s="21"/>
      <c r="B59" s="21"/>
      <c r="C59" s="21"/>
      <c r="D59" s="21"/>
      <c r="E59" s="2"/>
      <c r="F59" s="21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22400</v>
      </c>
      <c r="U59" s="1" t="str">
        <f>B511</f>
        <v>KEWALJI</v>
      </c>
      <c r="V59" s="1" t="str">
        <f>C511</f>
        <v>KAMMAN</v>
      </c>
      <c r="W59" s="49"/>
      <c r="X59" s="49">
        <f>I518</f>
        <v>22400</v>
      </c>
      <c r="Y59" s="1" t="str">
        <f>G511</f>
        <v>PRAKASHJI</v>
      </c>
      <c r="Z59" s="1" t="str">
        <f>H511</f>
        <v>AMEENPUR</v>
      </c>
    </row>
    <row r="60" spans="1:26" ht="20.25" thickTop="1" thickBot="1">
      <c r="A60" s="21"/>
      <c r="B60" s="21"/>
      <c r="C60" s="21"/>
      <c r="D60" s="21"/>
      <c r="E60" s="2"/>
      <c r="F60" s="21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24700</v>
      </c>
      <c r="U60" s="1" t="str">
        <f>B520</f>
        <v>NIRMALJI</v>
      </c>
      <c r="V60" s="1" t="str">
        <f>C520</f>
        <v>KKPALLY</v>
      </c>
      <c r="W60" s="1"/>
      <c r="X60" s="49">
        <f>I527</f>
        <v>89400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1"/>
      <c r="B61" s="21"/>
      <c r="C61" s="21"/>
      <c r="D61" s="21"/>
      <c r="E61" s="2"/>
      <c r="F61" s="21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84000</v>
      </c>
      <c r="U61" s="1" t="str">
        <f>B529</f>
        <v>NARAYANJI</v>
      </c>
      <c r="V61" s="1" t="str">
        <f>C529</f>
        <v>RR ROAD</v>
      </c>
      <c r="W61" s="1"/>
      <c r="X61" s="49">
        <f>I536</f>
        <v>90500</v>
      </c>
      <c r="Y61" s="1" t="str">
        <f>G529</f>
        <v>KANJI</v>
      </c>
      <c r="Z61" s="1" t="str">
        <f>H529</f>
        <v>SNG REDDY</v>
      </c>
    </row>
    <row r="62" spans="1:26" ht="20.25" thickTop="1" thickBot="1">
      <c r="A62" s="84" t="s">
        <v>16</v>
      </c>
      <c r="B62" s="85"/>
      <c r="C62" s="86"/>
      <c r="D62" s="8">
        <f>SUM(D57:D61)</f>
        <v>91400</v>
      </c>
      <c r="E62" s="2"/>
      <c r="F62" s="84" t="s">
        <v>16</v>
      </c>
      <c r="G62" s="85"/>
      <c r="H62" s="86"/>
      <c r="I62" s="21">
        <f>SUM(I57:I61)</f>
        <v>63850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77">
        <f>D545</f>
        <v>41450</v>
      </c>
      <c r="U62" s="49" t="str">
        <f>B538</f>
        <v xml:space="preserve">GOTAMJI </v>
      </c>
      <c r="V62" s="1" t="str">
        <f>C538</f>
        <v>RR ROAD</v>
      </c>
      <c r="W62" s="49"/>
      <c r="X62" s="49">
        <f>I545</f>
        <v>42000</v>
      </c>
      <c r="Y62" s="1" t="str">
        <f>G538</f>
        <v>SOHANJI</v>
      </c>
      <c r="Z62" s="1" t="str">
        <f>H538</f>
        <v>RR ROAD</v>
      </c>
    </row>
    <row r="63" spans="1:26" ht="20.25" thickTop="1" thickBot="1">
      <c r="A63" s="10"/>
      <c r="B63" s="10"/>
      <c r="C63" s="10"/>
      <c r="D63" s="10"/>
      <c r="E63" s="2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77">
        <f>D554</f>
        <v>41450</v>
      </c>
      <c r="U63" s="1" t="str">
        <f>B547</f>
        <v>TEJAJAMJI</v>
      </c>
      <c r="V63" s="1" t="str">
        <f>C547</f>
        <v>YELMBNDA</v>
      </c>
      <c r="W63" s="1"/>
      <c r="X63" s="77">
        <f>I554</f>
        <v>41450</v>
      </c>
      <c r="Y63" s="1">
        <f>G547</f>
        <v>0</v>
      </c>
      <c r="Z63" s="1">
        <f>H547</f>
        <v>0</v>
      </c>
    </row>
    <row r="64" spans="1:26" ht="20.25" thickTop="1" thickBot="1">
      <c r="A64" s="12" t="s">
        <v>3</v>
      </c>
      <c r="B64" s="12" t="s">
        <v>45</v>
      </c>
      <c r="C64" s="12" t="s">
        <v>46</v>
      </c>
      <c r="D64" s="9">
        <v>45935</v>
      </c>
      <c r="E64" s="2"/>
      <c r="F64" s="21" t="s">
        <v>0</v>
      </c>
      <c r="G64" s="21" t="s">
        <v>47</v>
      </c>
      <c r="H64" s="21" t="s">
        <v>48</v>
      </c>
      <c r="I64" s="9">
        <v>45935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49">
        <f>D563</f>
        <v>41450</v>
      </c>
      <c r="U64" t="str">
        <f>B556</f>
        <v>MOHANJI</v>
      </c>
      <c r="V64" s="1" t="str">
        <f>C556</f>
        <v>CHINTAL</v>
      </c>
      <c r="W64" s="1"/>
      <c r="X64" s="49">
        <f>I563</f>
        <v>41450</v>
      </c>
      <c r="Y64" s="1">
        <f>G556</f>
        <v>0</v>
      </c>
      <c r="Z64" s="1">
        <f>H556</f>
        <v>0</v>
      </c>
    </row>
    <row r="65" spans="1:26" ht="20.25" thickTop="1" thickBot="1">
      <c r="A65" s="21" t="s">
        <v>6</v>
      </c>
      <c r="B65" s="21" t="s">
        <v>7</v>
      </c>
      <c r="C65" s="21" t="s">
        <v>8</v>
      </c>
      <c r="D65" s="21" t="s">
        <v>9</v>
      </c>
      <c r="E65" s="2"/>
      <c r="F65" s="21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49">
        <f>D572</f>
        <v>42000</v>
      </c>
      <c r="U65" s="1">
        <f>B565</f>
        <v>0</v>
      </c>
      <c r="V65" s="1">
        <f>C565</f>
        <v>0</v>
      </c>
      <c r="W65" s="1"/>
      <c r="X65" s="49">
        <f>I572</f>
        <v>21000</v>
      </c>
      <c r="Y65" s="1" t="str">
        <f>G565</f>
        <v>MOHANJI</v>
      </c>
      <c r="Z65" s="1" t="str">
        <f>H565</f>
        <v>AMINPUR</v>
      </c>
    </row>
    <row r="66" spans="1:26" ht="20.25" thickTop="1" thickBot="1">
      <c r="A66" s="21">
        <v>17.100000000000001</v>
      </c>
      <c r="B66" s="21">
        <v>500000</v>
      </c>
      <c r="C66" s="21">
        <f>VLOOKUP(A66&amp;"|"&amp;B66,$O$3:$P$17,2,FALSE)</f>
        <v>150</v>
      </c>
      <c r="D66" s="21">
        <f>VLOOKUP(A66&amp;"|"&amp;B66,$Q$3:$R$17,2,FALSE)</f>
        <v>24850</v>
      </c>
      <c r="E66" s="2"/>
      <c r="F66" s="21">
        <v>17.100000000000001</v>
      </c>
      <c r="G66" s="21">
        <v>500000</v>
      </c>
      <c r="H66" s="21">
        <f>VLOOKUP(F66&amp;"|"&amp;G66,$O$3:$P$16,2,FALSE)</f>
        <v>150</v>
      </c>
      <c r="I66" s="21">
        <f>VLOOKUP(F66&amp;"|"&amp;G66,$Q$3:$R$16,2,FALSE)</f>
        <v>24850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49">
        <f>D581</f>
        <v>21000</v>
      </c>
      <c r="U66" s="1" t="str">
        <f>B574</f>
        <v>PUNAMJI</v>
      </c>
      <c r="V66" t="str">
        <f>C574</f>
        <v>BADURPLY</v>
      </c>
      <c r="X66" s="49">
        <f>I581</f>
        <v>21000</v>
      </c>
      <c r="Y66" s="1">
        <f>G574</f>
        <v>0</v>
      </c>
      <c r="Z66" s="1">
        <f>H574</f>
        <v>0</v>
      </c>
    </row>
    <row r="67" spans="1:26" ht="20.25" thickTop="1" thickBot="1">
      <c r="A67" s="21">
        <v>6</v>
      </c>
      <c r="B67" s="21">
        <v>2000000</v>
      </c>
      <c r="C67" s="21">
        <f>VLOOKUP(A67&amp;"|"&amp;B67,$O$3:$P$17,2,FALSE)</f>
        <v>9500</v>
      </c>
      <c r="D67" s="21">
        <f>VLOOKUP(A67&amp;"|"&amp;B67,$Q$3:$R$17,2,FALSE)</f>
        <v>90500</v>
      </c>
      <c r="E67" s="2"/>
      <c r="F67" s="21">
        <v>6</v>
      </c>
      <c r="G67" s="21">
        <v>500000</v>
      </c>
      <c r="H67" s="21">
        <f>VLOOKUP(F67&amp;"|"&amp;G67,$O$3:$P$16,2,FALSE)</f>
        <v>2600</v>
      </c>
      <c r="I67" s="21">
        <f>VLOOKUP(F67&amp;"|"&amp;G67,$Q$3:$R$16,2,FALSE)</f>
        <v>22400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77">
        <f>D590</f>
        <v>21000</v>
      </c>
      <c r="U67" s="1" t="str">
        <f>B583</f>
        <v>MANGILALJI</v>
      </c>
      <c r="V67" s="1" t="str">
        <f>C583</f>
        <v>RAMARAM</v>
      </c>
      <c r="W67" s="1"/>
      <c r="Y67" s="1"/>
      <c r="Z67" s="1"/>
    </row>
    <row r="68" spans="1:26" ht="20.25" thickTop="1" thickBot="1">
      <c r="A68" s="21"/>
      <c r="B68" s="21"/>
      <c r="C68" s="21"/>
      <c r="D68" s="21"/>
      <c r="E68" s="2"/>
      <c r="F68" s="21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1"/>
      <c r="B69" s="21"/>
      <c r="C69" s="21"/>
      <c r="D69" s="21"/>
      <c r="E69" s="2"/>
      <c r="F69" s="21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49">
        <f>SUM(T3:T67)</f>
        <v>4473450</v>
      </c>
      <c r="U69" s="1"/>
      <c r="V69" s="1"/>
      <c r="W69" s="1"/>
      <c r="X69" s="49">
        <f>SUM(X3:X66)</f>
        <v>4127350</v>
      </c>
      <c r="Y69" s="1"/>
      <c r="Z69" s="1"/>
    </row>
    <row r="70" spans="1:26" ht="20.25" thickTop="1" thickBot="1">
      <c r="A70" s="21"/>
      <c r="B70" s="21"/>
      <c r="C70" s="21"/>
      <c r="D70" s="21"/>
      <c r="E70" s="2"/>
      <c r="F70" s="52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59" t="s">
        <v>49</v>
      </c>
      <c r="B71" s="53"/>
      <c r="C71" s="54"/>
      <c r="D71" s="21">
        <f>SUM(D66:D70)</f>
        <v>115350</v>
      </c>
      <c r="E71" s="2"/>
      <c r="F71" s="84" t="s">
        <v>16</v>
      </c>
      <c r="G71" s="85"/>
      <c r="H71" s="86"/>
      <c r="I71" s="21">
        <f>SUM(I66:I70)</f>
        <v>47250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25</v>
      </c>
      <c r="W71" s="78">
        <f>SUM(T69,X69)</f>
        <v>8600800</v>
      </c>
      <c r="X71" s="1"/>
      <c r="Y71" s="1"/>
      <c r="Z71" s="1"/>
    </row>
    <row r="72" spans="1:26" ht="20.25" thickTop="1" thickBot="1">
      <c r="A72" s="10"/>
      <c r="B72" s="10"/>
      <c r="C72" s="10"/>
      <c r="D72" s="10"/>
      <c r="E72" s="2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1" t="s">
        <v>0</v>
      </c>
      <c r="B73" s="21" t="s">
        <v>50</v>
      </c>
      <c r="C73" s="21" t="s">
        <v>51</v>
      </c>
      <c r="D73" s="9">
        <v>45935</v>
      </c>
      <c r="E73" s="2"/>
      <c r="F73" s="21" t="s">
        <v>0</v>
      </c>
      <c r="G73" s="21" t="s">
        <v>50</v>
      </c>
      <c r="H73" s="21" t="s">
        <v>52</v>
      </c>
      <c r="I73" s="9">
        <v>45935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1" t="s">
        <v>6</v>
      </c>
      <c r="B74" s="21" t="s">
        <v>7</v>
      </c>
      <c r="C74" s="21" t="s">
        <v>8</v>
      </c>
      <c r="D74" s="21" t="s">
        <v>9</v>
      </c>
      <c r="E74" s="2"/>
      <c r="F74" s="21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21">
        <v>17</v>
      </c>
      <c r="B75" s="21">
        <v>1000000</v>
      </c>
      <c r="C75" s="21">
        <f t="shared" ref="C75:C81" si="4">VLOOKUP(A75&amp;"|"&amp;B75,$O$3:$P$16,2,FALSE)</f>
        <v>350</v>
      </c>
      <c r="D75" s="21">
        <f t="shared" ref="D75:D81" si="5">VLOOKUP(A75&amp;"|"&amp;B75,$Q$3:$R$16,2,FALSE)</f>
        <v>49650</v>
      </c>
      <c r="E75" s="2"/>
      <c r="F75" s="21">
        <v>1</v>
      </c>
      <c r="G75" s="21">
        <v>1000000</v>
      </c>
      <c r="H75" s="21">
        <f t="shared" ref="H75:H82" si="6">VLOOKUP(F75&amp;"|"&amp;G75,$O$3:$P$16,2,FALSE)</f>
        <v>8000</v>
      </c>
      <c r="I75" s="21">
        <f t="shared" ref="I75:I82" si="7">VLOOKUP(F75&amp;"|"&amp;G75,$Q$3:$R$16,2,FALSE)</f>
        <v>42000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21">
        <v>17.100000000000001</v>
      </c>
      <c r="B76" s="21">
        <v>1000000</v>
      </c>
      <c r="C76" s="21">
        <f t="shared" si="4"/>
        <v>600</v>
      </c>
      <c r="D76" s="21">
        <f t="shared" si="5"/>
        <v>49400</v>
      </c>
      <c r="E76" s="2"/>
      <c r="F76" s="21">
        <v>1</v>
      </c>
      <c r="G76" s="21">
        <v>1000000</v>
      </c>
      <c r="H76" s="21">
        <f t="shared" si="6"/>
        <v>8000</v>
      </c>
      <c r="I76" s="21">
        <f t="shared" si="7"/>
        <v>42000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21">
        <v>1</v>
      </c>
      <c r="B77" s="21">
        <v>1000000</v>
      </c>
      <c r="C77" s="21">
        <f t="shared" si="4"/>
        <v>8000</v>
      </c>
      <c r="D77" s="21">
        <f t="shared" si="5"/>
        <v>42000</v>
      </c>
      <c r="E77" s="2"/>
      <c r="F77" s="21">
        <v>1.1000000000000001</v>
      </c>
      <c r="G77" s="21">
        <v>1000000</v>
      </c>
      <c r="H77" s="21">
        <f t="shared" si="6"/>
        <v>8550</v>
      </c>
      <c r="I77" s="21">
        <f t="shared" si="7"/>
        <v>41450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21">
        <v>1.1000000000000001</v>
      </c>
      <c r="B78" s="21">
        <v>1000000</v>
      </c>
      <c r="C78" s="21">
        <f t="shared" si="4"/>
        <v>8550</v>
      </c>
      <c r="D78" s="21">
        <f t="shared" si="5"/>
        <v>41450</v>
      </c>
      <c r="E78" s="2"/>
      <c r="F78" s="21">
        <v>17.100000000000001</v>
      </c>
      <c r="G78" s="21">
        <v>1000000</v>
      </c>
      <c r="H78" s="21">
        <f t="shared" si="6"/>
        <v>600</v>
      </c>
      <c r="I78" s="21">
        <f t="shared" si="7"/>
        <v>49400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21">
        <v>1.1000000000000001</v>
      </c>
      <c r="B79" s="21">
        <v>1000000</v>
      </c>
      <c r="C79" s="21">
        <f t="shared" si="4"/>
        <v>8550</v>
      </c>
      <c r="D79" s="21">
        <f t="shared" si="5"/>
        <v>41450</v>
      </c>
      <c r="E79" s="2"/>
      <c r="F79" s="21">
        <v>6</v>
      </c>
      <c r="G79" s="21">
        <v>500000</v>
      </c>
      <c r="H79" s="21">
        <f t="shared" si="6"/>
        <v>2600</v>
      </c>
      <c r="I79" s="21">
        <f t="shared" si="7"/>
        <v>22400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21">
        <v>11</v>
      </c>
      <c r="B80" s="21">
        <v>250000</v>
      </c>
      <c r="C80" s="21">
        <f t="shared" si="4"/>
        <v>800</v>
      </c>
      <c r="D80" s="21">
        <f t="shared" si="5"/>
        <v>11700</v>
      </c>
      <c r="E80" s="2"/>
      <c r="F80" s="21">
        <v>17</v>
      </c>
      <c r="G80" s="21">
        <v>500000</v>
      </c>
      <c r="H80" s="21">
        <f t="shared" si="6"/>
        <v>300</v>
      </c>
      <c r="I80" s="21">
        <f t="shared" si="7"/>
        <v>24700</v>
      </c>
      <c r="J80" s="1"/>
      <c r="K80" s="1"/>
      <c r="L80" s="1"/>
      <c r="M80" s="1"/>
      <c r="N80" s="1"/>
      <c r="O80" s="56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21">
        <v>17.100000000000001</v>
      </c>
      <c r="B81" s="21">
        <v>500000</v>
      </c>
      <c r="C81" s="21">
        <f t="shared" si="4"/>
        <v>150</v>
      </c>
      <c r="D81" s="21">
        <f t="shared" si="5"/>
        <v>24850</v>
      </c>
      <c r="E81" s="2"/>
      <c r="F81" s="21">
        <v>17</v>
      </c>
      <c r="G81" s="21">
        <v>500000</v>
      </c>
      <c r="H81" s="21">
        <f t="shared" si="6"/>
        <v>300</v>
      </c>
      <c r="I81" s="21">
        <f t="shared" si="7"/>
        <v>24700</v>
      </c>
      <c r="J81" s="1"/>
      <c r="K81" s="1"/>
      <c r="L81" s="56"/>
      <c r="M81" s="56"/>
      <c r="N81" s="56"/>
      <c r="O81" s="44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21">
        <v>17</v>
      </c>
      <c r="B82" s="21">
        <v>250000</v>
      </c>
      <c r="C82" s="21">
        <f>VLOOKUP(A82&amp;"|"&amp;B82,$O$3:$P$18,2,FALSE)</f>
        <v>150</v>
      </c>
      <c r="D82" s="21">
        <f>VLOOKUP(A82&amp;"|"&amp;B82,$Q$3:$R$18,2,FALSE)</f>
        <v>12350</v>
      </c>
      <c r="E82" s="2"/>
      <c r="F82" s="21">
        <v>17</v>
      </c>
      <c r="G82" s="21">
        <v>1000000</v>
      </c>
      <c r="H82" s="21">
        <f t="shared" si="6"/>
        <v>350</v>
      </c>
      <c r="I82" s="21">
        <f t="shared" si="7"/>
        <v>49650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21">
        <v>6</v>
      </c>
      <c r="B83" s="21">
        <v>2000000</v>
      </c>
      <c r="C83" s="21">
        <f>VLOOKUP(A83&amp;"|"&amp;B83,$O$3:$P$18,2,FALSE)</f>
        <v>9500</v>
      </c>
      <c r="D83" s="21">
        <f>VLOOKUP(A83&amp;"|"&amp;B83,$Q$3:$R$18,2,FALSE)</f>
        <v>90500</v>
      </c>
      <c r="E83" s="2"/>
      <c r="F83" s="21"/>
      <c r="G83" s="21"/>
      <c r="H83" s="21"/>
      <c r="I83" s="21"/>
      <c r="J83" s="1"/>
      <c r="K83" s="1"/>
      <c r="L83" s="44"/>
      <c r="M83" s="44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1"/>
      <c r="B84" s="21"/>
      <c r="C84" s="21"/>
      <c r="D84" s="21"/>
      <c r="E84" s="2"/>
      <c r="F84" s="21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21" t="s">
        <v>16</v>
      </c>
      <c r="B85" s="21"/>
      <c r="C85" s="21" t="s">
        <v>182</v>
      </c>
      <c r="D85" s="21">
        <f>SUM(D75:D84)</f>
        <v>363350</v>
      </c>
      <c r="E85" s="2"/>
      <c r="F85" s="84" t="s">
        <v>16</v>
      </c>
      <c r="G85" s="85"/>
      <c r="H85" s="86"/>
      <c r="I85" s="21">
        <f>SUM(I75:I84)</f>
        <v>296300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thickTop="1" thickBo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21" t="s">
        <v>0</v>
      </c>
      <c r="B87" s="21" t="s">
        <v>53</v>
      </c>
      <c r="C87" s="21" t="s">
        <v>54</v>
      </c>
      <c r="D87" s="9">
        <v>45935</v>
      </c>
      <c r="E87" s="2"/>
      <c r="F87" s="21" t="s">
        <v>0</v>
      </c>
      <c r="G87" s="21" t="s">
        <v>55</v>
      </c>
      <c r="H87" s="21" t="s">
        <v>56</v>
      </c>
      <c r="I87" s="9">
        <v>45935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21" t="s">
        <v>6</v>
      </c>
      <c r="B88" s="21" t="s">
        <v>7</v>
      </c>
      <c r="C88" s="21" t="s">
        <v>8</v>
      </c>
      <c r="D88" s="21" t="s">
        <v>9</v>
      </c>
      <c r="E88" s="2"/>
      <c r="F88" s="21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21">
        <v>17.100000000000001</v>
      </c>
      <c r="B89" s="21">
        <v>1000000</v>
      </c>
      <c r="C89" s="21">
        <f>VLOOKUP(A89&amp;"|"&amp;B89,$O$3:$P$18,2,FALSE)</f>
        <v>600</v>
      </c>
      <c r="D89" s="21">
        <f>VLOOKUP(A89&amp;"|"&amp;B89,$Q$3:$R$18,2,FALSE)</f>
        <v>49400</v>
      </c>
      <c r="E89" s="2"/>
      <c r="F89" s="21">
        <v>17.100000000000001</v>
      </c>
      <c r="G89" s="21">
        <v>500000</v>
      </c>
      <c r="H89" s="21">
        <f>VLOOKUP(F89&amp;"|"&amp;G89,$O$3:$P$16,2,FALSE)</f>
        <v>150</v>
      </c>
      <c r="I89" s="21">
        <f>VLOOKUP(F89&amp;"|"&amp;G89,$Q$3:$R$16,2,FALSE)</f>
        <v>24850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21">
        <v>1</v>
      </c>
      <c r="B90" s="21">
        <v>1000000</v>
      </c>
      <c r="C90" s="21">
        <f>VLOOKUP(A90&amp;"|"&amp;B90,$O$3:$P$18,2,FALSE)</f>
        <v>8000</v>
      </c>
      <c r="D90" s="21">
        <f>VLOOKUP(A90&amp;"|"&amp;B90,$Q$3:$R$18,2,FALSE)</f>
        <v>42000</v>
      </c>
      <c r="E90" s="2"/>
      <c r="F90" s="21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21">
        <v>6</v>
      </c>
      <c r="B91" s="21">
        <v>2000000</v>
      </c>
      <c r="C91" s="21">
        <f>VLOOKUP(A91&amp;"|"&amp;B91,$O$3:$P$18,2,FALSE)</f>
        <v>9500</v>
      </c>
      <c r="D91" s="21">
        <f>VLOOKUP(A91&amp;"|"&amp;B91,$Q$3:$R$18,2,FALSE)</f>
        <v>90500</v>
      </c>
      <c r="E91" s="2"/>
      <c r="F91" s="21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21">
        <v>6</v>
      </c>
      <c r="B92" s="21">
        <v>2000000</v>
      </c>
      <c r="C92" s="21">
        <f>VLOOKUP(A92&amp;"|"&amp;B92,$O$3:$P$18,2,FALSE)</f>
        <v>9500</v>
      </c>
      <c r="D92" s="21">
        <f>VLOOKUP(A92&amp;"|"&amp;B92,$Q$3:$R$18,2,FALSE)</f>
        <v>90500</v>
      </c>
      <c r="E92" s="2"/>
      <c r="F92" s="21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1"/>
      <c r="B93" s="21"/>
      <c r="C93" s="21"/>
      <c r="D93" s="21"/>
      <c r="E93" s="2"/>
      <c r="F93" s="21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1" t="s">
        <v>16</v>
      </c>
      <c r="B94" s="21"/>
      <c r="C94" s="21"/>
      <c r="D94" s="21">
        <f>SUM(D89:D93)</f>
        <v>272400</v>
      </c>
      <c r="E94" s="2"/>
      <c r="F94" s="84" t="s">
        <v>16</v>
      </c>
      <c r="G94" s="85"/>
      <c r="H94" s="86"/>
      <c r="I94" s="21">
        <f>SUM(I89:I93)</f>
        <v>24850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thickTop="1" thickBo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1" t="s">
        <v>0</v>
      </c>
      <c r="B96" s="21" t="s">
        <v>57</v>
      </c>
      <c r="C96" s="21" t="s">
        <v>58</v>
      </c>
      <c r="D96" s="9">
        <v>45935</v>
      </c>
      <c r="E96" s="2"/>
      <c r="F96" s="21" t="s">
        <v>0</v>
      </c>
      <c r="G96" s="21" t="s">
        <v>59</v>
      </c>
      <c r="H96" s="21" t="s">
        <v>60</v>
      </c>
      <c r="I96" s="9">
        <v>45935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1" t="s">
        <v>6</v>
      </c>
      <c r="B97" s="21" t="s">
        <v>7</v>
      </c>
      <c r="C97" s="21" t="s">
        <v>8</v>
      </c>
      <c r="D97" s="21" t="s">
        <v>9</v>
      </c>
      <c r="E97" s="2"/>
      <c r="F97" s="21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21">
        <v>17</v>
      </c>
      <c r="B98" s="21">
        <v>500000</v>
      </c>
      <c r="C98" s="21">
        <f>VLOOKUP(A98&amp;"|"&amp;B98,$O$3:$P$16,2,FALSE)</f>
        <v>300</v>
      </c>
      <c r="D98" s="21">
        <f>VLOOKUP(A98&amp;"|"&amp;B98,$Q$3:$R$16,2,FALSE)</f>
        <v>24700</v>
      </c>
      <c r="E98" s="2"/>
      <c r="F98" s="21">
        <v>17</v>
      </c>
      <c r="G98" s="21">
        <v>1000000</v>
      </c>
      <c r="H98" s="21">
        <v>700</v>
      </c>
      <c r="I98" s="21">
        <v>49200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21">
        <v>6</v>
      </c>
      <c r="B99" s="21">
        <v>500000</v>
      </c>
      <c r="C99" s="21">
        <f>VLOOKUP(A99&amp;"|"&amp;B99,$O$3:$P$16,2,FALSE)</f>
        <v>2600</v>
      </c>
      <c r="D99" s="21">
        <f>VLOOKUP(A99&amp;"|"&amp;B99,$Q$3:$R$16,2,FALSE)</f>
        <v>22400</v>
      </c>
      <c r="E99" s="2"/>
      <c r="F99" s="21">
        <v>17.100000000000001</v>
      </c>
      <c r="G99" s="21">
        <v>1000000</v>
      </c>
      <c r="H99" s="21">
        <f>VLOOKUP(F99&amp;"|"&amp;G99,$O$3:$P$16,2,FALSE)</f>
        <v>600</v>
      </c>
      <c r="I99" s="21">
        <f>VLOOKUP(F99&amp;"|"&amp;G99,$Q$3:$R$16,2,FALSE)</f>
        <v>49400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1"/>
      <c r="B100" s="21"/>
      <c r="C100" s="21"/>
      <c r="D100" s="21"/>
      <c r="E100" s="2"/>
      <c r="F100" s="21">
        <v>1</v>
      </c>
      <c r="G100" s="21">
        <v>1000000</v>
      </c>
      <c r="H100" s="21">
        <f>VLOOKUP(F100&amp;"|"&amp;G100,$O$3:$P$16,2,FALSE)</f>
        <v>8000</v>
      </c>
      <c r="I100" s="21">
        <f>VLOOKUP(F100&amp;"|"&amp;G100,$Q$3:$R$16,2,FALSE)</f>
        <v>42000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1"/>
      <c r="B101" s="21"/>
      <c r="C101" s="21"/>
      <c r="D101" s="21"/>
      <c r="E101" s="2"/>
      <c r="F101" s="21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1"/>
      <c r="B102" s="21"/>
      <c r="C102" s="21"/>
      <c r="D102" s="21"/>
      <c r="E102" s="2"/>
      <c r="F102" s="21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1" t="s">
        <v>16</v>
      </c>
      <c r="B103" s="21"/>
      <c r="C103" s="21"/>
      <c r="D103" s="21">
        <f>SUM(D98:D102)</f>
        <v>47100</v>
      </c>
      <c r="E103" s="2"/>
      <c r="F103" s="84" t="s">
        <v>16</v>
      </c>
      <c r="G103" s="85"/>
      <c r="H103" s="86"/>
      <c r="I103" s="21">
        <f>SUM(I98:I102)</f>
        <v>140600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thickTop="1" thickBo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1" t="s">
        <v>0</v>
      </c>
      <c r="B105" s="21" t="s">
        <v>61</v>
      </c>
      <c r="C105" s="21" t="s">
        <v>62</v>
      </c>
      <c r="D105" s="9">
        <v>45935</v>
      </c>
      <c r="E105" s="2"/>
      <c r="F105" s="21" t="s">
        <v>0</v>
      </c>
      <c r="G105" s="21" t="s">
        <v>63</v>
      </c>
      <c r="H105" s="21" t="s">
        <v>34</v>
      </c>
      <c r="I105" s="9">
        <v>45935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1" t="s">
        <v>6</v>
      </c>
      <c r="B106" s="21" t="s">
        <v>7</v>
      </c>
      <c r="C106" s="21" t="s">
        <v>8</v>
      </c>
      <c r="D106" s="21" t="s">
        <v>9</v>
      </c>
      <c r="E106" s="2"/>
      <c r="F106" s="21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21">
        <v>17</v>
      </c>
      <c r="B107" s="21">
        <v>500000</v>
      </c>
      <c r="C107" s="21">
        <f>VLOOKUP(A107&amp;"|"&amp;B107,$O$3:$P$16,2,FALSE)</f>
        <v>300</v>
      </c>
      <c r="D107" s="21">
        <f>VLOOKUP(A107&amp;"|"&amp;B107,$Q$3:$R$16,2,FALSE)</f>
        <v>24700</v>
      </c>
      <c r="E107" s="2"/>
      <c r="F107" s="21">
        <v>17</v>
      </c>
      <c r="G107" s="21">
        <v>500000</v>
      </c>
      <c r="H107" s="21">
        <f>VLOOKUP(F107&amp;"|"&amp;G107,$O$3:$P$16,2,FALSE)</f>
        <v>300</v>
      </c>
      <c r="I107" s="21">
        <f>VLOOKUP(F107&amp;"|"&amp;G107,$Q$3:$R$16,2,FALSE)</f>
        <v>24700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1"/>
      <c r="B108" s="21"/>
      <c r="C108" s="21"/>
      <c r="D108" s="21"/>
      <c r="E108" s="2"/>
      <c r="F108" s="21">
        <v>17</v>
      </c>
      <c r="G108" s="21">
        <v>1000000</v>
      </c>
      <c r="H108" s="21">
        <f>VLOOKUP(F108&amp;"|"&amp;G108,$O$3:$P$16,2,FALSE)</f>
        <v>350</v>
      </c>
      <c r="I108" s="21">
        <f>VLOOKUP(F108&amp;"|"&amp;G108,$Q$3:$R$16,2,FALSE)</f>
        <v>49650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1"/>
      <c r="B109" s="21"/>
      <c r="C109" s="21"/>
      <c r="D109" s="21"/>
      <c r="E109" s="2"/>
      <c r="F109" s="21">
        <v>6</v>
      </c>
      <c r="G109" s="21">
        <v>2000000</v>
      </c>
      <c r="H109" s="21">
        <f>VLOOKUP(F109&amp;"|"&amp;G109,$O$3:$P$16,2,FALSE)</f>
        <v>9500</v>
      </c>
      <c r="I109" s="21">
        <f>VLOOKUP(F109&amp;"|"&amp;G109,$Q$3:$R$16,2,FALSE)</f>
        <v>90500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1"/>
      <c r="B110" s="21"/>
      <c r="C110" s="21"/>
      <c r="D110" s="21"/>
      <c r="E110" s="2"/>
      <c r="F110" s="21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1"/>
      <c r="B111" s="21"/>
      <c r="C111" s="21"/>
      <c r="D111" s="21"/>
      <c r="E111" s="2"/>
      <c r="F111" s="21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1" t="s">
        <v>16</v>
      </c>
      <c r="B112" s="21"/>
      <c r="C112" s="21"/>
      <c r="D112" s="21">
        <f>SUM(D107:D111)</f>
        <v>24700</v>
      </c>
      <c r="E112" s="2"/>
      <c r="F112" s="84" t="s">
        <v>16</v>
      </c>
      <c r="G112" s="85"/>
      <c r="H112" s="86"/>
      <c r="I112" s="21">
        <f>SUM(I107:I111)</f>
        <v>164850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thickTop="1" thickBo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1" t="s">
        <v>0</v>
      </c>
      <c r="B114" s="21" t="s">
        <v>47</v>
      </c>
      <c r="C114" s="21" t="s">
        <v>39</v>
      </c>
      <c r="D114" s="9">
        <v>45935</v>
      </c>
      <c r="E114" s="2"/>
      <c r="F114" s="21" t="s">
        <v>0</v>
      </c>
      <c r="G114" s="21" t="s">
        <v>64</v>
      </c>
      <c r="H114" s="21" t="s">
        <v>65</v>
      </c>
      <c r="I114" s="9">
        <v>45935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1" t="s">
        <v>6</v>
      </c>
      <c r="B115" s="21" t="s">
        <v>7</v>
      </c>
      <c r="C115" s="21" t="s">
        <v>8</v>
      </c>
      <c r="D115" s="21" t="s">
        <v>9</v>
      </c>
      <c r="E115" s="2"/>
      <c r="F115" s="21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21">
        <v>17</v>
      </c>
      <c r="B116" s="21">
        <v>500000</v>
      </c>
      <c r="C116" s="21">
        <f>VLOOKUP(A116&amp;"|"&amp;B116,$O$3:$P$16,2,FALSE)</f>
        <v>300</v>
      </c>
      <c r="D116" s="21">
        <f>VLOOKUP(A116&amp;"|"&amp;B116,$Q$3:$R$16,2,FALSE)</f>
        <v>24700</v>
      </c>
      <c r="E116" s="2"/>
      <c r="F116" s="21">
        <v>17</v>
      </c>
      <c r="G116" s="21">
        <v>1000000</v>
      </c>
      <c r="H116" s="21">
        <f>VLOOKUP(F116&amp;"|"&amp;G116,$O$3:$P$16,2,FALSE)</f>
        <v>350</v>
      </c>
      <c r="I116" s="21">
        <f>VLOOKUP(F116&amp;"|"&amp;G116,$Q$3:$R$16,2,FALSE)</f>
        <v>49650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21">
        <v>1.1000000000000001</v>
      </c>
      <c r="B117" s="21">
        <v>1000000</v>
      </c>
      <c r="C117" s="21">
        <f>VLOOKUP(A117&amp;"|"&amp;B117,$O$3:$P$16,2,FALSE)</f>
        <v>8550</v>
      </c>
      <c r="D117" s="21">
        <f>VLOOKUP(A117&amp;"|"&amp;B117,$Q$3:$R$16,2,FALSE)</f>
        <v>41450</v>
      </c>
      <c r="E117" s="2"/>
      <c r="F117" s="21">
        <v>6</v>
      </c>
      <c r="G117" s="21">
        <v>2000000</v>
      </c>
      <c r="H117" s="21">
        <f>VLOOKUP(F117&amp;"|"&amp;G117,$O$3:$P$17,2,FALSE)</f>
        <v>9500</v>
      </c>
      <c r="I117" s="21">
        <f>VLOOKUP(F117&amp;"|"&amp;G117,$Q$3:$R$17,2,FALSE)</f>
        <v>90500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21">
        <v>11</v>
      </c>
      <c r="B118" s="21">
        <v>500000</v>
      </c>
      <c r="C118" s="21">
        <f>VLOOKUP(A118&amp;"|"&amp;B118,$O$3:$P$16,2,FALSE)</f>
        <v>1600</v>
      </c>
      <c r="D118" s="21">
        <f>VLOOKUP(A118&amp;"|"&amp;B118,$Q$3:$R$16,2,FALSE)</f>
        <v>23400</v>
      </c>
      <c r="E118" s="2"/>
      <c r="F118" s="21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21">
        <v>11</v>
      </c>
      <c r="B119" s="21">
        <v>500000</v>
      </c>
      <c r="C119" s="21">
        <f>VLOOKUP(A119&amp;"|"&amp;B119,$O$3:$P$16,2,FALSE)</f>
        <v>1600</v>
      </c>
      <c r="D119" s="21">
        <f>VLOOKUP(A119&amp;"|"&amp;B119,$Q$3:$R$16,2,FALSE)</f>
        <v>23400</v>
      </c>
      <c r="E119" s="2"/>
      <c r="F119" s="21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1"/>
      <c r="B120" s="21"/>
      <c r="C120" s="21"/>
      <c r="D120" s="21"/>
      <c r="E120" s="2"/>
      <c r="F120" s="21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1" t="s">
        <v>16</v>
      </c>
      <c r="B121" s="21"/>
      <c r="C121" s="21"/>
      <c r="D121" s="21">
        <f>SUM(D116:D120)</f>
        <v>112950</v>
      </c>
      <c r="E121" s="2"/>
      <c r="F121" s="84" t="s">
        <v>16</v>
      </c>
      <c r="G121" s="85"/>
      <c r="H121" s="86"/>
      <c r="I121" s="21">
        <f>SUM(I116:I120)</f>
        <v>140150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thickTop="1" thickBo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1" t="s">
        <v>0</v>
      </c>
      <c r="B123" s="21" t="s">
        <v>66</v>
      </c>
      <c r="C123" s="21" t="s">
        <v>67</v>
      </c>
      <c r="D123" s="9">
        <v>45935</v>
      </c>
      <c r="E123" s="2"/>
      <c r="F123" s="21" t="s">
        <v>0</v>
      </c>
      <c r="G123" s="21" t="s">
        <v>68</v>
      </c>
      <c r="H123" s="21" t="s">
        <v>69</v>
      </c>
      <c r="I123" s="9">
        <v>45935</v>
      </c>
      <c r="J123" s="1"/>
      <c r="K123" s="1"/>
      <c r="L123" s="1"/>
      <c r="M123" s="1" t="s">
        <v>70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1" t="s">
        <v>6</v>
      </c>
      <c r="B124" s="21" t="s">
        <v>7</v>
      </c>
      <c r="C124" s="21" t="s">
        <v>8</v>
      </c>
      <c r="D124" s="21" t="s">
        <v>9</v>
      </c>
      <c r="E124" s="2"/>
      <c r="F124" s="21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21">
        <v>17</v>
      </c>
      <c r="B125" s="21">
        <v>500000</v>
      </c>
      <c r="C125" s="21">
        <f>VLOOKUP(A125&amp;"|"&amp;B125,$O$3:$P$16,2,FALSE)</f>
        <v>300</v>
      </c>
      <c r="D125" s="21">
        <f>VLOOKUP(A125&amp;"|"&amp;B125,$Q$3:$R$16,2,FALSE)</f>
        <v>24700</v>
      </c>
      <c r="E125" s="2"/>
      <c r="F125" s="21">
        <v>17</v>
      </c>
      <c r="G125" s="21">
        <v>1000000</v>
      </c>
      <c r="H125" s="21">
        <f>VLOOKUP(F125&amp;"|"&amp;G125,$O$3:$P$16,2,FALSE)</f>
        <v>350</v>
      </c>
      <c r="I125" s="21">
        <f>VLOOKUP(F125&amp;"|"&amp;G125,$Q$3:$R$16,2,FALSE)</f>
        <v>49650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21">
        <v>6</v>
      </c>
      <c r="B126" s="21">
        <v>2000000</v>
      </c>
      <c r="C126" s="21">
        <f>VLOOKUP(A126&amp;"|"&amp;B126,$O$3:$P$16,2,FALSE)</f>
        <v>9500</v>
      </c>
      <c r="D126" s="21">
        <f>VLOOKUP(A126&amp;"|"&amp;B126,$Q$3:$R$16,2,FALSE)</f>
        <v>90500</v>
      </c>
      <c r="E126" s="2"/>
      <c r="F126" s="21">
        <v>11</v>
      </c>
      <c r="G126" s="21">
        <v>500000</v>
      </c>
      <c r="H126" s="21">
        <f>VLOOKUP(F126&amp;"|"&amp;G126,$O$3:$P$16,2,FALSE)</f>
        <v>1600</v>
      </c>
      <c r="I126" s="21">
        <f>VLOOKUP(F126&amp;"|"&amp;G126,$Q$3:$R$16,2,FALSE)</f>
        <v>23400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1"/>
      <c r="B127" s="21"/>
      <c r="C127" s="21"/>
      <c r="D127" s="21"/>
      <c r="E127" s="2"/>
      <c r="F127" s="21">
        <v>11</v>
      </c>
      <c r="G127" s="21">
        <v>500000</v>
      </c>
      <c r="H127" s="21">
        <f>VLOOKUP(F127&amp;"|"&amp;G127,$O$3:$P$16,2,FALSE)</f>
        <v>1600</v>
      </c>
      <c r="I127" s="21">
        <f>VLOOKUP(F127&amp;"|"&amp;G127,$Q$3:$R$16,2,FALSE)</f>
        <v>23400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1"/>
      <c r="B128" s="21"/>
      <c r="C128" s="21"/>
      <c r="D128" s="21"/>
      <c r="E128" s="2"/>
      <c r="F128" s="21">
        <v>1.1000000000000001</v>
      </c>
      <c r="G128" s="21">
        <v>1000000</v>
      </c>
      <c r="H128" s="21">
        <f>VLOOKUP(F128&amp;"|"&amp;G128,$O$3:$P$16,2,FALSE)</f>
        <v>8550</v>
      </c>
      <c r="I128" s="21">
        <f>VLOOKUP(F128&amp;"|"&amp;G128,$Q$3:$R$16,2,FALSE)</f>
        <v>41450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1"/>
      <c r="B129" s="21"/>
      <c r="C129" s="21"/>
      <c r="D129" s="21"/>
      <c r="E129" s="2"/>
      <c r="F129" s="21"/>
      <c r="G129" s="21"/>
      <c r="H129" s="21"/>
      <c r="I129" s="2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1" t="s">
        <v>16</v>
      </c>
      <c r="B130" s="21"/>
      <c r="C130" s="21"/>
      <c r="D130" s="21">
        <f>SUM(D125:D129)</f>
        <v>115200</v>
      </c>
      <c r="E130" s="2"/>
      <c r="F130" s="84" t="s">
        <v>16</v>
      </c>
      <c r="G130" s="85"/>
      <c r="H130" s="86"/>
      <c r="I130" s="21">
        <f>SUM(I125:I129)</f>
        <v>137900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thickTop="1" thickBo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1" t="s">
        <v>0</v>
      </c>
      <c r="B132" s="21" t="s">
        <v>71</v>
      </c>
      <c r="C132" s="21" t="s">
        <v>72</v>
      </c>
      <c r="D132" s="9">
        <v>45935</v>
      </c>
      <c r="E132" s="2"/>
      <c r="F132" s="21" t="s">
        <v>0</v>
      </c>
      <c r="G132" s="21" t="s">
        <v>73</v>
      </c>
      <c r="H132" s="21" t="s">
        <v>74</v>
      </c>
      <c r="I132" s="9">
        <v>45935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1" t="s">
        <v>6</v>
      </c>
      <c r="B133" s="21" t="s">
        <v>7</v>
      </c>
      <c r="C133" s="21" t="s">
        <v>8</v>
      </c>
      <c r="D133" s="21" t="s">
        <v>9</v>
      </c>
      <c r="E133" s="2"/>
      <c r="F133" s="21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21">
        <v>17</v>
      </c>
      <c r="B134" s="21">
        <v>500000</v>
      </c>
      <c r="C134" s="21">
        <f>VLOOKUP(A134&amp;"|"&amp;B134,$O$3:$P$16,2,FALSE)</f>
        <v>300</v>
      </c>
      <c r="D134" s="21">
        <f>VLOOKUP(A134&amp;"|"&amp;B134,$Q$3:$R$16,2,FALSE)</f>
        <v>24700</v>
      </c>
      <c r="E134" s="2"/>
      <c r="F134" s="21">
        <v>17</v>
      </c>
      <c r="G134" s="21">
        <v>500000</v>
      </c>
      <c r="H134" s="21">
        <f>VLOOKUP(F134&amp;"|"&amp;G134,$O$3:$P$16,2,FALSE)</f>
        <v>300</v>
      </c>
      <c r="I134" s="21">
        <f>VLOOKUP(F134&amp;"|"&amp;G134,$Q$3:$R$16,2,FALSE)</f>
        <v>24700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21">
        <v>1</v>
      </c>
      <c r="B135" s="21">
        <v>1000000</v>
      </c>
      <c r="C135" s="21">
        <f>VLOOKUP(A135&amp;"|"&amp;B135,$O$3:$P$16,2,FALSE)</f>
        <v>8000</v>
      </c>
      <c r="D135" s="21">
        <f>VLOOKUP(A135&amp;"|"&amp;B135,$Q$3:$R$16,2,FALSE)</f>
        <v>42000</v>
      </c>
      <c r="E135" s="2"/>
      <c r="F135" s="21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1"/>
      <c r="B136" s="21"/>
      <c r="C136" s="21"/>
      <c r="D136" s="21"/>
      <c r="E136" s="2"/>
      <c r="F136" s="21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1"/>
      <c r="B137" s="21"/>
      <c r="C137" s="21"/>
      <c r="D137" s="21"/>
      <c r="E137" s="2"/>
      <c r="F137" s="21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1"/>
      <c r="B138" s="21"/>
      <c r="C138" s="21"/>
      <c r="D138" s="21"/>
      <c r="E138" s="2"/>
      <c r="F138" s="21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1" t="s">
        <v>16</v>
      </c>
      <c r="B139" s="21"/>
      <c r="C139" s="21"/>
      <c r="D139" s="21">
        <f>SUM(D134:D138)</f>
        <v>66700</v>
      </c>
      <c r="E139" s="2"/>
      <c r="F139" s="84" t="s">
        <v>16</v>
      </c>
      <c r="G139" s="85"/>
      <c r="H139" s="86"/>
      <c r="I139" s="21">
        <f>SUM(I134:I138)</f>
        <v>24700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thickTop="1" thickBo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1" t="s">
        <v>0</v>
      </c>
      <c r="B141" s="21" t="s">
        <v>75</v>
      </c>
      <c r="C141" s="21" t="s">
        <v>76</v>
      </c>
      <c r="D141" s="9">
        <v>45935</v>
      </c>
      <c r="E141" s="2"/>
      <c r="F141" s="12" t="s">
        <v>3</v>
      </c>
      <c r="G141" s="12" t="s">
        <v>77</v>
      </c>
      <c r="H141" s="12" t="s">
        <v>78</v>
      </c>
      <c r="I141" s="9">
        <v>45935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1" t="s">
        <v>6</v>
      </c>
      <c r="B142" s="21" t="s">
        <v>7</v>
      </c>
      <c r="C142" s="21" t="s">
        <v>8</v>
      </c>
      <c r="D142" s="21" t="s">
        <v>9</v>
      </c>
      <c r="E142" s="2"/>
      <c r="F142" s="21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21">
        <v>17</v>
      </c>
      <c r="B143" s="21">
        <v>500000</v>
      </c>
      <c r="C143" s="21">
        <f>VLOOKUP(A143&amp;"|"&amp;B143,$O$3:$P$16,2,FALSE)</f>
        <v>300</v>
      </c>
      <c r="D143" s="21">
        <f>VLOOKUP(A143&amp;"|"&amp;B143,$Q$3:$R$16,2,FALSE)</f>
        <v>24700</v>
      </c>
      <c r="E143" s="2"/>
      <c r="F143" s="21">
        <v>1</v>
      </c>
      <c r="G143" s="21">
        <v>1000000</v>
      </c>
      <c r="H143" s="21">
        <f>VLOOKUP(F143&amp;"|"&amp;G143,$O$3:$P$18,2,FALSE)</f>
        <v>8000</v>
      </c>
      <c r="I143" s="21">
        <f>VLOOKUP(F143&amp;"|"&amp;G143,$Q$3:$R$17,2,FALSE)</f>
        <v>42000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21">
        <v>11</v>
      </c>
      <c r="B144" s="21">
        <v>500000</v>
      </c>
      <c r="C144" s="21">
        <f>VLOOKUP(A144&amp;"|"&amp;B144,$O$3:$P$16,2,FALSE)</f>
        <v>1600</v>
      </c>
      <c r="D144" s="21">
        <f>VLOOKUP(A144&amp;"|"&amp;B144,$Q$3:$R$16,2,FALSE)</f>
        <v>23400</v>
      </c>
      <c r="E144" s="2"/>
      <c r="F144" s="21">
        <v>1.1000000000000001</v>
      </c>
      <c r="G144" s="21">
        <v>1000000</v>
      </c>
      <c r="H144" s="21">
        <f>VLOOKUP(F144&amp;"|"&amp;G144,$O$3:$P$17,2,FALSE)</f>
        <v>8550</v>
      </c>
      <c r="I144" s="21">
        <f>VLOOKUP(F144&amp;"|"&amp;G144,$Q$3:$R$17,2,FALSE)</f>
        <v>41450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21">
        <v>14</v>
      </c>
      <c r="B145" s="21">
        <v>500000</v>
      </c>
      <c r="C145" s="21">
        <f>VLOOKUP(A145&amp;"|"&amp;B145,$O$3:$P$16,2,FALSE)</f>
        <v>1000</v>
      </c>
      <c r="D145" s="21">
        <f>VLOOKUP(A145&amp;"|"&amp;B145,$Q$3:$R$16,2,FALSE)</f>
        <v>24000</v>
      </c>
      <c r="E145" s="2"/>
      <c r="F145" s="21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21">
        <v>1</v>
      </c>
      <c r="B146" s="21">
        <v>1000000</v>
      </c>
      <c r="C146" s="21">
        <f>VLOOKUP(A146&amp;"|"&amp;B146,$O$3:$P$16,2,FALSE)</f>
        <v>8000</v>
      </c>
      <c r="D146" s="21">
        <f>VLOOKUP(A146&amp;"|"&amp;B146,$Q$3:$R$16,2,FALSE)</f>
        <v>42000</v>
      </c>
      <c r="E146" s="2"/>
      <c r="F146" s="21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1"/>
      <c r="B147" s="21"/>
      <c r="C147" s="21"/>
      <c r="D147" s="21"/>
      <c r="E147" s="2"/>
      <c r="F147" s="21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1" t="s">
        <v>16</v>
      </c>
      <c r="B148" s="21"/>
      <c r="C148" s="21"/>
      <c r="D148" s="21">
        <f>SUM(D143:D147)</f>
        <v>114100</v>
      </c>
      <c r="E148" s="2"/>
      <c r="F148" s="84" t="s">
        <v>16</v>
      </c>
      <c r="G148" s="85"/>
      <c r="H148" s="86"/>
      <c r="I148" s="21">
        <f>SUM(I143:I147)</f>
        <v>83450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2"/>
      <c r="B149" s="2"/>
      <c r="C149" s="2"/>
      <c r="D149" s="2"/>
      <c r="E149" s="2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1" t="s">
        <v>0</v>
      </c>
      <c r="B150" s="21" t="s">
        <v>192</v>
      </c>
      <c r="C150" s="21" t="s">
        <v>193</v>
      </c>
      <c r="D150" s="9">
        <v>45935</v>
      </c>
      <c r="E150" s="2"/>
      <c r="F150" s="21" t="s">
        <v>0</v>
      </c>
      <c r="G150" s="21" t="s">
        <v>80</v>
      </c>
      <c r="H150" s="21" t="s">
        <v>81</v>
      </c>
      <c r="I150" s="9">
        <v>45935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1" t="s">
        <v>6</v>
      </c>
      <c r="B151" s="21" t="s">
        <v>7</v>
      </c>
      <c r="C151" s="21" t="s">
        <v>8</v>
      </c>
      <c r="D151" s="21" t="s">
        <v>9</v>
      </c>
      <c r="E151" s="2"/>
      <c r="F151" s="21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21">
        <v>1</v>
      </c>
      <c r="B152" s="21">
        <v>500000</v>
      </c>
      <c r="C152" s="21">
        <f>VLOOKUP(A152&amp;"|"&amp;B152,$O$3:$P$16,2,FALSE)</f>
        <v>4000</v>
      </c>
      <c r="D152" s="21">
        <f>VLOOKUP(A152&amp;"|"&amp;B152,$Q$3:$R$16,2,FALSE)</f>
        <v>21000</v>
      </c>
      <c r="E152" s="10"/>
      <c r="F152" s="21">
        <v>17</v>
      </c>
      <c r="G152" s="21">
        <v>500000</v>
      </c>
      <c r="H152" s="21">
        <f>VLOOKUP(F152&amp;"|"&amp;G152,$O$3:$P$16,2,FALSE)</f>
        <v>300</v>
      </c>
      <c r="I152" s="21">
        <f>VLOOKUP(F152&amp;"|"&amp;G152,$Q$3:$R$16,2,FALSE)</f>
        <v>24700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1"/>
      <c r="B153" s="21"/>
      <c r="C153" s="21"/>
      <c r="D153" s="21"/>
      <c r="E153" s="2"/>
      <c r="F153" s="21">
        <v>14</v>
      </c>
      <c r="G153" s="21">
        <v>500000</v>
      </c>
      <c r="H153" s="21">
        <f>VLOOKUP(F153&amp;"|"&amp;G153,$O$3:$P$16,2,FALSE)</f>
        <v>1000</v>
      </c>
      <c r="I153" s="21">
        <f>VLOOKUP(F153&amp;"|"&amp;G153,$Q$3:$R$16,2,FALSE)</f>
        <v>24000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1"/>
      <c r="B154" s="21"/>
      <c r="C154" s="21"/>
      <c r="D154" s="21"/>
      <c r="E154" s="2"/>
      <c r="F154" s="21">
        <v>1</v>
      </c>
      <c r="G154" s="21">
        <v>1000000</v>
      </c>
      <c r="H154" s="21">
        <f>VLOOKUP(F154&amp;"|"&amp;G154,$O$3:$P$16,2,FALSE)</f>
        <v>8000</v>
      </c>
      <c r="I154" s="21">
        <f>VLOOKUP(F154&amp;"|"&amp;G154,$Q$3:$R$16,2,FALSE)</f>
        <v>42000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1"/>
      <c r="B155" s="21"/>
      <c r="C155" s="21"/>
      <c r="D155" s="21"/>
      <c r="E155" s="2"/>
      <c r="F155" s="21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1"/>
      <c r="B156" s="21"/>
      <c r="C156" s="21"/>
      <c r="D156" s="21"/>
      <c r="E156" s="2"/>
      <c r="F156" s="21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1" t="s">
        <v>16</v>
      </c>
      <c r="B157" s="21"/>
      <c r="C157" s="21"/>
      <c r="D157" s="21">
        <f>SUM(D152:D156)</f>
        <v>21000</v>
      </c>
      <c r="E157" s="2"/>
      <c r="F157" s="84" t="s">
        <v>16</v>
      </c>
      <c r="G157" s="85"/>
      <c r="H157" s="86"/>
      <c r="I157" s="21">
        <f>SUM(I152:I156)</f>
        <v>90700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thickTop="1" thickBo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1" t="s">
        <v>0</v>
      </c>
      <c r="B159" s="21" t="s">
        <v>82</v>
      </c>
      <c r="C159" s="21" t="s">
        <v>24</v>
      </c>
      <c r="D159" s="9">
        <v>45935</v>
      </c>
      <c r="E159" s="2"/>
      <c r="F159" s="21" t="s">
        <v>0</v>
      </c>
      <c r="G159" s="21" t="s">
        <v>21</v>
      </c>
      <c r="H159" s="21" t="s">
        <v>83</v>
      </c>
      <c r="I159" s="9">
        <v>45935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1" t="s">
        <v>6</v>
      </c>
      <c r="B160" s="21" t="s">
        <v>7</v>
      </c>
      <c r="C160" s="21" t="s">
        <v>8</v>
      </c>
      <c r="D160" s="21" t="s">
        <v>9</v>
      </c>
      <c r="E160" s="2"/>
      <c r="F160" s="21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21">
        <v>17.100000000000001</v>
      </c>
      <c r="B161" s="21">
        <v>1000000</v>
      </c>
      <c r="C161" s="21">
        <f>VLOOKUP(A161&amp;"|"&amp;B161,$O$3:$P$16,2,FALSE)</f>
        <v>600</v>
      </c>
      <c r="D161" s="21">
        <f>VLOOKUP(A161&amp;"|"&amp;B161,$Q$3:$R$16,2,FALSE)</f>
        <v>49400</v>
      </c>
      <c r="E161" s="2"/>
      <c r="F161" s="21">
        <v>17.100000000000001</v>
      </c>
      <c r="G161" s="21">
        <v>1000000</v>
      </c>
      <c r="H161" s="21">
        <f>VLOOKUP(F161&amp;"|"&amp;G161,$O$3:$P$16,2,FALSE)</f>
        <v>600</v>
      </c>
      <c r="I161" s="21">
        <f>VLOOKUP(F161&amp;"|"&amp;G161,$Q$3:$R$16,2,FALSE)</f>
        <v>49400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1"/>
      <c r="B162" s="21"/>
      <c r="C162" s="21"/>
      <c r="D162" s="21"/>
      <c r="E162" s="2"/>
      <c r="F162" s="21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1"/>
      <c r="B163" s="21"/>
      <c r="C163" s="21"/>
      <c r="D163" s="21"/>
      <c r="E163" s="2"/>
      <c r="F163" s="21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1"/>
      <c r="B164" s="21"/>
      <c r="C164" s="21"/>
      <c r="D164" s="21"/>
      <c r="E164" s="2"/>
      <c r="F164" s="21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1"/>
      <c r="B165" s="21"/>
      <c r="C165" s="21"/>
      <c r="D165" s="21"/>
      <c r="E165" s="2"/>
      <c r="F165" s="21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1" t="s">
        <v>16</v>
      </c>
      <c r="B166" s="21"/>
      <c r="C166" s="21"/>
      <c r="D166" s="21">
        <f>SUM(D161:D165)</f>
        <v>49400</v>
      </c>
      <c r="E166" s="2"/>
      <c r="F166" s="84" t="s">
        <v>16</v>
      </c>
      <c r="G166" s="85"/>
      <c r="H166" s="86"/>
      <c r="I166" s="21">
        <f>SUM(I161:I165)</f>
        <v>49400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thickTop="1" thickBo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1" t="s">
        <v>0</v>
      </c>
      <c r="B168" s="21" t="s">
        <v>84</v>
      </c>
      <c r="C168" s="21" t="s">
        <v>72</v>
      </c>
      <c r="D168" s="9">
        <v>45935</v>
      </c>
      <c r="E168" s="2"/>
      <c r="F168" s="21" t="s">
        <v>0</v>
      </c>
      <c r="G168" s="21" t="s">
        <v>29</v>
      </c>
      <c r="H168" s="21" t="s">
        <v>43</v>
      </c>
      <c r="I168" s="9">
        <v>45935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1" t="s">
        <v>6</v>
      </c>
      <c r="B169" s="21" t="s">
        <v>7</v>
      </c>
      <c r="C169" s="21" t="s">
        <v>8</v>
      </c>
      <c r="D169" s="21" t="s">
        <v>9</v>
      </c>
      <c r="E169" s="2"/>
      <c r="F169" s="21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21">
        <v>17.100000000000001</v>
      </c>
      <c r="B170" s="21">
        <v>1000000</v>
      </c>
      <c r="C170" s="21">
        <f>VLOOKUP(A170&amp;"|"&amp;B170,$O$3:$P$16,2,FALSE)</f>
        <v>600</v>
      </c>
      <c r="D170" s="21">
        <f>VLOOKUP(A170&amp;"|"&amp;B170,$Q$3:$R$16,2,FALSE)</f>
        <v>49400</v>
      </c>
      <c r="E170" s="2" t="s">
        <v>85</v>
      </c>
      <c r="F170" s="21">
        <v>17</v>
      </c>
      <c r="G170" s="21">
        <v>1000000</v>
      </c>
      <c r="H170" s="21">
        <f>VLOOKUP(F170&amp;"|"&amp;G170,$O$3:$P$16,2,FALSE)</f>
        <v>350</v>
      </c>
      <c r="I170" s="21">
        <f>VLOOKUP(F170&amp;"|"&amp;G170,$Q$3:$R$16,2,FALSE)</f>
        <v>49650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21">
        <v>6</v>
      </c>
      <c r="B171" s="21">
        <v>1000000</v>
      </c>
      <c r="C171" s="21">
        <f>VLOOKUP(A171&amp;"|"&amp;B171,$O$3:$P$16,2,FALSE)</f>
        <v>5300</v>
      </c>
      <c r="D171" s="21">
        <f>VLOOKUP(A171&amp;"|"&amp;B171,$Q$3:$R$16,2,FALSE)</f>
        <v>44700</v>
      </c>
      <c r="E171" s="2"/>
      <c r="F171" s="21">
        <v>11</v>
      </c>
      <c r="G171" s="21">
        <v>500000</v>
      </c>
      <c r="H171" s="21">
        <f>VLOOKUP(F171&amp;"|"&amp;G171,$O$3:$P$16,2,FALSE)</f>
        <v>1600</v>
      </c>
      <c r="I171" s="21">
        <f>VLOOKUP(F171&amp;"|"&amp;G171,$Q$3:$R$16,2,FALSE)</f>
        <v>23400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21"/>
      <c r="B172" s="21"/>
      <c r="C172" s="21"/>
      <c r="D172" s="21"/>
      <c r="E172" s="2"/>
      <c r="F172" s="21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1"/>
      <c r="B173" s="21"/>
      <c r="C173" s="21"/>
      <c r="D173" s="21"/>
      <c r="E173" s="2"/>
      <c r="F173" s="21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1"/>
      <c r="B174" s="21"/>
      <c r="C174" s="21"/>
      <c r="D174" s="21"/>
      <c r="E174" s="2"/>
      <c r="F174" s="21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1" t="s">
        <v>16</v>
      </c>
      <c r="B175" s="21"/>
      <c r="C175" s="21"/>
      <c r="D175" s="21">
        <f>SUM(D170:D174)</f>
        <v>94100</v>
      </c>
      <c r="E175" s="2"/>
      <c r="F175" s="84" t="s">
        <v>16</v>
      </c>
      <c r="G175" s="85"/>
      <c r="H175" s="86"/>
      <c r="I175" s="21">
        <f>SUM(I170:I174)</f>
        <v>73050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thickTop="1" thickBo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1" t="s">
        <v>0</v>
      </c>
      <c r="B177" s="21" t="s">
        <v>86</v>
      </c>
      <c r="C177" s="21" t="s">
        <v>62</v>
      </c>
      <c r="D177" s="9">
        <v>45935</v>
      </c>
      <c r="E177" s="2"/>
      <c r="F177" s="21" t="s">
        <v>0</v>
      </c>
      <c r="G177" s="21" t="s">
        <v>87</v>
      </c>
      <c r="H177" s="21" t="s">
        <v>76</v>
      </c>
      <c r="I177" s="9">
        <v>45935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1" t="s">
        <v>6</v>
      </c>
      <c r="B178" s="21" t="s">
        <v>7</v>
      </c>
      <c r="C178" s="21" t="s">
        <v>8</v>
      </c>
      <c r="D178" s="21" t="s">
        <v>9</v>
      </c>
      <c r="E178" s="2"/>
      <c r="F178" s="21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21">
        <v>6</v>
      </c>
      <c r="B179" s="21">
        <v>2000000</v>
      </c>
      <c r="C179" s="21">
        <f>VLOOKUP(A179&amp;"|"&amp;B179,$O$3:$P$16,2,FALSE)</f>
        <v>9500</v>
      </c>
      <c r="D179" s="21">
        <f>VLOOKUP(A179&amp;"|"&amp;B179,$Q$3:$R$16,2,FALSE)</f>
        <v>90500</v>
      </c>
      <c r="E179" s="2"/>
      <c r="F179" s="21">
        <v>17.100000000000001</v>
      </c>
      <c r="G179" s="21">
        <v>1000000</v>
      </c>
      <c r="H179" s="21">
        <f>VLOOKUP(F179&amp;"|"&amp;G179,$O$3:$P$16,2,FALSE)</f>
        <v>600</v>
      </c>
      <c r="I179" s="21">
        <f>VLOOKUP(F179&amp;"|"&amp;G179,$Q$3:$R$16,2,FALSE)</f>
        <v>49400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21">
        <v>14</v>
      </c>
      <c r="B180" s="21">
        <v>500000</v>
      </c>
      <c r="C180" s="21">
        <f>VLOOKUP(A180&amp;"|"&amp;B180,$O$3:$P$16,2,FALSE)</f>
        <v>1000</v>
      </c>
      <c r="D180" s="21">
        <f>VLOOKUP(A180&amp;"|"&amp;B180,$Q$3:$R$16,2,FALSE)</f>
        <v>24000</v>
      </c>
      <c r="E180" s="2"/>
      <c r="F180" s="21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1"/>
      <c r="B181" s="21"/>
      <c r="C181" s="21"/>
      <c r="D181" s="21"/>
      <c r="E181" s="2"/>
      <c r="F181" s="21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1"/>
      <c r="B182" s="21"/>
      <c r="C182" s="21"/>
      <c r="D182" s="21"/>
      <c r="E182" s="2"/>
      <c r="F182" s="21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1"/>
      <c r="B183" s="21"/>
      <c r="C183" s="21"/>
      <c r="D183" s="21"/>
      <c r="E183" s="2"/>
      <c r="F183" s="21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1" t="s">
        <v>16</v>
      </c>
      <c r="B184" s="21"/>
      <c r="C184" s="21"/>
      <c r="D184" s="21">
        <f>SUM(D179:D183)</f>
        <v>114500</v>
      </c>
      <c r="E184" s="2"/>
      <c r="F184" s="84" t="s">
        <v>16</v>
      </c>
      <c r="G184" s="85"/>
      <c r="H184" s="86"/>
      <c r="I184" s="21">
        <f>SUM(I179:I183)</f>
        <v>49400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thickTop="1" thickBot="1">
      <c r="A185" s="2" t="s">
        <v>182</v>
      </c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2" t="s">
        <v>3</v>
      </c>
      <c r="B186" s="12" t="s">
        <v>88</v>
      </c>
      <c r="C186" s="12" t="s">
        <v>76</v>
      </c>
      <c r="D186" s="9">
        <v>45935</v>
      </c>
      <c r="E186" s="2"/>
      <c r="F186" s="21" t="s">
        <v>0</v>
      </c>
      <c r="G186" s="21" t="s">
        <v>89</v>
      </c>
      <c r="H186" s="21" t="s">
        <v>90</v>
      </c>
      <c r="I186" s="9">
        <v>45935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1" t="s">
        <v>91</v>
      </c>
      <c r="B187" s="21" t="s">
        <v>92</v>
      </c>
      <c r="C187" s="21" t="s">
        <v>93</v>
      </c>
      <c r="D187" s="21" t="s">
        <v>9</v>
      </c>
      <c r="E187" s="2"/>
      <c r="F187" s="21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21">
        <v>1</v>
      </c>
      <c r="B188" s="21">
        <v>1000000</v>
      </c>
      <c r="C188" s="21">
        <f>VLOOKUP(A188&amp;"|"&amp;B188,$O$3:$P$17,2,FALSE)</f>
        <v>8000</v>
      </c>
      <c r="D188" s="21">
        <f>VLOOKUP(A188&amp;"|"&amp;B188,$Q$3:$R$17,2,FALSE)</f>
        <v>42000</v>
      </c>
      <c r="E188" s="2"/>
      <c r="F188" s="21">
        <v>17.100000000000001</v>
      </c>
      <c r="G188" s="21">
        <v>500000</v>
      </c>
      <c r="H188" s="21">
        <f>VLOOKUP(F188&amp;"|"&amp;G188,$O$3:$P$16,2,FALSE)</f>
        <v>150</v>
      </c>
      <c r="I188" s="21">
        <f>VLOOKUP(F188&amp;"|"&amp;G188,$Q$3:$R$16,2,FALSE)</f>
        <v>24850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21">
        <v>17.100000000000001</v>
      </c>
      <c r="B189" s="21">
        <v>1000000</v>
      </c>
      <c r="C189" s="21">
        <f>VLOOKUP(A189&amp;"|"&amp;B189,$O$3:$P$17,2,FALSE)</f>
        <v>600</v>
      </c>
      <c r="D189" s="21">
        <f>VLOOKUP(A189&amp;"|"&amp;B189,$Q$3:$R$17,2,FALSE)</f>
        <v>49400</v>
      </c>
      <c r="E189" s="2"/>
      <c r="F189" s="21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21"/>
      <c r="B190" s="21"/>
      <c r="C190" s="21"/>
      <c r="D190" s="21"/>
      <c r="E190" s="2"/>
      <c r="F190" s="21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1"/>
      <c r="B191" s="21"/>
      <c r="C191" s="21"/>
      <c r="D191" s="21"/>
      <c r="E191" s="2"/>
      <c r="F191" s="21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1"/>
      <c r="B192" s="21"/>
      <c r="C192" s="21"/>
      <c r="D192" s="21"/>
      <c r="E192" s="2"/>
      <c r="F192" s="21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1" t="s">
        <v>16</v>
      </c>
      <c r="B193" s="21"/>
      <c r="C193" s="21"/>
      <c r="D193" s="21">
        <f>SUM(D188:D192)</f>
        <v>91400</v>
      </c>
      <c r="E193" s="2"/>
      <c r="F193" s="84" t="s">
        <v>16</v>
      </c>
      <c r="G193" s="85"/>
      <c r="H193" s="86"/>
      <c r="I193" s="21">
        <f>SUM(I188:I192)</f>
        <v>24850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thickTop="1" thickBo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1" t="s">
        <v>0</v>
      </c>
      <c r="B195" s="21" t="s">
        <v>94</v>
      </c>
      <c r="C195" s="21" t="s">
        <v>24</v>
      </c>
      <c r="D195" s="9">
        <v>45935</v>
      </c>
      <c r="E195" s="2"/>
      <c r="F195" s="21" t="s">
        <v>0</v>
      </c>
      <c r="G195" s="21" t="s">
        <v>95</v>
      </c>
      <c r="H195" s="21" t="s">
        <v>96</v>
      </c>
      <c r="I195" s="9">
        <v>45935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1" t="s">
        <v>6</v>
      </c>
      <c r="B196" s="21" t="s">
        <v>7</v>
      </c>
      <c r="C196" s="21" t="s">
        <v>8</v>
      </c>
      <c r="D196" s="21" t="s">
        <v>9</v>
      </c>
      <c r="E196" s="2"/>
      <c r="F196" s="21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21">
        <v>17.100000000000001</v>
      </c>
      <c r="B197" s="21">
        <v>1000000</v>
      </c>
      <c r="C197" s="21">
        <f>VLOOKUP(A197&amp;"|"&amp;B197,$O$3:$P$16,2,FALSE)</f>
        <v>600</v>
      </c>
      <c r="D197" s="21">
        <f>VLOOKUP(A197&amp;"|"&amp;B197,$Q$3:$R$16,2,FALSE)</f>
        <v>49400</v>
      </c>
      <c r="E197" s="2"/>
      <c r="F197" s="21">
        <v>17</v>
      </c>
      <c r="G197" s="21">
        <v>1000000</v>
      </c>
      <c r="H197" s="21">
        <v>700</v>
      </c>
      <c r="I197" s="21">
        <v>49200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21">
        <v>6</v>
      </c>
      <c r="B198" s="21">
        <v>1000000</v>
      </c>
      <c r="C198" s="21">
        <f>VLOOKUP(A198&amp;"|"&amp;B198,$O$3:$P$16,2,FALSE)</f>
        <v>5300</v>
      </c>
      <c r="D198" s="21">
        <f>VLOOKUP(A198&amp;"|"&amp;B198,$Q$3:$R$16,2,FALSE)</f>
        <v>44700</v>
      </c>
      <c r="E198" s="2"/>
      <c r="F198" s="21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1"/>
      <c r="B199" s="21"/>
      <c r="C199" s="21"/>
      <c r="D199" s="21"/>
      <c r="E199" s="2"/>
      <c r="F199" s="21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1"/>
      <c r="B200" s="21"/>
      <c r="C200" s="21"/>
      <c r="D200" s="21"/>
      <c r="E200" s="2"/>
      <c r="F200" s="21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1"/>
      <c r="B201" s="21"/>
      <c r="C201" s="21"/>
      <c r="D201" s="21"/>
      <c r="E201" s="2"/>
      <c r="F201" s="21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1" t="s">
        <v>16</v>
      </c>
      <c r="B202" s="21"/>
      <c r="C202" s="21"/>
      <c r="D202" s="21">
        <f>SUM(D197:D201)</f>
        <v>94100</v>
      </c>
      <c r="E202" s="2"/>
      <c r="F202" s="84" t="s">
        <v>16</v>
      </c>
      <c r="G202" s="85"/>
      <c r="H202" s="86"/>
      <c r="I202" s="21">
        <f>SUM(I197:I201)</f>
        <v>49200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thickTop="1" thickBo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2" t="s">
        <v>3</v>
      </c>
      <c r="B204" s="12" t="s">
        <v>97</v>
      </c>
      <c r="C204" s="12" t="s">
        <v>98</v>
      </c>
      <c r="D204" s="9">
        <v>45935</v>
      </c>
      <c r="F204" s="12" t="s">
        <v>3</v>
      </c>
      <c r="G204" s="12" t="s">
        <v>99</v>
      </c>
      <c r="H204" s="12" t="s">
        <v>100</v>
      </c>
      <c r="I204" s="9">
        <v>45935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1" t="s">
        <v>6</v>
      </c>
      <c r="B205" s="21" t="s">
        <v>7</v>
      </c>
      <c r="C205" s="21" t="s">
        <v>8</v>
      </c>
      <c r="D205" s="21" t="s">
        <v>9</v>
      </c>
      <c r="F205" s="21" t="s">
        <v>91</v>
      </c>
      <c r="G205" s="21" t="s">
        <v>92</v>
      </c>
      <c r="H205" s="21" t="s">
        <v>93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21">
        <v>17</v>
      </c>
      <c r="B206" s="21">
        <v>1000000</v>
      </c>
      <c r="C206" s="21">
        <f>VLOOKUP(A206&amp;"|"&amp;B206,$O$3:$P$18,2,FALSE)</f>
        <v>350</v>
      </c>
      <c r="D206" s="21">
        <f>VLOOKUP(A206&amp;"|"&amp;B206,$Q$3:$R$17,2,FALSE)</f>
        <v>49650</v>
      </c>
      <c r="F206" s="21">
        <v>1.1000000000000001</v>
      </c>
      <c r="G206" s="21">
        <v>1000000</v>
      </c>
      <c r="H206" s="21">
        <f>VLOOKUP(F206&amp;"|"&amp;G206,$O$3:$P$17,2,FALSE)</f>
        <v>8550</v>
      </c>
      <c r="I206" s="21">
        <f>VLOOKUP(F206&amp;"|"&amp;G206,$Q$3:$R$17,2,FALSE)</f>
        <v>41450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21">
        <v>17.100000000000001</v>
      </c>
      <c r="B207" s="21">
        <v>1000000</v>
      </c>
      <c r="C207" s="21">
        <f>VLOOKUP(A207&amp;"|"&amp;B207,$O$3:$P$17,2,FALSE)</f>
        <v>600</v>
      </c>
      <c r="D207" s="21">
        <f>VLOOKUP(A207&amp;"|"&amp;B207,$Q$3:$R$17,2,FALSE)</f>
        <v>49400</v>
      </c>
      <c r="F207" s="21">
        <v>6</v>
      </c>
      <c r="G207" s="21">
        <v>1000000</v>
      </c>
      <c r="H207" s="21">
        <f>VLOOKUP(F207&amp;"|"&amp;G207,$O$3:$P$17,2,FALSE)</f>
        <v>5300</v>
      </c>
      <c r="I207" s="21">
        <f>VLOOKUP(F207&amp;"|"&amp;G207,$Q$3:$R$17,2,FALSE)</f>
        <v>44700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1"/>
      <c r="B208" s="21"/>
      <c r="C208" s="21"/>
      <c r="D208" s="21"/>
      <c r="E208" s="2"/>
      <c r="F208" s="21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1"/>
      <c r="B209" s="21"/>
      <c r="C209" s="21"/>
      <c r="D209" s="21"/>
      <c r="E209" s="2"/>
      <c r="F209" s="21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1"/>
      <c r="B210" s="21"/>
      <c r="C210" s="21"/>
      <c r="D210" s="21"/>
      <c r="E210" s="2"/>
      <c r="F210" s="21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1" t="s">
        <v>16</v>
      </c>
      <c r="B211" s="21"/>
      <c r="C211" s="21"/>
      <c r="D211" s="21">
        <f>SUM(D206:D210)</f>
        <v>99050</v>
      </c>
      <c r="E211" s="2"/>
      <c r="F211" s="84" t="s">
        <v>16</v>
      </c>
      <c r="G211" s="85"/>
      <c r="H211" s="86"/>
      <c r="I211" s="21">
        <f>SUM(I206:I210)</f>
        <v>86150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thickTop="1" thickBo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1" t="s">
        <v>0</v>
      </c>
      <c r="B213" s="21" t="s">
        <v>57</v>
      </c>
      <c r="C213" s="21" t="s">
        <v>101</v>
      </c>
      <c r="D213" s="9">
        <v>45935</v>
      </c>
      <c r="E213" s="2"/>
      <c r="F213" s="21" t="s">
        <v>0</v>
      </c>
      <c r="G213" s="21" t="s">
        <v>35</v>
      </c>
      <c r="H213" s="21" t="s">
        <v>102</v>
      </c>
      <c r="I213" s="9">
        <v>45935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1" t="s">
        <v>6</v>
      </c>
      <c r="B214" s="21" t="s">
        <v>7</v>
      </c>
      <c r="C214" s="21" t="s">
        <v>8</v>
      </c>
      <c r="D214" s="21" t="s">
        <v>9</v>
      </c>
      <c r="E214" s="2"/>
      <c r="F214" s="21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21">
        <v>1</v>
      </c>
      <c r="B215" s="21">
        <v>500000</v>
      </c>
      <c r="C215" s="21">
        <f>VLOOKUP(A215&amp;"|"&amp;B215,$O$3:$P$16,2,FALSE)</f>
        <v>4000</v>
      </c>
      <c r="D215" s="21">
        <f>VLOOKUP(A215&amp;"|"&amp;B215,$Q$3:$R$16,2,FALSE)</f>
        <v>21000</v>
      </c>
      <c r="E215" s="2"/>
      <c r="F215" s="21">
        <v>1</v>
      </c>
      <c r="G215" s="21">
        <v>500000</v>
      </c>
      <c r="H215" s="21">
        <f>VLOOKUP(F215&amp;"|"&amp;G215,$O$3:$P$16,2,FALSE)</f>
        <v>4000</v>
      </c>
      <c r="I215" s="21">
        <f>VLOOKUP(F215&amp;"|"&amp;G215,$Q$3:$R$16,2,FALSE)</f>
        <v>21000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1"/>
      <c r="B216" s="21"/>
      <c r="C216" s="21"/>
      <c r="D216" s="21"/>
      <c r="E216" s="2"/>
      <c r="F216" s="21">
        <v>14</v>
      </c>
      <c r="G216" s="21">
        <v>500000</v>
      </c>
      <c r="H216" s="21">
        <f>VLOOKUP(F216&amp;"|"&amp;G216,$O$3:$P$16,2,FALSE)</f>
        <v>1000</v>
      </c>
      <c r="I216" s="21">
        <f>VLOOKUP(F216&amp;"|"&amp;G216,$Q$3:$R$16,2,FALSE)</f>
        <v>24000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1"/>
      <c r="B217" s="21"/>
      <c r="C217" s="21"/>
      <c r="D217" s="21"/>
      <c r="E217" s="2"/>
      <c r="F217" s="21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1"/>
      <c r="B218" s="21"/>
      <c r="C218" s="21"/>
      <c r="D218" s="21"/>
      <c r="E218" s="2"/>
      <c r="F218" s="21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1"/>
      <c r="B219" s="21"/>
      <c r="C219" s="21"/>
      <c r="D219" s="21"/>
      <c r="E219" s="2"/>
      <c r="F219" s="21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1" t="s">
        <v>16</v>
      </c>
      <c r="B220" s="21"/>
      <c r="C220" s="21"/>
      <c r="D220" s="21">
        <f>SUM(D215:D219)</f>
        <v>21000</v>
      </c>
      <c r="E220" s="2"/>
      <c r="F220" s="84" t="s">
        <v>16</v>
      </c>
      <c r="G220" s="85"/>
      <c r="H220" s="86"/>
      <c r="I220" s="21">
        <f>SUM(I215:I219)</f>
        <v>45000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thickTop="1" thickBo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1" t="s">
        <v>0</v>
      </c>
      <c r="B222" s="21" t="s">
        <v>88</v>
      </c>
      <c r="C222" s="21" t="s">
        <v>24</v>
      </c>
      <c r="D222" s="9">
        <v>45935</v>
      </c>
      <c r="E222" s="2"/>
      <c r="F222" s="21" t="s">
        <v>0</v>
      </c>
      <c r="G222" s="21" t="s">
        <v>103</v>
      </c>
      <c r="H222" s="21" t="s">
        <v>104</v>
      </c>
      <c r="I222" s="9">
        <v>45935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1" t="s">
        <v>6</v>
      </c>
      <c r="B223" s="21" t="s">
        <v>7</v>
      </c>
      <c r="C223" s="21" t="s">
        <v>8</v>
      </c>
      <c r="D223" s="21" t="s">
        <v>9</v>
      </c>
      <c r="E223" s="2"/>
      <c r="F223" s="21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21">
        <v>11</v>
      </c>
      <c r="B224" s="21">
        <v>500000</v>
      </c>
      <c r="C224" s="21">
        <f>VLOOKUP(A224&amp;"|"&amp;B224,$O$3:$P$16,2,FALSE)</f>
        <v>1600</v>
      </c>
      <c r="D224" s="21">
        <f>VLOOKUP(A224&amp;"|"&amp;B224,$Q$3:$R$16,2,FALSE)</f>
        <v>23400</v>
      </c>
      <c r="E224" s="2"/>
      <c r="F224" s="21">
        <v>11</v>
      </c>
      <c r="G224" s="21">
        <v>500000</v>
      </c>
      <c r="H224" s="21">
        <f>VLOOKUP(F224&amp;"|"&amp;G224,$O$3:$P$16,2,FALSE)</f>
        <v>1600</v>
      </c>
      <c r="I224" s="21">
        <f>VLOOKUP(F224&amp;"|"&amp;G224,$Q$3:$R$16,2,FALSE)</f>
        <v>23400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1"/>
      <c r="B225" s="21"/>
      <c r="C225" s="21"/>
      <c r="D225" s="21"/>
      <c r="E225" s="2"/>
      <c r="F225" s="21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1"/>
      <c r="B226" s="21"/>
      <c r="C226" s="21"/>
      <c r="D226" s="21"/>
      <c r="E226" s="2"/>
      <c r="F226" s="21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1"/>
      <c r="B227" s="21"/>
      <c r="C227" s="21"/>
      <c r="D227" s="21"/>
      <c r="E227" s="2"/>
      <c r="F227" s="21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1"/>
      <c r="B228" s="21"/>
      <c r="C228" s="21"/>
      <c r="D228" s="21"/>
      <c r="E228" s="2"/>
      <c r="F228" s="21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1" t="s">
        <v>16</v>
      </c>
      <c r="B229" s="21"/>
      <c r="C229" s="21"/>
      <c r="D229" s="21">
        <f>SUM(D224:D228)</f>
        <v>23400</v>
      </c>
      <c r="E229" s="2"/>
      <c r="F229" s="84" t="s">
        <v>16</v>
      </c>
      <c r="G229" s="85"/>
      <c r="H229" s="86"/>
      <c r="I229" s="21">
        <f>SUM(I224:I228)</f>
        <v>23400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thickTop="1" thickBo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1" t="s">
        <v>0</v>
      </c>
      <c r="B231" s="21" t="s">
        <v>71</v>
      </c>
      <c r="C231" s="21" t="s">
        <v>105</v>
      </c>
      <c r="D231" s="9">
        <v>45935</v>
      </c>
      <c r="E231" s="2"/>
      <c r="F231" s="21" t="s">
        <v>0</v>
      </c>
      <c r="G231" s="21" t="s">
        <v>106</v>
      </c>
      <c r="H231" s="21" t="s">
        <v>81</v>
      </c>
      <c r="I231" s="9">
        <v>45935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1" t="s">
        <v>6</v>
      </c>
      <c r="B232" s="21" t="s">
        <v>7</v>
      </c>
      <c r="C232" s="21" t="s">
        <v>8</v>
      </c>
      <c r="D232" s="21" t="s">
        <v>9</v>
      </c>
      <c r="E232" s="2"/>
      <c r="F232" s="21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21">
        <v>6</v>
      </c>
      <c r="B233" s="21">
        <v>500000</v>
      </c>
      <c r="C233" s="21">
        <f>VLOOKUP(A233&amp;"|"&amp;B233,$O$3:$P$16,2,FALSE)</f>
        <v>2600</v>
      </c>
      <c r="D233" s="21">
        <f>VLOOKUP(A233&amp;"|"&amp;B233,$Q$3:$R$16,2,FALSE)</f>
        <v>22400</v>
      </c>
      <c r="E233" s="2"/>
      <c r="F233" s="21">
        <v>6</v>
      </c>
      <c r="G233" s="21">
        <v>2000000</v>
      </c>
      <c r="H233" s="21">
        <f>VLOOKUP(F233&amp;"|"&amp;G233,$O$3:$P$19,2,FALSE)</f>
        <v>9500</v>
      </c>
      <c r="I233" s="21">
        <f>VLOOKUP(F233&amp;"|"&amp;G233,$Q$3:$R$19,2,FALSE)</f>
        <v>90500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1"/>
      <c r="B234" s="21"/>
      <c r="C234" s="21"/>
      <c r="D234" s="21"/>
      <c r="E234" s="2"/>
      <c r="F234" s="21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1"/>
      <c r="B235" s="21"/>
      <c r="C235" s="21"/>
      <c r="D235" s="21"/>
      <c r="E235" s="2"/>
      <c r="F235" s="21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1"/>
      <c r="B236" s="21"/>
      <c r="C236" s="21"/>
      <c r="D236" s="21"/>
      <c r="E236" s="2"/>
      <c r="F236" s="21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1"/>
      <c r="B237" s="21"/>
      <c r="C237" s="21"/>
      <c r="D237" s="21"/>
      <c r="E237" s="2"/>
      <c r="F237" s="21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1" t="s">
        <v>16</v>
      </c>
      <c r="B238" s="21"/>
      <c r="C238" s="21"/>
      <c r="D238" s="21">
        <f>SUM(D233:D237)</f>
        <v>22400</v>
      </c>
      <c r="E238" s="2"/>
      <c r="F238" s="84" t="s">
        <v>16</v>
      </c>
      <c r="G238" s="85"/>
      <c r="H238" s="86"/>
      <c r="I238" s="21">
        <f>SUM(I233:I237)</f>
        <v>90500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thickTop="1" thickBo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1" t="s">
        <v>0</v>
      </c>
      <c r="B240" s="21" t="s">
        <v>194</v>
      </c>
      <c r="C240" s="21" t="s">
        <v>72</v>
      </c>
      <c r="D240" s="9">
        <v>45935</v>
      </c>
      <c r="E240" s="2"/>
      <c r="F240" s="21" t="s">
        <v>0</v>
      </c>
      <c r="G240" s="21" t="s">
        <v>107</v>
      </c>
      <c r="H240" s="21" t="s">
        <v>108</v>
      </c>
      <c r="I240" s="9">
        <v>45935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1" t="s">
        <v>6</v>
      </c>
      <c r="B241" s="21" t="s">
        <v>7</v>
      </c>
      <c r="C241" s="21" t="s">
        <v>8</v>
      </c>
      <c r="D241" s="21" t="s">
        <v>9</v>
      </c>
      <c r="E241" s="2"/>
      <c r="F241" s="21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21">
        <v>6</v>
      </c>
      <c r="B242" s="21">
        <v>1000000</v>
      </c>
      <c r="C242" s="21">
        <f>VLOOKUP(A242&amp;"|"&amp;B242,$O$3:$P$19,2,FALSE)</f>
        <v>5300</v>
      </c>
      <c r="D242" s="21">
        <f>VLOOKUP(A242&amp;"|"&amp;B242,$Q$3:$R$19,2,FALSE)</f>
        <v>44700</v>
      </c>
      <c r="E242" s="2"/>
      <c r="F242" s="21">
        <v>1</v>
      </c>
      <c r="G242" s="21">
        <v>1000000</v>
      </c>
      <c r="H242" s="21">
        <f>VLOOKUP(F242&amp;"|"&amp;G242,$O$3:$P$16,2,FALSE)</f>
        <v>8000</v>
      </c>
      <c r="I242" s="21">
        <f>VLOOKUP(F242&amp;"|"&amp;G242,$Q$3:$R$16,2,FALSE)</f>
        <v>42000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21"/>
      <c r="B243" s="21"/>
      <c r="C243" s="21"/>
      <c r="D243" s="21"/>
      <c r="E243" s="2"/>
      <c r="F243" s="21">
        <v>6</v>
      </c>
      <c r="G243" s="21">
        <v>2000000</v>
      </c>
      <c r="H243" s="21">
        <f>VLOOKUP(F243&amp;"|"&amp;G243,$O$3:$P$16,2,FALSE)</f>
        <v>9500</v>
      </c>
      <c r="I243" s="21">
        <f>VLOOKUP(F243&amp;"|"&amp;G243,$Q$3:$R$16,2,FALSE)</f>
        <v>90500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1"/>
      <c r="B244" s="21"/>
      <c r="C244" s="21"/>
      <c r="D244" s="21"/>
      <c r="E244" s="2"/>
      <c r="F244" s="21">
        <v>14</v>
      </c>
      <c r="G244" s="21">
        <v>500000</v>
      </c>
      <c r="H244" s="21">
        <f>VLOOKUP(F244&amp;"|"&amp;G244,$O$3:$P$16,2,FALSE)</f>
        <v>1000</v>
      </c>
      <c r="I244" s="21">
        <f>VLOOKUP(F244&amp;"|"&amp;G244,$Q$3:$R$16,2,FALSE)</f>
        <v>24000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1"/>
      <c r="B245" s="21"/>
      <c r="C245" s="21"/>
      <c r="D245" s="21"/>
      <c r="E245" s="2"/>
      <c r="F245" s="21">
        <v>14</v>
      </c>
      <c r="G245" s="21">
        <v>500000</v>
      </c>
      <c r="H245" s="21">
        <f>VLOOKUP(F245&amp;"|"&amp;G245,$O$3:$P$16,2,FALSE)</f>
        <v>1000</v>
      </c>
      <c r="I245" s="21">
        <f>VLOOKUP(F245&amp;"|"&amp;G245,$Q$3:$R$16,2,FALSE)</f>
        <v>24000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1"/>
      <c r="B246" s="21"/>
      <c r="C246" s="21"/>
      <c r="D246" s="21"/>
      <c r="E246" s="2"/>
      <c r="F246" s="21">
        <v>1.1000000000000001</v>
      </c>
      <c r="G246" s="21">
        <v>1000000</v>
      </c>
      <c r="H246" s="21">
        <f>VLOOKUP(F246&amp;"|"&amp;G246,$O$3:$P$16,2,FALSE)</f>
        <v>8550</v>
      </c>
      <c r="I246" s="21">
        <f>VLOOKUP(F246&amp;"|"&amp;G246,$Q$3:$R$16,2,FALSE)</f>
        <v>41450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1" t="s">
        <v>16</v>
      </c>
      <c r="B247" s="21"/>
      <c r="C247" s="21"/>
      <c r="D247" s="21">
        <f>SUM(D242:D246)</f>
        <v>44700</v>
      </c>
      <c r="E247" s="2"/>
      <c r="F247" s="84" t="s">
        <v>16</v>
      </c>
      <c r="G247" s="85"/>
      <c r="H247" s="86"/>
      <c r="I247" s="21">
        <f>SUM(I242:I246)</f>
        <v>221950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thickTop="1" thickBo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1" t="s">
        <v>0</v>
      </c>
      <c r="B249" s="21" t="s">
        <v>109</v>
      </c>
      <c r="C249" s="21" t="s">
        <v>110</v>
      </c>
      <c r="D249" s="9">
        <v>45935</v>
      </c>
      <c r="E249" s="2"/>
      <c r="F249" s="21" t="s">
        <v>0</v>
      </c>
      <c r="G249" s="21" t="s">
        <v>187</v>
      </c>
      <c r="H249" s="21" t="s">
        <v>38</v>
      </c>
      <c r="I249" s="9">
        <v>45935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1" t="s">
        <v>6</v>
      </c>
      <c r="B250" s="21" t="s">
        <v>7</v>
      </c>
      <c r="C250" s="21" t="s">
        <v>8</v>
      </c>
      <c r="D250" s="21" t="s">
        <v>9</v>
      </c>
      <c r="E250" s="2"/>
      <c r="F250" s="21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21">
        <v>1</v>
      </c>
      <c r="B251" s="21">
        <v>1000000</v>
      </c>
      <c r="C251" s="21">
        <f>VLOOKUP(A251&amp;"|"&amp;B251,$O$3:$P$16,2,FALSE)</f>
        <v>8000</v>
      </c>
      <c r="D251" s="21">
        <f>VLOOKUP(A251&amp;"|"&amp;B251,$Q$3:$R$16,2,FALSE)</f>
        <v>42000</v>
      </c>
      <c r="E251" s="2"/>
      <c r="F251" s="21">
        <v>11</v>
      </c>
      <c r="G251" s="21">
        <v>500000</v>
      </c>
      <c r="H251" s="21">
        <f>VLOOKUP(F251&amp;"|"&amp;G251,$O$3:$P$16,2,FALSE)</f>
        <v>1600</v>
      </c>
      <c r="I251" s="21">
        <f>VLOOKUP(F251&amp;"|"&amp;G251,$Q$3:$R$16,2,FALSE)</f>
        <v>23400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21">
        <v>1.1000000000000001</v>
      </c>
      <c r="B252" s="21">
        <v>1000000</v>
      </c>
      <c r="C252" s="21">
        <f>VLOOKUP(A252&amp;"|"&amp;B252,$O$3:$P$16,2,FALSE)</f>
        <v>8550</v>
      </c>
      <c r="D252" s="21">
        <f>VLOOKUP(A252&amp;"|"&amp;B252,$Q$3:$R$16,2,FALSE)</f>
        <v>41450</v>
      </c>
      <c r="E252" s="2"/>
      <c r="F252" s="21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1"/>
      <c r="B253" s="21"/>
      <c r="C253" s="21"/>
      <c r="D253" s="21"/>
      <c r="E253" s="2"/>
      <c r="F253" s="21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1"/>
      <c r="B254" s="21"/>
      <c r="C254" s="21"/>
      <c r="D254" s="21"/>
      <c r="E254" s="2"/>
      <c r="F254" s="21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1"/>
      <c r="B255" s="21"/>
      <c r="C255" s="21"/>
      <c r="D255" s="21"/>
      <c r="E255" s="2"/>
      <c r="F255" s="21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1" t="s">
        <v>16</v>
      </c>
      <c r="B256" s="21"/>
      <c r="C256" s="21"/>
      <c r="D256" s="21">
        <f>SUM(D251:D255)</f>
        <v>83450</v>
      </c>
      <c r="E256" s="2"/>
      <c r="F256" s="84" t="s">
        <v>16</v>
      </c>
      <c r="G256" s="85"/>
      <c r="H256" s="86"/>
      <c r="I256" s="21">
        <f>SUM(I251:I255)</f>
        <v>23400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thickTop="1" thickBo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1" t="s">
        <v>0</v>
      </c>
      <c r="B258" s="21" t="s">
        <v>111</v>
      </c>
      <c r="C258" s="21" t="s">
        <v>18</v>
      </c>
      <c r="D258" s="9">
        <v>45935</v>
      </c>
      <c r="E258" s="2"/>
      <c r="F258" s="21" t="s">
        <v>0</v>
      </c>
      <c r="G258" s="21" t="s">
        <v>112</v>
      </c>
      <c r="H258" s="21" t="s">
        <v>113</v>
      </c>
      <c r="I258" s="9">
        <v>45935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1" t="s">
        <v>6</v>
      </c>
      <c r="B259" s="21" t="s">
        <v>7</v>
      </c>
      <c r="C259" s="21" t="s">
        <v>8</v>
      </c>
      <c r="D259" s="21" t="s">
        <v>9</v>
      </c>
      <c r="E259" s="2"/>
      <c r="F259" s="21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21">
        <v>17</v>
      </c>
      <c r="B260" s="21">
        <v>500000</v>
      </c>
      <c r="C260" s="21">
        <f>VLOOKUP(A260&amp;"|"&amp;B260,$O$3:$P$18,2,FALSE)</f>
        <v>300</v>
      </c>
      <c r="D260" s="21">
        <f>VLOOKUP(A260&amp;"|"&amp;B260,$Q$3:$R$18,2,FALSE)</f>
        <v>24700</v>
      </c>
      <c r="E260" s="2"/>
      <c r="F260" s="21">
        <v>1</v>
      </c>
      <c r="G260" s="21">
        <v>500000</v>
      </c>
      <c r="H260" s="21">
        <f>VLOOKUP(F260&amp;"|"&amp;G260,$O$3:$P$16,2,FALSE)</f>
        <v>4000</v>
      </c>
      <c r="I260" s="21">
        <f>VLOOKUP(F260&amp;"|"&amp;G260,$Q$3:$R$16,2,FALSE)</f>
        <v>21000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21">
        <v>6</v>
      </c>
      <c r="B261" s="21">
        <v>1000000</v>
      </c>
      <c r="C261" s="21">
        <f>VLOOKUP(A261&amp;"|"&amp;B261,$O$3:$P$18,2,FALSE)</f>
        <v>5300</v>
      </c>
      <c r="D261" s="21">
        <f>VLOOKUP(A261&amp;"|"&amp;B261,$Q$3:$R$18,2,FALSE)</f>
        <v>44700</v>
      </c>
      <c r="E261" s="2"/>
      <c r="F261" s="21"/>
      <c r="G261" s="21"/>
      <c r="H261" s="21"/>
      <c r="I261" s="2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1"/>
      <c r="B262" s="21"/>
      <c r="C262" s="21"/>
      <c r="D262" s="21"/>
      <c r="E262" s="2"/>
      <c r="F262" s="21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1"/>
      <c r="B263" s="21"/>
      <c r="C263" s="21"/>
      <c r="D263" s="21"/>
      <c r="E263" s="2"/>
      <c r="F263" s="21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1"/>
      <c r="B264" s="21"/>
      <c r="C264" s="21"/>
      <c r="D264" s="21"/>
      <c r="E264" s="2"/>
      <c r="F264" s="21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1" t="s">
        <v>16</v>
      </c>
      <c r="B265" s="21"/>
      <c r="C265" s="21"/>
      <c r="D265" s="21">
        <f>SUM(D260:D264)</f>
        <v>69400</v>
      </c>
      <c r="E265" s="2"/>
      <c r="F265" s="84" t="s">
        <v>16</v>
      </c>
      <c r="G265" s="85"/>
      <c r="H265" s="86"/>
      <c r="I265" s="21">
        <f>SUM(I260:I264)</f>
        <v>21000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thickTop="1" thickBo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1" t="s">
        <v>0</v>
      </c>
      <c r="B267" s="21" t="s">
        <v>114</v>
      </c>
      <c r="C267" s="21" t="s">
        <v>24</v>
      </c>
      <c r="D267" s="9">
        <v>45935</v>
      </c>
      <c r="E267" s="2"/>
      <c r="F267" s="21" t="s">
        <v>0</v>
      </c>
      <c r="G267" s="21" t="s">
        <v>21</v>
      </c>
      <c r="H267" s="21" t="s">
        <v>43</v>
      </c>
      <c r="I267" s="9">
        <v>45935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1" t="s">
        <v>6</v>
      </c>
      <c r="B268" s="21" t="s">
        <v>7</v>
      </c>
      <c r="C268" s="21" t="s">
        <v>8</v>
      </c>
      <c r="D268" s="21" t="s">
        <v>9</v>
      </c>
      <c r="E268" s="2"/>
      <c r="F268" s="21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21">
        <v>6</v>
      </c>
      <c r="B269" s="21">
        <v>500000</v>
      </c>
      <c r="C269" s="21">
        <f>VLOOKUP(A269&amp;"|"&amp;B269,$O$3:$P$17,2,FALSE)</f>
        <v>2600</v>
      </c>
      <c r="D269" s="21">
        <f>VLOOKUP(A269&amp;"|"&amp;B269,$Q$3:$R$16,2,FALSE)</f>
        <v>22400</v>
      </c>
      <c r="E269" s="2"/>
      <c r="F269" s="21">
        <v>6</v>
      </c>
      <c r="G269" s="21">
        <v>500000</v>
      </c>
      <c r="H269" s="21">
        <f>VLOOKUP(F269&amp;"|"&amp;G269,$O$3:$P$16,2,FALSE)</f>
        <v>2600</v>
      </c>
      <c r="I269" s="21">
        <f>VLOOKUP(F269&amp;"|"&amp;G269,$Q$3:$R$16,2,FALSE)</f>
        <v>22400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1"/>
      <c r="B270" s="21"/>
      <c r="C270" s="21"/>
      <c r="D270" s="21"/>
      <c r="E270" s="2"/>
      <c r="F270" s="21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1"/>
      <c r="B271" s="21"/>
      <c r="C271" s="21"/>
      <c r="D271" s="21"/>
      <c r="E271" s="2"/>
      <c r="F271" s="21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1"/>
      <c r="B272" s="21"/>
      <c r="C272" s="21"/>
      <c r="D272" s="21"/>
      <c r="E272" s="2"/>
      <c r="F272" s="21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1"/>
      <c r="B273" s="21"/>
      <c r="C273" s="21"/>
      <c r="D273" s="21"/>
      <c r="E273" s="2"/>
      <c r="F273" s="21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1" t="s">
        <v>16</v>
      </c>
      <c r="B274" s="21"/>
      <c r="C274" s="21"/>
      <c r="D274" s="21">
        <f>SUM(D269:D273)</f>
        <v>22400</v>
      </c>
      <c r="E274" s="2"/>
      <c r="F274" s="84" t="s">
        <v>16</v>
      </c>
      <c r="G274" s="85"/>
      <c r="H274" s="86"/>
      <c r="I274" s="21">
        <f>SUM(I269:I273)</f>
        <v>22400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thickTop="1" thickBo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1" t="s">
        <v>0</v>
      </c>
      <c r="B276" s="21" t="s">
        <v>115</v>
      </c>
      <c r="C276" s="21" t="s">
        <v>28</v>
      </c>
      <c r="D276" s="9">
        <v>45935</v>
      </c>
      <c r="E276" s="2"/>
      <c r="F276" s="21" t="s">
        <v>0</v>
      </c>
      <c r="G276" s="21" t="s">
        <v>61</v>
      </c>
      <c r="H276" s="21" t="s">
        <v>28</v>
      </c>
      <c r="I276" s="9">
        <v>45935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1" t="s">
        <v>6</v>
      </c>
      <c r="B277" s="21" t="s">
        <v>7</v>
      </c>
      <c r="C277" s="21" t="s">
        <v>8</v>
      </c>
      <c r="D277" s="21" t="s">
        <v>9</v>
      </c>
      <c r="E277" s="2"/>
      <c r="F277" s="21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21">
        <v>6</v>
      </c>
      <c r="B278" s="21">
        <v>1000000</v>
      </c>
      <c r="C278" s="21">
        <f>VLOOKUP(A278&amp;"|"&amp;B278,$O$3:$P$16,2,FALSE)</f>
        <v>5300</v>
      </c>
      <c r="D278" s="21">
        <f>VLOOKUP(A278&amp;"|"&amp;B278,$Q$3:$R$16,2,FALSE)</f>
        <v>44700</v>
      </c>
      <c r="E278" s="2"/>
      <c r="F278" s="21">
        <v>6</v>
      </c>
      <c r="G278" s="21">
        <v>1000000</v>
      </c>
      <c r="H278" s="21">
        <f>VLOOKUP(F278&amp;"|"&amp;G278,$O$3:$P$18,2,FALSE)</f>
        <v>5300</v>
      </c>
      <c r="I278" s="21">
        <f>VLOOKUP(F278&amp;"|"&amp;G278,$Q$3:$R$18,2,FALSE)</f>
        <v>44700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21">
        <v>1</v>
      </c>
      <c r="B279" s="21">
        <v>1000000</v>
      </c>
      <c r="C279" s="21">
        <f>VLOOKUP(A279&amp;"|"&amp;B279,$O$3:$P$16,2,FALSE)</f>
        <v>8000</v>
      </c>
      <c r="D279" s="21">
        <f>VLOOKUP(A279&amp;"|"&amp;B279,$Q$3:$R$16,2,FALSE)</f>
        <v>42000</v>
      </c>
      <c r="E279" s="2"/>
      <c r="F279" s="21">
        <v>1</v>
      </c>
      <c r="G279" s="21">
        <v>500000</v>
      </c>
      <c r="H279" s="21">
        <f>VLOOKUP(F279&amp;"|"&amp;G279,$O$3:$P$16,2,FALSE)</f>
        <v>4000</v>
      </c>
      <c r="I279" s="21">
        <f>VLOOKUP(F279&amp;"|"&amp;G279,$Q$3:$R$16,2,FALSE)</f>
        <v>21000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1"/>
      <c r="B280" s="21"/>
      <c r="C280" s="21"/>
      <c r="D280" s="21"/>
      <c r="E280" s="2"/>
      <c r="F280" s="21">
        <v>14</v>
      </c>
      <c r="G280" s="21">
        <v>500000</v>
      </c>
      <c r="H280" s="21">
        <f>VLOOKUP(F280&amp;"|"&amp;G280,$O$3:$P$16,2,FALSE)</f>
        <v>1000</v>
      </c>
      <c r="I280" s="21">
        <f>VLOOKUP(F280&amp;"|"&amp;G280,$Q$3:$R$16,2,FALSE)</f>
        <v>24000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1"/>
      <c r="B281" s="21"/>
      <c r="C281" s="21"/>
      <c r="D281" s="21"/>
      <c r="E281" s="2"/>
      <c r="F281" s="21">
        <v>14</v>
      </c>
      <c r="G281" s="21">
        <v>500000</v>
      </c>
      <c r="H281" s="21">
        <f>VLOOKUP(F281&amp;"|"&amp;G281,$O$3:$P$16,2,FALSE)</f>
        <v>1000</v>
      </c>
      <c r="I281" s="21">
        <f>VLOOKUP(F281&amp;"|"&amp;G281,$Q$3:$R$16,2,FALSE)</f>
        <v>24000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1"/>
      <c r="B282" s="21"/>
      <c r="C282" s="21"/>
      <c r="D282" s="21"/>
      <c r="E282" s="2"/>
      <c r="F282" s="21">
        <v>6</v>
      </c>
      <c r="G282" s="21">
        <v>1000000</v>
      </c>
      <c r="H282" s="21">
        <f>VLOOKUP(F282&amp;"|"&amp;G282,$O$3:$P$16,2,FALSE)</f>
        <v>5300</v>
      </c>
      <c r="I282" s="21">
        <f>VLOOKUP(F282&amp;"|"&amp;G282,$Q$3:$R$16,2,FALSE)</f>
        <v>44700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1"/>
      <c r="B283" s="21"/>
      <c r="C283" s="21"/>
      <c r="D283" s="21"/>
      <c r="E283" s="2"/>
      <c r="F283" s="21">
        <v>11</v>
      </c>
      <c r="G283" s="21">
        <v>500000</v>
      </c>
      <c r="H283" s="21">
        <f>VLOOKUP(F283&amp;"|"&amp;G283,$O$3:$P$16,2,FALSE)</f>
        <v>1600</v>
      </c>
      <c r="I283" s="21">
        <f>VLOOKUP(F283&amp;"|"&amp;G283,$Q$3:$R$16,2,FALSE)</f>
        <v>23400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1" t="s">
        <v>16</v>
      </c>
      <c r="B284" s="21"/>
      <c r="C284" s="21"/>
      <c r="D284" s="21">
        <f>SUM(D278:D283)</f>
        <v>86700</v>
      </c>
      <c r="E284" s="2"/>
      <c r="F284" s="84" t="s">
        <v>16</v>
      </c>
      <c r="G284" s="85"/>
      <c r="H284" s="86"/>
      <c r="I284" s="21">
        <f>SUM(I278:I283)</f>
        <v>181800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10"/>
      <c r="B285" s="10"/>
      <c r="C285" s="10"/>
      <c r="D285" s="10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2" t="s">
        <v>0</v>
      </c>
      <c r="B286" s="12" t="s">
        <v>116</v>
      </c>
      <c r="C286" s="12" t="s">
        <v>34</v>
      </c>
      <c r="D286" s="9">
        <v>45935</v>
      </c>
      <c r="E286" s="2"/>
      <c r="F286" s="21" t="s">
        <v>0</v>
      </c>
      <c r="G286" s="21" t="s">
        <v>73</v>
      </c>
      <c r="H286" s="21" t="s">
        <v>76</v>
      </c>
      <c r="I286" s="9">
        <v>45935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1" t="s">
        <v>6</v>
      </c>
      <c r="B287" s="21" t="s">
        <v>7</v>
      </c>
      <c r="C287" s="21" t="s">
        <v>8</v>
      </c>
      <c r="D287" s="21" t="s">
        <v>9</v>
      </c>
      <c r="E287" s="2"/>
      <c r="F287" s="21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21">
        <v>6</v>
      </c>
      <c r="B288" s="21">
        <v>2000000</v>
      </c>
      <c r="C288" s="21">
        <f>VLOOKUP(A288&amp;"|"&amp;B288,$O$3:$P$17,2,FALSE)</f>
        <v>9500</v>
      </c>
      <c r="D288" s="21">
        <f>VLOOKUP(A288&amp;"|"&amp;B288,$Q$3:$R$17,2,FALSE)</f>
        <v>90500</v>
      </c>
      <c r="E288" s="2"/>
      <c r="F288" s="21">
        <v>6</v>
      </c>
      <c r="G288" s="21">
        <v>1000000</v>
      </c>
      <c r="H288" s="21">
        <f>VLOOKUP(F288&amp;"|"&amp;G288,$O$3:$P$16,2,FALSE)</f>
        <v>5300</v>
      </c>
      <c r="I288" s="21">
        <f>VLOOKUP(F288&amp;"|"&amp;G288,$Q$3:$R$16,2,FALSE)</f>
        <v>44700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21">
        <v>6</v>
      </c>
      <c r="B289" s="21">
        <v>500000</v>
      </c>
      <c r="C289" s="21">
        <f>VLOOKUP(A289&amp;"|"&amp;B289,$O$3:$P$17,2,FALSE)</f>
        <v>2600</v>
      </c>
      <c r="D289" s="21">
        <f>VLOOKUP(A289&amp;"|"&amp;B289,$Q$3:$R$17,2,FALSE)</f>
        <v>22400</v>
      </c>
      <c r="E289" s="2"/>
      <c r="F289" s="21">
        <v>11</v>
      </c>
      <c r="G289" s="21">
        <v>500000</v>
      </c>
      <c r="H289" s="21">
        <f>VLOOKUP(F289&amp;"|"&amp;G289,$O$3:$P$16,2,FALSE)</f>
        <v>1600</v>
      </c>
      <c r="I289" s="21">
        <f>VLOOKUP(F289&amp;"|"&amp;G289,$Q$3:$R$16,2,FALSE)</f>
        <v>23400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1">
        <v>1</v>
      </c>
      <c r="B290" s="21">
        <v>1000000</v>
      </c>
      <c r="C290" s="21">
        <f>VLOOKUP(A290&amp;"|"&amp;B290,$O$3:$P$17,2,FALSE)</f>
        <v>8000</v>
      </c>
      <c r="D290" s="21">
        <f>VLOOKUP(A290&amp;"|"&amp;B290,$Q$3:$R$17,2,FALSE)</f>
        <v>42000</v>
      </c>
      <c r="E290" s="2"/>
      <c r="F290" s="21">
        <v>14</v>
      </c>
      <c r="G290" s="21">
        <v>500000</v>
      </c>
      <c r="H290" s="21">
        <f>VLOOKUP(F290&amp;"|"&amp;G290,$O$3:$P$16,2,FALSE)</f>
        <v>1000</v>
      </c>
      <c r="I290" s="21">
        <f>VLOOKUP(F290&amp;"|"&amp;G290,$Q$3:$R$16,2,FALSE)</f>
        <v>24000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1"/>
      <c r="B291" s="21"/>
      <c r="C291" s="21"/>
      <c r="D291" s="21"/>
      <c r="E291" s="2"/>
      <c r="F291" s="21">
        <v>14</v>
      </c>
      <c r="G291" s="21">
        <v>500000</v>
      </c>
      <c r="H291" s="21">
        <f>VLOOKUP(F291&amp;"|"&amp;G291,$O$3:$P$16,2,FALSE)</f>
        <v>1000</v>
      </c>
      <c r="I291" s="21">
        <f>VLOOKUP(F291&amp;"|"&amp;G291,$Q$3:$R$16,2,FALSE)</f>
        <v>24000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1"/>
      <c r="B292" s="21"/>
      <c r="C292" s="21"/>
      <c r="D292" s="21"/>
      <c r="E292" s="2"/>
      <c r="F292" s="21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59" t="s">
        <v>49</v>
      </c>
      <c r="B293" s="53"/>
      <c r="C293" s="54"/>
      <c r="D293" s="21">
        <f>SUM(D288:D292)</f>
        <v>154900</v>
      </c>
      <c r="E293" s="2"/>
      <c r="F293" s="84" t="s">
        <v>16</v>
      </c>
      <c r="G293" s="85"/>
      <c r="H293" s="86"/>
      <c r="I293" s="21">
        <f>SUM(I288:I292)</f>
        <v>116100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thickTop="1" thickBo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1" t="s">
        <v>0</v>
      </c>
      <c r="B295" s="21" t="s">
        <v>117</v>
      </c>
      <c r="C295" s="21" t="s">
        <v>24</v>
      </c>
      <c r="D295" s="9">
        <v>45935</v>
      </c>
      <c r="E295" s="2"/>
      <c r="F295" s="21" t="s">
        <v>0</v>
      </c>
      <c r="G295" s="21" t="s">
        <v>118</v>
      </c>
      <c r="H295" s="21" t="s">
        <v>119</v>
      </c>
      <c r="I295" s="9">
        <v>45935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1" t="s">
        <v>6</v>
      </c>
      <c r="B296" s="21" t="s">
        <v>7</v>
      </c>
      <c r="C296" s="21" t="s">
        <v>8</v>
      </c>
      <c r="D296" s="21" t="s">
        <v>9</v>
      </c>
      <c r="E296" s="2"/>
      <c r="F296" s="21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21">
        <v>6</v>
      </c>
      <c r="B297" s="21">
        <v>2000000</v>
      </c>
      <c r="C297" s="21">
        <f>VLOOKUP(A297&amp;"|"&amp;B297,$O$3:$P$16,2,FALSE)</f>
        <v>9500</v>
      </c>
      <c r="D297" s="21">
        <f>VLOOKUP(A297&amp;"|"&amp;B297,$Q$3:$R$16,2,FALSE)</f>
        <v>90500</v>
      </c>
      <c r="E297" s="2"/>
      <c r="F297" s="21">
        <v>6</v>
      </c>
      <c r="G297" s="21">
        <v>2000000</v>
      </c>
      <c r="H297" s="21">
        <f>VLOOKUP(F297&amp;"|"&amp;G297,$O$3:$P$16,2,FALSE)</f>
        <v>9500</v>
      </c>
      <c r="I297" s="21">
        <f>VLOOKUP(F297&amp;"|"&amp;G297,$Q$3:$R$16,2,FALSE)</f>
        <v>90500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21">
        <v>14</v>
      </c>
      <c r="B298" s="21">
        <v>500000</v>
      </c>
      <c r="C298" s="21">
        <f>VLOOKUP(A298&amp;"|"&amp;B298,$O$3:$P$16,2,FALSE)</f>
        <v>1000</v>
      </c>
      <c r="D298" s="21">
        <f>VLOOKUP(A298&amp;"|"&amp;B298,$Q$3:$R$16,2,FALSE)</f>
        <v>24000</v>
      </c>
      <c r="E298" s="2"/>
      <c r="F298" s="21">
        <v>6</v>
      </c>
      <c r="G298" s="21">
        <v>1000000</v>
      </c>
      <c r="H298" s="21">
        <f>VLOOKUP(F298&amp;"|"&amp;G298,$O$3:$P$16,2,FALSE)</f>
        <v>5300</v>
      </c>
      <c r="I298" s="21">
        <f>VLOOKUP(F298&amp;"|"&amp;G298,$Q$3:$R$16,2,FALSE)</f>
        <v>44700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21">
        <v>17</v>
      </c>
      <c r="B299" s="21">
        <v>1000000</v>
      </c>
      <c r="C299" s="21">
        <f>VLOOKUP(A299&amp;"|"&amp;B299,$O$3:$P$17,2,FALSE)</f>
        <v>350</v>
      </c>
      <c r="D299" s="21">
        <f>VLOOKUP(A299&amp;"|"&amp;B299,$Q$3:$R$17,2,FALSE)</f>
        <v>49650</v>
      </c>
      <c r="E299" s="2"/>
      <c r="F299" s="21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1"/>
      <c r="B300" s="21"/>
      <c r="C300" s="21"/>
      <c r="D300" s="21"/>
      <c r="E300" s="2"/>
      <c r="F300" s="21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1"/>
      <c r="B301" s="21"/>
      <c r="C301" s="21"/>
      <c r="D301" s="21"/>
      <c r="E301" s="2"/>
      <c r="F301" s="21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1" t="s">
        <v>16</v>
      </c>
      <c r="B302" s="21"/>
      <c r="C302" s="21"/>
      <c r="D302" s="21">
        <f>SUM(D297:D301)</f>
        <v>164150</v>
      </c>
      <c r="E302" s="2"/>
      <c r="F302" s="84" t="s">
        <v>16</v>
      </c>
      <c r="G302" s="85"/>
      <c r="H302" s="86"/>
      <c r="I302" s="21">
        <f>SUM(I297:I301)</f>
        <v>135200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thickTop="1" thickBot="1">
      <c r="A303" s="2"/>
      <c r="B303" s="2"/>
      <c r="C303" s="2" t="s">
        <v>191</v>
      </c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1" t="s">
        <v>0</v>
      </c>
      <c r="B304" s="21" t="s">
        <v>35</v>
      </c>
      <c r="C304" s="21" t="s">
        <v>120</v>
      </c>
      <c r="D304" s="9">
        <v>45935</v>
      </c>
      <c r="E304" s="2"/>
      <c r="F304" s="21" t="s">
        <v>0</v>
      </c>
      <c r="G304" s="21" t="s">
        <v>121</v>
      </c>
      <c r="H304" s="21" t="s">
        <v>28</v>
      </c>
      <c r="I304" s="9">
        <v>45935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1" t="s">
        <v>6</v>
      </c>
      <c r="B305" s="21" t="s">
        <v>7</v>
      </c>
      <c r="C305" s="21" t="s">
        <v>8</v>
      </c>
      <c r="D305" s="21" t="s">
        <v>9</v>
      </c>
      <c r="E305" s="2"/>
      <c r="F305" s="21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21">
        <v>6</v>
      </c>
      <c r="B306" s="21">
        <v>1000000</v>
      </c>
      <c r="C306" s="21">
        <f>VLOOKUP(A306&amp;"|"&amp;B306,$O$3:$P$17,2,FALSE)</f>
        <v>5300</v>
      </c>
      <c r="D306" s="21">
        <f>VLOOKUP(A306&amp;"|"&amp;B306,$Q$3:$R$17,2,FALSE)</f>
        <v>44700</v>
      </c>
      <c r="E306" s="2"/>
      <c r="F306" s="21">
        <v>6</v>
      </c>
      <c r="G306" s="21">
        <v>1000000</v>
      </c>
      <c r="H306" s="21">
        <f>VLOOKUP(F306&amp;"|"&amp;G306,$O$3:$P$18,2,FALSE)</f>
        <v>5300</v>
      </c>
      <c r="I306" s="21">
        <f>VLOOKUP(F306&amp;"|"&amp;G306,$Q$3:$R$17,2,FALSE)</f>
        <v>44700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21">
        <v>1</v>
      </c>
      <c r="B307" s="21">
        <v>1000000</v>
      </c>
      <c r="C307" s="21">
        <f>VLOOKUP(A307&amp;"|"&amp;B307,$O$3:$P$16,2,FALSE)</f>
        <v>8000</v>
      </c>
      <c r="D307" s="21">
        <f>VLOOKUP(A307&amp;"|"&amp;B307,$Q$3:$R$16,2,FALSE)</f>
        <v>42000</v>
      </c>
      <c r="E307" s="2"/>
      <c r="F307" s="21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1"/>
      <c r="B308" s="21"/>
      <c r="C308" s="21"/>
      <c r="D308" s="21"/>
      <c r="E308" s="2"/>
      <c r="F308" s="21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1"/>
      <c r="B309" s="21"/>
      <c r="C309" s="21"/>
      <c r="D309" s="21"/>
      <c r="E309" s="2"/>
      <c r="F309" s="21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1"/>
      <c r="B310" s="21"/>
      <c r="C310" s="21"/>
      <c r="D310" s="21"/>
      <c r="E310" s="2"/>
      <c r="F310" s="21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1" t="s">
        <v>16</v>
      </c>
      <c r="B311" s="21"/>
      <c r="C311" s="21"/>
      <c r="D311" s="21">
        <f>SUM(D306:D310)</f>
        <v>86700</v>
      </c>
      <c r="E311" s="2"/>
      <c r="F311" s="84" t="s">
        <v>16</v>
      </c>
      <c r="G311" s="85"/>
      <c r="H311" s="86"/>
      <c r="I311" s="21">
        <f>SUM(I306:I310)</f>
        <v>44700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thickTop="1" thickBo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1" t="s">
        <v>0</v>
      </c>
      <c r="B313" s="21" t="s">
        <v>122</v>
      </c>
      <c r="C313" s="21" t="s">
        <v>76</v>
      </c>
      <c r="D313" s="9">
        <v>45935</v>
      </c>
      <c r="E313" s="2"/>
      <c r="F313" s="21" t="s">
        <v>0</v>
      </c>
      <c r="G313" s="21" t="s">
        <v>61</v>
      </c>
      <c r="H313" s="21" t="s">
        <v>123</v>
      </c>
      <c r="I313" s="9">
        <v>45935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1" t="s">
        <v>6</v>
      </c>
      <c r="B314" s="21" t="s">
        <v>7</v>
      </c>
      <c r="C314" s="21" t="s">
        <v>8</v>
      </c>
      <c r="D314" s="21" t="s">
        <v>9</v>
      </c>
      <c r="E314" s="2"/>
      <c r="F314" s="21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21">
        <v>6</v>
      </c>
      <c r="B315" s="21">
        <v>500000</v>
      </c>
      <c r="C315" s="21">
        <f>VLOOKUP(A315&amp;"|"&amp;B315,$O$3:$P$16,2,FALSE)</f>
        <v>2600</v>
      </c>
      <c r="D315" s="21">
        <f>VLOOKUP(A315&amp;"|"&amp;B315,$Q$3:$R$16,2,FALSE)</f>
        <v>22400</v>
      </c>
      <c r="E315" s="2"/>
      <c r="F315" s="21">
        <v>17</v>
      </c>
      <c r="G315" s="21">
        <v>500000</v>
      </c>
      <c r="H315" s="21">
        <f>VLOOKUP(F315&amp;"|"&amp;G315,$O$3:$P$16,2,FALSE)</f>
        <v>300</v>
      </c>
      <c r="I315" s="21">
        <f>VLOOKUP(F315&amp;"|"&amp;G315,$Q$3:$R$16,2,FALSE)</f>
        <v>24700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21">
        <v>11</v>
      </c>
      <c r="B316" s="21">
        <v>500000</v>
      </c>
      <c r="C316" s="21">
        <f>VLOOKUP(A316&amp;"|"&amp;B316,$O$3:$P$16,2,FALSE)</f>
        <v>1600</v>
      </c>
      <c r="D316" s="21">
        <f>VLOOKUP(A316&amp;"|"&amp;B316,$Q$3:$R$16,2,FALSE)</f>
        <v>23400</v>
      </c>
      <c r="E316" s="2"/>
      <c r="F316" s="21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1"/>
      <c r="B317" s="21"/>
      <c r="C317" s="21"/>
      <c r="D317" s="21"/>
      <c r="E317" s="2"/>
      <c r="F317" s="21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1"/>
      <c r="B318" s="21"/>
      <c r="C318" s="21"/>
      <c r="D318" s="21"/>
      <c r="E318" s="2"/>
      <c r="F318" s="21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1"/>
      <c r="B319" s="21"/>
      <c r="C319" s="21"/>
      <c r="D319" s="21"/>
      <c r="E319" s="2"/>
      <c r="F319" s="21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1" t="s">
        <v>16</v>
      </c>
      <c r="B320" s="21"/>
      <c r="C320" s="21"/>
      <c r="D320" s="21">
        <f>SUM(D315:D319)</f>
        <v>45800</v>
      </c>
      <c r="E320" s="2"/>
      <c r="F320" s="84" t="s">
        <v>16</v>
      </c>
      <c r="G320" s="85"/>
      <c r="H320" s="86"/>
      <c r="I320" s="21">
        <f>SUM(I315:I319)</f>
        <v>24700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thickTop="1" thickBo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1" t="s">
        <v>0</v>
      </c>
      <c r="B322" s="21" t="s">
        <v>124</v>
      </c>
      <c r="C322" s="21" t="s">
        <v>125</v>
      </c>
      <c r="D322" s="9">
        <v>45935</v>
      </c>
      <c r="E322" s="2"/>
      <c r="F322" s="21" t="s">
        <v>0</v>
      </c>
      <c r="G322" s="21" t="s">
        <v>126</v>
      </c>
      <c r="H322" s="21" t="s">
        <v>22</v>
      </c>
      <c r="I322" s="9">
        <v>45935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1" t="s">
        <v>6</v>
      </c>
      <c r="B323" s="21" t="s">
        <v>7</v>
      </c>
      <c r="C323" s="21" t="s">
        <v>8</v>
      </c>
      <c r="D323" s="21" t="s">
        <v>9</v>
      </c>
      <c r="E323" s="2"/>
      <c r="F323" s="21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21">
        <v>1</v>
      </c>
      <c r="B324" s="21">
        <v>500000</v>
      </c>
      <c r="C324" s="21">
        <f>VLOOKUP(A324&amp;"|"&amp;B324,$O$3:$P$16,2,FALSE)</f>
        <v>4000</v>
      </c>
      <c r="D324" s="21">
        <f>VLOOKUP(A324&amp;"|"&amp;B324,$Q$3:$R$16,2,FALSE)</f>
        <v>21000</v>
      </c>
      <c r="E324" s="2"/>
      <c r="F324" s="21">
        <v>11</v>
      </c>
      <c r="G324" s="21">
        <v>500000</v>
      </c>
      <c r="H324" s="21">
        <f>VLOOKUP(F324&amp;"|"&amp;G324,$O$3:$P$16,2,FALSE)</f>
        <v>1600</v>
      </c>
      <c r="I324" s="21">
        <f>VLOOKUP(F324&amp;"|"&amp;G324,$Q$3:$R$16,2,FALSE)</f>
        <v>23400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1"/>
      <c r="B325" s="21"/>
      <c r="C325" s="21"/>
      <c r="D325" s="21"/>
      <c r="E325" s="2"/>
      <c r="F325" s="21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1"/>
      <c r="B326" s="21"/>
      <c r="C326" s="21"/>
      <c r="D326" s="21"/>
      <c r="E326" s="2"/>
      <c r="F326" s="21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1"/>
      <c r="B327" s="21"/>
      <c r="C327" s="21"/>
      <c r="D327" s="21"/>
      <c r="E327" s="10"/>
      <c r="F327" s="21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1"/>
      <c r="B328" s="21"/>
      <c r="C328" s="21"/>
      <c r="D328" s="21"/>
      <c r="E328" s="2"/>
      <c r="F328" s="21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1" t="s">
        <v>16</v>
      </c>
      <c r="B329" s="21"/>
      <c r="C329" s="21"/>
      <c r="D329" s="21">
        <f>SUM(D324:D328)</f>
        <v>21000</v>
      </c>
      <c r="E329" s="2"/>
      <c r="F329" s="84" t="s">
        <v>16</v>
      </c>
      <c r="G329" s="85"/>
      <c r="H329" s="86"/>
      <c r="I329" s="21">
        <f>SUM(I324:I328)</f>
        <v>23400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thickTop="1" thickBo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1" t="s">
        <v>0</v>
      </c>
      <c r="B331" s="21" t="s">
        <v>127</v>
      </c>
      <c r="C331" s="21" t="s">
        <v>24</v>
      </c>
      <c r="D331" s="9">
        <v>45935</v>
      </c>
      <c r="E331" s="2"/>
      <c r="F331" s="21" t="s">
        <v>0</v>
      </c>
      <c r="G331" s="21" t="s">
        <v>73</v>
      </c>
      <c r="H331" s="21" t="s">
        <v>18</v>
      </c>
      <c r="I331" s="9">
        <v>45935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1" t="s">
        <v>6</v>
      </c>
      <c r="B332" s="21" t="s">
        <v>7</v>
      </c>
      <c r="C332" s="21" t="s">
        <v>8</v>
      </c>
      <c r="D332" s="21" t="s">
        <v>9</v>
      </c>
      <c r="E332" s="2"/>
      <c r="F332" s="21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21">
        <v>11</v>
      </c>
      <c r="B333" s="21">
        <v>500000</v>
      </c>
      <c r="C333" s="21">
        <f>VLOOKUP(A333&amp;"|"&amp;B333,$O$3:$P$16,2,FALSE)</f>
        <v>1600</v>
      </c>
      <c r="D333" s="21">
        <f>VLOOKUP(A333&amp;"|"&amp;B333,$Q$3:$R$16,2,FALSE)</f>
        <v>23400</v>
      </c>
      <c r="E333" s="2"/>
      <c r="F333" s="21">
        <v>11</v>
      </c>
      <c r="G333" s="21">
        <v>500000</v>
      </c>
      <c r="H333" s="21">
        <f>VLOOKUP(F333&amp;"|"&amp;G333,$O$3:$P$16,2,FALSE)</f>
        <v>1600</v>
      </c>
      <c r="I333" s="21">
        <f>VLOOKUP(F333&amp;"|"&amp;G333,$Q$3:$R$16,2,FALSE)</f>
        <v>23400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21">
        <v>14</v>
      </c>
      <c r="B334" s="21">
        <v>500000</v>
      </c>
      <c r="C334" s="21">
        <f>VLOOKUP(A334&amp;"|"&amp;B334,$O$3:$P$16,2,FALSE)</f>
        <v>1000</v>
      </c>
      <c r="D334" s="21">
        <f>VLOOKUP(A334&amp;"|"&amp;B334,$Q$3:$R$16,2,FALSE)</f>
        <v>24000</v>
      </c>
      <c r="E334" s="2"/>
      <c r="F334" s="21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1"/>
      <c r="B335" s="21"/>
      <c r="C335" s="21"/>
      <c r="D335" s="21"/>
      <c r="E335" s="2"/>
      <c r="F335" s="21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1"/>
      <c r="B336" s="21"/>
      <c r="C336" s="21"/>
      <c r="D336" s="21"/>
      <c r="E336" s="2"/>
      <c r="F336" s="21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1"/>
      <c r="B337" s="21"/>
      <c r="C337" s="21"/>
      <c r="D337" s="21"/>
      <c r="E337" s="2"/>
      <c r="F337" s="21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1" t="s">
        <v>16</v>
      </c>
      <c r="B338" s="21"/>
      <c r="C338" s="21"/>
      <c r="D338" s="21">
        <f>SUM(D333:D337)</f>
        <v>47400</v>
      </c>
      <c r="E338" s="10"/>
      <c r="F338" s="84" t="s">
        <v>16</v>
      </c>
      <c r="G338" s="85"/>
      <c r="H338" s="86"/>
      <c r="I338" s="21">
        <f>SUM(I333:I337)</f>
        <v>23400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thickTop="1" thickBo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1" t="s">
        <v>0</v>
      </c>
      <c r="B340" s="21" t="s">
        <v>128</v>
      </c>
      <c r="C340" s="21" t="s">
        <v>34</v>
      </c>
      <c r="D340" s="9">
        <v>45935</v>
      </c>
      <c r="E340" s="2"/>
      <c r="F340" s="21" t="s">
        <v>0</v>
      </c>
      <c r="G340" s="21" t="s">
        <v>129</v>
      </c>
      <c r="H340" s="21" t="s">
        <v>39</v>
      </c>
      <c r="I340" s="9">
        <v>45935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1" t="s">
        <v>6</v>
      </c>
      <c r="B341" s="21" t="s">
        <v>7</v>
      </c>
      <c r="C341" s="21" t="s">
        <v>8</v>
      </c>
      <c r="D341" s="21" t="s">
        <v>9</v>
      </c>
      <c r="E341" s="2"/>
      <c r="F341" s="21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21">
        <v>14</v>
      </c>
      <c r="B342" s="21">
        <v>500000</v>
      </c>
      <c r="C342" s="21">
        <f>VLOOKUP(A342&amp;"|"&amp;B342,$O$3:$P$16,2,FALSE)</f>
        <v>1000</v>
      </c>
      <c r="D342" s="21">
        <f>VLOOKUP(A342&amp;"|"&amp;B342,$Q$3:$R$16,2,FALSE)</f>
        <v>24000</v>
      </c>
      <c r="E342" s="2"/>
      <c r="F342" s="21">
        <v>1</v>
      </c>
      <c r="G342" s="21">
        <v>500000</v>
      </c>
      <c r="H342" s="21">
        <f>VLOOKUP(F342&amp;"|"&amp;G342,$O$3:$P$16,2,FALSE)</f>
        <v>4000</v>
      </c>
      <c r="I342" s="21">
        <f>VLOOKUP(F342&amp;"|"&amp;G342,$Q$3:$R$16,2,FALSE)</f>
        <v>21000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1"/>
      <c r="B343" s="21"/>
      <c r="C343" s="21"/>
      <c r="D343" s="21"/>
      <c r="E343" s="2"/>
      <c r="F343" s="21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1"/>
      <c r="B344" s="21"/>
      <c r="C344" s="21"/>
      <c r="D344" s="21"/>
      <c r="E344" s="2"/>
      <c r="F344" s="21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1"/>
      <c r="B345" s="21"/>
      <c r="C345" s="21"/>
      <c r="D345" s="21"/>
      <c r="E345" s="2"/>
      <c r="F345" s="21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1"/>
      <c r="B346" s="21"/>
      <c r="C346" s="21"/>
      <c r="D346" s="21"/>
      <c r="E346" s="2"/>
      <c r="F346" s="21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1" t="s">
        <v>16</v>
      </c>
      <c r="B347" s="21"/>
      <c r="C347" s="21"/>
      <c r="D347" s="21">
        <f>SUM(D342:D346)</f>
        <v>24000</v>
      </c>
      <c r="E347" s="2"/>
      <c r="F347" s="84" t="s">
        <v>16</v>
      </c>
      <c r="G347" s="85"/>
      <c r="H347" s="86"/>
      <c r="I347" s="21">
        <f>SUM(I342:I346)</f>
        <v>21000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10"/>
      <c r="B348" s="10"/>
      <c r="C348" s="10"/>
      <c r="D348" s="10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1" t="s">
        <v>0</v>
      </c>
      <c r="B349" s="21" t="s">
        <v>130</v>
      </c>
      <c r="C349" s="21" t="s">
        <v>104</v>
      </c>
      <c r="D349" s="9">
        <v>45935</v>
      </c>
      <c r="E349" s="2"/>
      <c r="F349" s="21" t="s">
        <v>0</v>
      </c>
      <c r="G349" s="21" t="s">
        <v>131</v>
      </c>
      <c r="H349" s="21" t="s">
        <v>41</v>
      </c>
      <c r="I349" s="9">
        <v>45935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1" t="s">
        <v>6</v>
      </c>
      <c r="B350" s="21" t="s">
        <v>7</v>
      </c>
      <c r="C350" s="21" t="s">
        <v>8</v>
      </c>
      <c r="D350" s="21" t="s">
        <v>9</v>
      </c>
      <c r="E350" s="2"/>
      <c r="F350" s="21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21">
        <v>17</v>
      </c>
      <c r="B351" s="21">
        <v>500000</v>
      </c>
      <c r="C351" s="21">
        <f>VLOOKUP(A351&amp;"|"&amp;B351,$O$3:$P$16,2,FALSE)</f>
        <v>300</v>
      </c>
      <c r="D351" s="21">
        <f>VLOOKUP(A351&amp;"|"&amp;B351,$Q$3:$R$16,2,FALSE)</f>
        <v>24700</v>
      </c>
      <c r="E351" s="2"/>
      <c r="F351" s="21">
        <v>1</v>
      </c>
      <c r="G351" s="21">
        <v>500000</v>
      </c>
      <c r="H351" s="21">
        <f>VLOOKUP(F351&amp;"|"&amp;G351,$O$3:$P$16,2,FALSE)</f>
        <v>4000</v>
      </c>
      <c r="I351" s="21">
        <f>VLOOKUP(F351&amp;"|"&amp;G351,$Q$3:$R$16,2,FALSE)</f>
        <v>21000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1"/>
      <c r="B352" s="21"/>
      <c r="C352" s="21"/>
      <c r="D352" s="21"/>
      <c r="E352" s="2"/>
      <c r="F352" s="21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1"/>
      <c r="B353" s="21"/>
      <c r="C353" s="21"/>
      <c r="D353" s="21"/>
      <c r="E353" s="2"/>
      <c r="F353" s="21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1"/>
      <c r="B354" s="21"/>
      <c r="C354" s="21"/>
      <c r="D354" s="21"/>
      <c r="E354" s="2"/>
      <c r="F354" s="21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1"/>
      <c r="B355" s="21"/>
      <c r="C355" s="21"/>
      <c r="D355" s="21"/>
      <c r="E355" s="2"/>
      <c r="F355" s="21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1" t="s">
        <v>16</v>
      </c>
      <c r="B356" s="21"/>
      <c r="C356" s="21"/>
      <c r="D356" s="21">
        <f>SUM(D351:D355)</f>
        <v>24700</v>
      </c>
      <c r="E356" s="2"/>
      <c r="F356" s="84" t="s">
        <v>16</v>
      </c>
      <c r="G356" s="85"/>
      <c r="H356" s="86"/>
      <c r="I356" s="21">
        <f>SUM(I351:I355)</f>
        <v>21000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10"/>
      <c r="B357" s="10"/>
      <c r="C357" s="10"/>
      <c r="D357" s="10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1" t="s">
        <v>0</v>
      </c>
      <c r="B358" s="21" t="s">
        <v>132</v>
      </c>
      <c r="C358" s="21" t="s">
        <v>133</v>
      </c>
      <c r="D358" s="9">
        <v>45935</v>
      </c>
      <c r="E358" s="2"/>
      <c r="F358" s="21" t="s">
        <v>0</v>
      </c>
      <c r="G358" s="21" t="s">
        <v>63</v>
      </c>
      <c r="H358" s="21" t="s">
        <v>43</v>
      </c>
      <c r="I358" s="9">
        <v>45935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1" t="s">
        <v>6</v>
      </c>
      <c r="B359" s="21" t="s">
        <v>7</v>
      </c>
      <c r="C359" s="21" t="s">
        <v>8</v>
      </c>
      <c r="D359" s="21" t="s">
        <v>9</v>
      </c>
      <c r="E359" s="2"/>
      <c r="F359" s="21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21">
        <v>6</v>
      </c>
      <c r="B360" s="21">
        <v>500000</v>
      </c>
      <c r="C360" s="21">
        <f>VLOOKUP(A360&amp;"|"&amp;B360,$O$3:$P$16,2,FALSE)</f>
        <v>2600</v>
      </c>
      <c r="D360" s="21">
        <f>VLOOKUP(A360&amp;"|"&amp;B360,$Q$3:$R$16,2,FALSE)</f>
        <v>22400</v>
      </c>
      <c r="E360" s="2"/>
      <c r="F360" s="21">
        <v>14</v>
      </c>
      <c r="G360" s="21">
        <v>500000</v>
      </c>
      <c r="H360" s="21">
        <f>VLOOKUP(F360&amp;"|"&amp;G360,$O$3:$P$16,2,FALSE)</f>
        <v>1000</v>
      </c>
      <c r="I360" s="21">
        <f>VLOOKUP(F360&amp;"|"&amp;G360,$Q$3:$R$16,2,FALSE)</f>
        <v>24000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21">
        <v>1.1000000000000001</v>
      </c>
      <c r="B361" s="21">
        <v>1000000</v>
      </c>
      <c r="C361" s="21">
        <f>VLOOKUP(A361&amp;"|"&amp;B361,$O$3:$P$16,2,FALSE)</f>
        <v>8550</v>
      </c>
      <c r="D361" s="21">
        <f>VLOOKUP(A361&amp;"|"&amp;B361,$Q$3:$R$16,2,FALSE)</f>
        <v>41450</v>
      </c>
      <c r="E361" s="2"/>
      <c r="F361" s="21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1"/>
      <c r="B362" s="21"/>
      <c r="C362" s="21"/>
      <c r="D362" s="21"/>
      <c r="E362" s="2"/>
      <c r="F362" s="21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1"/>
      <c r="B363" s="21"/>
      <c r="C363" s="21"/>
      <c r="D363" s="21"/>
      <c r="E363" s="2"/>
      <c r="F363" s="21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1"/>
      <c r="B364" s="21"/>
      <c r="C364" s="21"/>
      <c r="D364" s="21"/>
      <c r="E364" s="2"/>
      <c r="F364" s="21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1" t="s">
        <v>16</v>
      </c>
      <c r="B365" s="21"/>
      <c r="C365" s="21"/>
      <c r="D365" s="21">
        <f>SUM(D360:D364)</f>
        <v>63850</v>
      </c>
      <c r="E365" s="2"/>
      <c r="F365" s="84" t="s">
        <v>16</v>
      </c>
      <c r="G365" s="85"/>
      <c r="H365" s="86"/>
      <c r="I365" s="21">
        <f>SUM(I360:I364)</f>
        <v>24000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thickTop="1" thickBo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1" t="s">
        <v>0</v>
      </c>
      <c r="B367" s="21" t="s">
        <v>187</v>
      </c>
      <c r="C367" s="21" t="s">
        <v>28</v>
      </c>
      <c r="D367" s="9">
        <v>45935</v>
      </c>
      <c r="E367" s="2"/>
      <c r="F367" s="21" t="s">
        <v>0</v>
      </c>
      <c r="G367" s="21" t="s">
        <v>126</v>
      </c>
      <c r="H367" s="21" t="s">
        <v>43</v>
      </c>
      <c r="I367" s="9">
        <v>45935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1" t="s">
        <v>6</v>
      </c>
      <c r="B368" s="21" t="s">
        <v>7</v>
      </c>
      <c r="C368" s="21" t="s">
        <v>8</v>
      </c>
      <c r="D368" s="21" t="s">
        <v>9</v>
      </c>
      <c r="E368" s="2"/>
      <c r="F368" s="21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21">
        <v>6</v>
      </c>
      <c r="B369" s="21">
        <v>1000000</v>
      </c>
      <c r="C369" s="21">
        <f>VLOOKUP(A369&amp;"|"&amp;B369,$O$3:$P$16,2,FALSE)</f>
        <v>5300</v>
      </c>
      <c r="D369" s="21">
        <f>VLOOKUP(A369&amp;"|"&amp;B369,$Q$3:$R$16,2,FALSE)</f>
        <v>44700</v>
      </c>
      <c r="E369" s="2"/>
      <c r="F369" s="21">
        <v>14</v>
      </c>
      <c r="G369" s="21">
        <v>500000</v>
      </c>
      <c r="H369" s="21">
        <f>VLOOKUP(F369&amp;"|"&amp;G369,$O$3:$P$16,2,FALSE)</f>
        <v>1000</v>
      </c>
      <c r="I369" s="21">
        <f>VLOOKUP(F369&amp;"|"&amp;G369,$Q$3:$R$16,2,FALSE)</f>
        <v>24000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21">
        <v>1</v>
      </c>
      <c r="B370" s="21">
        <v>500000</v>
      </c>
      <c r="C370" s="21">
        <f>VLOOKUP(A370&amp;"|"&amp;B370,$O$3:$P$16,2,FALSE)</f>
        <v>4000</v>
      </c>
      <c r="D370" s="21">
        <f>VLOOKUP(A370&amp;"|"&amp;B370,$Q$3:$R$16,2,FALSE)</f>
        <v>21000</v>
      </c>
      <c r="E370" s="4"/>
      <c r="F370" s="21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1"/>
      <c r="B371" s="21"/>
      <c r="C371" s="21"/>
      <c r="D371" s="21"/>
      <c r="E371" s="4"/>
      <c r="F371" s="21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1"/>
      <c r="B372" s="21"/>
      <c r="C372" s="21"/>
      <c r="D372" s="21"/>
      <c r="E372" s="4"/>
      <c r="F372" s="21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1"/>
      <c r="B373" s="21"/>
      <c r="C373" s="21"/>
      <c r="D373" s="21"/>
      <c r="E373" s="4"/>
      <c r="F373" s="21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1" t="s">
        <v>16</v>
      </c>
      <c r="B374" s="21"/>
      <c r="C374" s="21"/>
      <c r="D374" s="21">
        <f>SUM(D369:D373)</f>
        <v>65700</v>
      </c>
      <c r="E374" s="4"/>
      <c r="F374" s="84" t="s">
        <v>16</v>
      </c>
      <c r="G374" s="85"/>
      <c r="H374" s="86"/>
      <c r="I374" s="21">
        <f>SUM(I369:I373)</f>
        <v>24000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thickTop="1" thickBo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1" t="s">
        <v>0</v>
      </c>
      <c r="B376" s="21" t="s">
        <v>35</v>
      </c>
      <c r="C376" s="21" t="s">
        <v>62</v>
      </c>
      <c r="D376" s="9">
        <v>45935</v>
      </c>
      <c r="E376" s="4"/>
      <c r="F376" s="21" t="s">
        <v>0</v>
      </c>
      <c r="G376" s="21" t="s">
        <v>109</v>
      </c>
      <c r="H376" s="21" t="s">
        <v>134</v>
      </c>
      <c r="I376" s="9">
        <v>45935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1" t="s">
        <v>6</v>
      </c>
      <c r="B377" s="21" t="s">
        <v>7</v>
      </c>
      <c r="C377" s="21" t="s">
        <v>8</v>
      </c>
      <c r="D377" s="21" t="s">
        <v>9</v>
      </c>
      <c r="E377" s="4"/>
      <c r="F377" s="21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21">
        <v>6</v>
      </c>
      <c r="B378" s="21">
        <v>500000</v>
      </c>
      <c r="C378" s="21">
        <f>VLOOKUP(A378&amp;"|"&amp;B378,$O$3:$P$17,2,FALSE)</f>
        <v>2600</v>
      </c>
      <c r="D378" s="21">
        <f>VLOOKUP(A378&amp;"|"&amp;B378,$Q$3:$R$17,2,FALSE)</f>
        <v>22400</v>
      </c>
      <c r="E378" s="4"/>
      <c r="F378" s="21">
        <v>6</v>
      </c>
      <c r="G378" s="21">
        <v>500000</v>
      </c>
      <c r="H378" s="21">
        <f>VLOOKUP(F378&amp;"|"&amp;G378,$O$3:$P$17,2,FALSE)</f>
        <v>2600</v>
      </c>
      <c r="I378" s="21">
        <f>VLOOKUP(F378&amp;"|"&amp;G378,$Q$3:$R$17,2,FALSE)</f>
        <v>22400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1"/>
      <c r="B379" s="21"/>
      <c r="C379" s="21"/>
      <c r="D379" s="21"/>
      <c r="E379" s="4"/>
      <c r="F379" s="21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1"/>
      <c r="B380" s="21"/>
      <c r="C380" s="21"/>
      <c r="D380" s="21"/>
      <c r="E380" s="4"/>
      <c r="F380" s="21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1"/>
      <c r="B381" s="21"/>
      <c r="C381" s="21"/>
      <c r="D381" s="21"/>
      <c r="E381" s="4"/>
      <c r="F381" s="21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1"/>
      <c r="B382" s="21"/>
      <c r="C382" s="21"/>
      <c r="D382" s="21"/>
      <c r="E382" s="4"/>
      <c r="F382" s="21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1" t="s">
        <v>16</v>
      </c>
      <c r="B383" s="21"/>
      <c r="C383" s="21"/>
      <c r="D383" s="21">
        <f>SUM(D378:D382)</f>
        <v>22400</v>
      </c>
      <c r="E383" s="4"/>
      <c r="F383" s="84" t="s">
        <v>16</v>
      </c>
      <c r="G383" s="85"/>
      <c r="H383" s="86"/>
      <c r="I383" s="21">
        <f>SUM(I378:I382)</f>
        <v>22400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thickTop="1" thickBo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1" t="s">
        <v>0</v>
      </c>
      <c r="B385" s="21" t="s">
        <v>128</v>
      </c>
      <c r="C385" s="21" t="s">
        <v>134</v>
      </c>
      <c r="D385" s="9">
        <v>45935</v>
      </c>
      <c r="E385" s="4"/>
      <c r="F385" s="21" t="s">
        <v>0</v>
      </c>
      <c r="G385" s="21" t="s">
        <v>135</v>
      </c>
      <c r="H385" s="21" t="s">
        <v>136</v>
      </c>
      <c r="I385" s="9">
        <v>45935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1" t="s">
        <v>6</v>
      </c>
      <c r="B386" s="21" t="s">
        <v>7</v>
      </c>
      <c r="C386" s="21" t="s">
        <v>8</v>
      </c>
      <c r="D386" s="21" t="s">
        <v>9</v>
      </c>
      <c r="E386" s="4"/>
      <c r="F386" s="21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21">
        <v>17</v>
      </c>
      <c r="B387" s="21">
        <v>1000000</v>
      </c>
      <c r="C387" s="21">
        <f>VLOOKUP(A387&amp;"|"&amp;B387,$O$3:$P$16,2,FALSE)</f>
        <v>350</v>
      </c>
      <c r="D387" s="21">
        <f>VLOOKUP(A387&amp;"|"&amp;B387,$Q$3:$R$16,2,FALSE)</f>
        <v>49650</v>
      </c>
      <c r="E387" s="4"/>
      <c r="F387" s="21">
        <v>11</v>
      </c>
      <c r="G387" s="21">
        <v>500000</v>
      </c>
      <c r="H387" s="21">
        <f>VLOOKUP(F387&amp;"|"&amp;G387,$O$3:$P$16,2,FALSE)</f>
        <v>1600</v>
      </c>
      <c r="I387" s="21">
        <f>VLOOKUP(F387&amp;"|"&amp;G387,$Q$3:$R$16,2,FALSE)</f>
        <v>23400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21">
        <v>17.100000000000001</v>
      </c>
      <c r="B388" s="21">
        <v>1000000</v>
      </c>
      <c r="C388" s="21">
        <f>VLOOKUP(A388&amp;"|"&amp;B388,$O$3:$P$16,2,FALSE)</f>
        <v>600</v>
      </c>
      <c r="D388" s="21">
        <f>VLOOKUP(A388&amp;"|"&amp;B388,$Q$3:$R$16,2,FALSE)</f>
        <v>49400</v>
      </c>
      <c r="E388" s="4"/>
      <c r="F388" s="21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1"/>
      <c r="B389" s="21"/>
      <c r="C389" s="21"/>
      <c r="D389" s="21"/>
      <c r="E389" s="4"/>
      <c r="F389" s="21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1"/>
      <c r="B390" s="21"/>
      <c r="C390" s="21"/>
      <c r="D390" s="21"/>
      <c r="E390" s="4"/>
      <c r="F390" s="21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1"/>
      <c r="B391" s="21"/>
      <c r="C391" s="21"/>
      <c r="D391" s="21"/>
      <c r="E391" s="4"/>
      <c r="F391" s="21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59" t="s">
        <v>49</v>
      </c>
      <c r="B392" s="53"/>
      <c r="C392" s="54"/>
      <c r="D392" s="21">
        <f>SUM(D387:D391)</f>
        <v>99050</v>
      </c>
      <c r="E392" s="4"/>
      <c r="F392" s="84" t="s">
        <v>16</v>
      </c>
      <c r="G392" s="85"/>
      <c r="H392" s="86"/>
      <c r="I392" s="21">
        <f>SUM(I387:I391)</f>
        <v>23400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2"/>
      <c r="B393" s="2"/>
      <c r="C393" s="2"/>
      <c r="D393" s="10"/>
      <c r="E393" s="4"/>
      <c r="F393" s="2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1" t="s">
        <v>0</v>
      </c>
      <c r="B394" s="21" t="s">
        <v>137</v>
      </c>
      <c r="C394" s="21" t="s">
        <v>138</v>
      </c>
      <c r="D394" s="9">
        <v>45935</v>
      </c>
      <c r="E394" s="4"/>
      <c r="F394" s="21" t="s">
        <v>0</v>
      </c>
      <c r="G394" s="21" t="s">
        <v>139</v>
      </c>
      <c r="H394" s="21" t="s">
        <v>140</v>
      </c>
      <c r="I394" s="9">
        <v>45935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1" t="s">
        <v>6</v>
      </c>
      <c r="B395" s="21" t="s">
        <v>7</v>
      </c>
      <c r="C395" s="21" t="s">
        <v>8</v>
      </c>
      <c r="D395" s="21" t="s">
        <v>9</v>
      </c>
      <c r="E395" s="4"/>
      <c r="F395" s="21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21">
        <v>17</v>
      </c>
      <c r="B396" s="21">
        <v>1000000</v>
      </c>
      <c r="C396" s="21">
        <f>VLOOKUP(A396&amp;"|"&amp;B396,$O$3:$P$16,2,FALSE)</f>
        <v>350</v>
      </c>
      <c r="D396" s="21">
        <f>VLOOKUP(A396&amp;"|"&amp;B396,$Q$3:$R$16,2,FALSE)</f>
        <v>49650</v>
      </c>
      <c r="E396" s="4"/>
      <c r="F396" s="21">
        <v>6</v>
      </c>
      <c r="G396" s="21">
        <v>1000000</v>
      </c>
      <c r="H396" s="21">
        <f>VLOOKUP(F396&amp;"|"&amp;G396,$O$3:$P$16,2,FALSE)</f>
        <v>5300</v>
      </c>
      <c r="I396" s="21">
        <f>VLOOKUP(F396&amp;"|"&amp;G396,$Q$3:$R$16,2,FALSE)</f>
        <v>44700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1"/>
      <c r="B397" s="21"/>
      <c r="C397" s="21"/>
      <c r="D397" s="21"/>
      <c r="E397" s="4"/>
      <c r="F397" s="21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1"/>
      <c r="B398" s="21"/>
      <c r="C398" s="21"/>
      <c r="D398" s="21"/>
      <c r="E398" s="4"/>
      <c r="F398" s="21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1"/>
      <c r="B399" s="21"/>
      <c r="C399" s="21"/>
      <c r="D399" s="21"/>
      <c r="E399" s="4"/>
      <c r="F399" s="21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1"/>
      <c r="B400" s="21"/>
      <c r="C400" s="21"/>
      <c r="D400" s="21"/>
      <c r="E400" s="4"/>
      <c r="F400" s="21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59" t="s">
        <v>49</v>
      </c>
      <c r="B401" s="53"/>
      <c r="C401" s="54"/>
      <c r="D401" s="21">
        <f>SUM(D396:D400)</f>
        <v>49650</v>
      </c>
      <c r="E401" s="4"/>
      <c r="F401" s="84" t="s">
        <v>16</v>
      </c>
      <c r="G401" s="85"/>
      <c r="H401" s="86"/>
      <c r="I401" s="21">
        <f>SUM(I396:I400)</f>
        <v>44700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2"/>
      <c r="B402" s="2"/>
      <c r="C402" s="2"/>
      <c r="D402" s="2"/>
      <c r="E402" s="4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2" t="s">
        <v>0</v>
      </c>
      <c r="B403" s="12" t="s">
        <v>141</v>
      </c>
      <c r="C403" s="12" t="s">
        <v>142</v>
      </c>
      <c r="D403" s="9">
        <v>45935</v>
      </c>
      <c r="E403" s="4"/>
      <c r="F403" s="21" t="s">
        <v>0</v>
      </c>
      <c r="G403" s="21" t="s">
        <v>143</v>
      </c>
      <c r="H403" s="21" t="s">
        <v>144</v>
      </c>
      <c r="I403" s="9">
        <v>45935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1" t="s">
        <v>6</v>
      </c>
      <c r="B404" s="21" t="s">
        <v>7</v>
      </c>
      <c r="C404" s="21" t="s">
        <v>8</v>
      </c>
      <c r="D404" s="21" t="s">
        <v>9</v>
      </c>
      <c r="E404" s="4"/>
      <c r="F404" s="21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21">
        <v>17.100000000000001</v>
      </c>
      <c r="B405" s="21">
        <v>1000000</v>
      </c>
      <c r="C405" s="21">
        <f>VLOOKUP(A405&amp;"|"&amp;B405,$O$3:$P$16,2,FALSE)</f>
        <v>600</v>
      </c>
      <c r="D405" s="21">
        <f>VLOOKUP(A405&amp;"|"&amp;B405,$Q$3:$R$16,2,FALSE)</f>
        <v>49400</v>
      </c>
      <c r="E405" s="4"/>
      <c r="F405" s="21">
        <v>17</v>
      </c>
      <c r="G405" s="21">
        <v>500000</v>
      </c>
      <c r="H405" s="21">
        <f>VLOOKUP(F405&amp;"|"&amp;G405,$O$3:$P$16,2,FALSE)</f>
        <v>300</v>
      </c>
      <c r="I405" s="21">
        <f>VLOOKUP(F405&amp;"|"&amp;G405,$Q$3:$R$16,2,FALSE)</f>
        <v>24700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1"/>
      <c r="B406" s="21"/>
      <c r="C406" s="21"/>
      <c r="D406" s="21"/>
      <c r="E406" s="4"/>
      <c r="F406" s="21">
        <v>1</v>
      </c>
      <c r="G406" s="21">
        <v>500000</v>
      </c>
      <c r="H406" s="21">
        <f>VLOOKUP(F406&amp;"|"&amp;G406,$O$3:$P$16,2,FALSE)</f>
        <v>4000</v>
      </c>
      <c r="I406" s="21">
        <f>VLOOKUP(F406&amp;"|"&amp;G406,$Q$3:$R$16,2,FALSE)</f>
        <v>21000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1"/>
      <c r="B407" s="21"/>
      <c r="C407" s="21"/>
      <c r="D407" s="21"/>
      <c r="E407" s="4"/>
      <c r="F407" s="21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1"/>
      <c r="B408" s="21"/>
      <c r="C408" s="21"/>
      <c r="D408" s="21"/>
      <c r="E408" s="4"/>
      <c r="F408" s="21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1"/>
      <c r="B409" s="21"/>
      <c r="C409" s="21"/>
      <c r="D409" s="21"/>
      <c r="E409" s="4"/>
      <c r="F409" s="21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59" t="s">
        <v>49</v>
      </c>
      <c r="B410" s="53"/>
      <c r="C410" s="54"/>
      <c r="D410" s="21">
        <f>SUM(D405:D409)</f>
        <v>49400</v>
      </c>
      <c r="E410" s="4"/>
      <c r="F410" s="84" t="s">
        <v>16</v>
      </c>
      <c r="G410" s="85"/>
      <c r="H410" s="86"/>
      <c r="I410" s="21">
        <f>SUM(I405:I409)</f>
        <v>45700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thickTop="1" thickBot="1">
      <c r="A411" s="2"/>
      <c r="B411" s="2"/>
      <c r="C411" s="2"/>
      <c r="D411" s="2"/>
      <c r="E411" s="4"/>
      <c r="F411" s="2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2" t="s">
        <v>0</v>
      </c>
      <c r="B412" s="12" t="s">
        <v>145</v>
      </c>
      <c r="C412" s="12" t="s">
        <v>43</v>
      </c>
      <c r="D412" s="9">
        <v>45935</v>
      </c>
      <c r="E412" s="4"/>
      <c r="F412" s="21" t="s">
        <v>0</v>
      </c>
      <c r="G412" s="21" t="s">
        <v>146</v>
      </c>
      <c r="H412" s="21" t="s">
        <v>147</v>
      </c>
      <c r="I412" s="9">
        <v>45935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1" t="s">
        <v>6</v>
      </c>
      <c r="B413" s="21" t="s">
        <v>7</v>
      </c>
      <c r="C413" s="21" t="s">
        <v>8</v>
      </c>
      <c r="D413" s="21" t="s">
        <v>9</v>
      </c>
      <c r="E413" s="4"/>
      <c r="F413" s="21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1">
        <v>6</v>
      </c>
      <c r="B414" s="21">
        <v>500000</v>
      </c>
      <c r="C414" s="21">
        <f>VLOOKUP(A414&amp;"|"&amp;B414,$O$3:$P$17,2,FALSE)</f>
        <v>2600</v>
      </c>
      <c r="D414" s="21">
        <f>VLOOKUP(A414&amp;"|"&amp;B414,$Q$3:$R$17,2,FALSE)</f>
        <v>22400</v>
      </c>
      <c r="E414" s="4"/>
      <c r="F414" s="21">
        <v>6</v>
      </c>
      <c r="G414" s="21">
        <v>1000000</v>
      </c>
      <c r="H414" s="21">
        <f>VLOOKUP(F414&amp;"|"&amp;G414,$O$3:$P$16,2,FALSE)</f>
        <v>5300</v>
      </c>
      <c r="I414" s="21">
        <f>VLOOKUP(F414&amp;"|"&amp;G414,$Q$3:$R$16,2,FALSE)</f>
        <v>44700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1"/>
      <c r="B415" s="21"/>
      <c r="C415" s="21"/>
      <c r="D415" s="21"/>
      <c r="E415" s="4"/>
      <c r="F415" s="21">
        <v>1</v>
      </c>
      <c r="G415" s="21">
        <v>500000</v>
      </c>
      <c r="H415" s="21">
        <f>VLOOKUP(F415&amp;"|"&amp;G415,$O$3:$P$16,2,FALSE)</f>
        <v>4000</v>
      </c>
      <c r="I415" s="21">
        <f>VLOOKUP(F415&amp;"|"&amp;G415,$Q$3:$R$16,2,FALSE)</f>
        <v>21000</v>
      </c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1"/>
      <c r="B416" s="21"/>
      <c r="C416" s="21"/>
      <c r="D416" s="21"/>
      <c r="E416" s="4"/>
      <c r="F416" s="21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1"/>
      <c r="B417" s="21"/>
      <c r="C417" s="21"/>
      <c r="D417" s="21"/>
      <c r="E417" s="4"/>
      <c r="F417" s="21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1"/>
      <c r="B418" s="21"/>
      <c r="C418" s="21"/>
      <c r="D418" s="21"/>
      <c r="E418" s="4"/>
      <c r="F418" s="21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59" t="s">
        <v>49</v>
      </c>
      <c r="B419" s="53"/>
      <c r="C419" s="54"/>
      <c r="D419" s="21">
        <f>SUM(D414:D418)</f>
        <v>22400</v>
      </c>
      <c r="E419" s="4"/>
      <c r="F419" s="84" t="s">
        <v>16</v>
      </c>
      <c r="G419" s="85"/>
      <c r="H419" s="86"/>
      <c r="I419" s="21">
        <f>SUM(I414:I418)</f>
        <v>65700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thickTop="1" thickBot="1">
      <c r="A420" s="2"/>
      <c r="B420" s="2"/>
      <c r="C420" s="2"/>
      <c r="D420" s="2"/>
      <c r="E420" s="4"/>
      <c r="F420" s="2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2" t="s">
        <v>0</v>
      </c>
      <c r="B421" s="12" t="s">
        <v>148</v>
      </c>
      <c r="C421" s="12" t="s">
        <v>62</v>
      </c>
      <c r="D421" s="9">
        <v>45935</v>
      </c>
      <c r="E421" s="4"/>
      <c r="F421" s="12" t="s">
        <v>0</v>
      </c>
      <c r="G421" s="12" t="s">
        <v>33</v>
      </c>
      <c r="H421" s="12" t="s">
        <v>76</v>
      </c>
      <c r="I421" s="9">
        <v>45935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1" t="s">
        <v>6</v>
      </c>
      <c r="B422" s="21" t="s">
        <v>7</v>
      </c>
      <c r="C422" s="21" t="s">
        <v>8</v>
      </c>
      <c r="D422" s="21" t="s">
        <v>9</v>
      </c>
      <c r="E422" s="4"/>
      <c r="F422" s="21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21">
        <v>6</v>
      </c>
      <c r="B423" s="21">
        <v>1000000</v>
      </c>
      <c r="C423" s="21">
        <f>VLOOKUP(A423&amp;"|"&amp;B423,$O$3:$P$17,2,FALSE)</f>
        <v>5300</v>
      </c>
      <c r="D423" s="21">
        <f>VLOOKUP(A423&amp;"|"&amp;B423,$Q$3:$R$17,2,FALSE)</f>
        <v>44700</v>
      </c>
      <c r="E423" s="4"/>
      <c r="F423" s="21">
        <v>6</v>
      </c>
      <c r="G423" s="21">
        <v>2000000</v>
      </c>
      <c r="H423" s="21">
        <f>VLOOKUP(F423&amp;"|"&amp;G423,$O$3:$P$16,2,FALSE)</f>
        <v>9500</v>
      </c>
      <c r="I423" s="21">
        <f>VLOOKUP(F423&amp;"|"&amp;G423,$Q$3:$R$16,2,FALSE)</f>
        <v>90500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1"/>
      <c r="B424" s="21"/>
      <c r="C424" s="21"/>
      <c r="D424" s="21"/>
      <c r="E424" s="4"/>
      <c r="F424" s="21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1"/>
      <c r="B425" s="21"/>
      <c r="C425" s="21"/>
      <c r="D425" s="21"/>
      <c r="E425" s="4"/>
      <c r="F425" s="21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1"/>
      <c r="B426" s="21"/>
      <c r="C426" s="21"/>
      <c r="D426" s="21"/>
      <c r="E426" s="4"/>
      <c r="F426" s="21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1"/>
      <c r="B427" s="21"/>
      <c r="C427" s="21"/>
      <c r="D427" s="21"/>
      <c r="E427" s="4"/>
      <c r="F427" s="21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59" t="s">
        <v>49</v>
      </c>
      <c r="B428" s="53"/>
      <c r="C428" s="54"/>
      <c r="D428" s="21">
        <f>SUM(D423:D427)</f>
        <v>44700</v>
      </c>
      <c r="E428" s="4"/>
      <c r="F428" s="81" t="s">
        <v>49</v>
      </c>
      <c r="G428" s="82"/>
      <c r="H428" s="83"/>
      <c r="I428" s="21">
        <f>SUM(I423:I427)</f>
        <v>90500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thickTop="1" thickBot="1">
      <c r="A429" s="2"/>
      <c r="B429" s="2"/>
      <c r="C429" s="2"/>
      <c r="D429" s="2"/>
      <c r="E429" s="4"/>
      <c r="F429" s="2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2" t="s">
        <v>0</v>
      </c>
      <c r="B430" s="12" t="s">
        <v>149</v>
      </c>
      <c r="C430" s="12" t="s">
        <v>24</v>
      </c>
      <c r="D430" s="9">
        <v>45935</v>
      </c>
      <c r="E430" s="4"/>
      <c r="F430" s="12" t="s">
        <v>0</v>
      </c>
      <c r="G430" s="12" t="s">
        <v>57</v>
      </c>
      <c r="H430" s="12" t="s">
        <v>150</v>
      </c>
      <c r="I430" s="9">
        <v>45935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1" t="s">
        <v>6</v>
      </c>
      <c r="B431" s="21" t="s">
        <v>7</v>
      </c>
      <c r="C431" s="21" t="s">
        <v>8</v>
      </c>
      <c r="D431" s="21" t="s">
        <v>9</v>
      </c>
      <c r="E431" s="4"/>
      <c r="F431" s="21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21">
        <v>6</v>
      </c>
      <c r="B432" s="21">
        <v>1000000</v>
      </c>
      <c r="C432" s="21">
        <f>VLOOKUP(A432&amp;"|"&amp;B432,$O$3:$P$16,2,FALSE)</f>
        <v>5300</v>
      </c>
      <c r="D432" s="21">
        <f>VLOOKUP(A432&amp;"|"&amp;B432,$Q$3:$R$16,2,FALSE)</f>
        <v>44700</v>
      </c>
      <c r="E432" s="4"/>
      <c r="F432" s="21">
        <v>6</v>
      </c>
      <c r="G432" s="21">
        <v>1000000</v>
      </c>
      <c r="H432" s="21">
        <f>VLOOKUP(F432&amp;"|"&amp;G432,$O$3:$P$16,2,FALSE)</f>
        <v>5300</v>
      </c>
      <c r="I432" s="21">
        <f>VLOOKUP(F432&amp;"|"&amp;G432,$Q$3:$R$16,2,FALSE)</f>
        <v>44700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1"/>
      <c r="B433" s="21"/>
      <c r="C433" s="21"/>
      <c r="D433" s="21"/>
      <c r="E433" s="4"/>
      <c r="F433" s="21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1"/>
      <c r="B434" s="21"/>
      <c r="C434" s="21"/>
      <c r="D434" s="21"/>
      <c r="E434" s="4"/>
      <c r="F434" s="21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1"/>
      <c r="B435" s="21"/>
      <c r="C435" s="21"/>
      <c r="D435" s="21"/>
      <c r="E435" s="4"/>
      <c r="F435" s="21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1"/>
      <c r="B436" s="21"/>
      <c r="C436" s="21"/>
      <c r="D436" s="21"/>
      <c r="E436" s="4"/>
      <c r="F436" s="21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59" t="s">
        <v>49</v>
      </c>
      <c r="B437" s="53"/>
      <c r="C437" s="54"/>
      <c r="D437" s="21">
        <f>SUM(D432:D436)</f>
        <v>44700</v>
      </c>
      <c r="E437" s="4"/>
      <c r="F437" s="81" t="s">
        <v>49</v>
      </c>
      <c r="G437" s="82"/>
      <c r="H437" s="83"/>
      <c r="I437" s="21">
        <f>SUM(I432:I436)</f>
        <v>44700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2"/>
      <c r="B438" s="6"/>
      <c r="C438" s="2"/>
      <c r="D438" s="10"/>
      <c r="E438" s="4"/>
      <c r="F438" s="2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2" t="s">
        <v>0</v>
      </c>
      <c r="B439" s="12" t="s">
        <v>151</v>
      </c>
      <c r="C439" s="12" t="s">
        <v>43</v>
      </c>
      <c r="D439" s="9">
        <v>45935</v>
      </c>
      <c r="E439" s="4"/>
      <c r="F439" s="12" t="s">
        <v>0</v>
      </c>
      <c r="G439" s="12" t="s">
        <v>152</v>
      </c>
      <c r="H439" s="12" t="s">
        <v>43</v>
      </c>
      <c r="I439" s="9">
        <v>45935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1" t="s">
        <v>6</v>
      </c>
      <c r="B440" s="21" t="s">
        <v>7</v>
      </c>
      <c r="C440" s="21" t="s">
        <v>8</v>
      </c>
      <c r="D440" s="21" t="s">
        <v>9</v>
      </c>
      <c r="E440" s="4"/>
      <c r="F440" s="21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21">
        <v>1</v>
      </c>
      <c r="B441" s="21">
        <v>500000</v>
      </c>
      <c r="C441" s="21">
        <f>VLOOKUP(A441&amp;"|"&amp;B441,$O$3:$P$16,2,FALSE)</f>
        <v>4000</v>
      </c>
      <c r="D441" s="21">
        <f>VLOOKUP(A441&amp;"|"&amp;B441,$Q$3:$R$16,2,FALSE)</f>
        <v>21000</v>
      </c>
      <c r="E441" s="4"/>
      <c r="F441" s="21">
        <v>6</v>
      </c>
      <c r="G441" s="21">
        <v>2000000</v>
      </c>
      <c r="H441" s="21">
        <f>VLOOKUP(F441&amp;"|"&amp;G441,$O$3:$P$16,2,FALSE)</f>
        <v>9500</v>
      </c>
      <c r="I441" s="21">
        <f>VLOOKUP(F441&amp;"|"&amp;G441,$Q$3:$R$16,2,FALSE)</f>
        <v>90500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1"/>
      <c r="B442" s="21"/>
      <c r="C442" s="21"/>
      <c r="D442" s="21"/>
      <c r="E442" s="4"/>
      <c r="F442" s="21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1"/>
      <c r="B443" s="21"/>
      <c r="C443" s="21"/>
      <c r="D443" s="21"/>
      <c r="E443" s="4"/>
      <c r="F443" s="21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1"/>
      <c r="B444" s="21"/>
      <c r="C444" s="21"/>
      <c r="D444" s="21"/>
      <c r="E444" s="4"/>
      <c r="F444" s="21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1"/>
      <c r="B445" s="21"/>
      <c r="C445" s="21"/>
      <c r="D445" s="21"/>
      <c r="E445" s="4"/>
      <c r="F445" s="21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59" t="s">
        <v>49</v>
      </c>
      <c r="B446" s="53"/>
      <c r="C446" s="54"/>
      <c r="D446" s="21">
        <f>SUM(D441:D445)</f>
        <v>21000</v>
      </c>
      <c r="E446" s="4"/>
      <c r="F446" s="81" t="s">
        <v>49</v>
      </c>
      <c r="G446" s="82"/>
      <c r="H446" s="83"/>
      <c r="I446" s="21">
        <f>SUM(I441:I445)</f>
        <v>90500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2"/>
      <c r="B447" s="2"/>
      <c r="C447" s="2"/>
      <c r="D447" s="2"/>
      <c r="E447" s="4"/>
      <c r="F447" s="2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2" t="s">
        <v>0</v>
      </c>
      <c r="B448" s="12" t="s">
        <v>128</v>
      </c>
      <c r="C448" s="12" t="s">
        <v>101</v>
      </c>
      <c r="D448" s="9">
        <v>45935</v>
      </c>
      <c r="E448" s="4"/>
      <c r="F448" s="12" t="s">
        <v>0</v>
      </c>
      <c r="G448" s="12" t="s">
        <v>153</v>
      </c>
      <c r="H448" s="12" t="s">
        <v>101</v>
      </c>
      <c r="I448" s="9">
        <v>45935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1" t="s">
        <v>6</v>
      </c>
      <c r="B449" s="21" t="s">
        <v>7</v>
      </c>
      <c r="C449" s="21" t="s">
        <v>8</v>
      </c>
      <c r="D449" s="21" t="s">
        <v>9</v>
      </c>
      <c r="E449" s="4"/>
      <c r="F449" s="21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21">
        <v>1</v>
      </c>
      <c r="B450" s="21">
        <v>1000000</v>
      </c>
      <c r="C450" s="21">
        <f>VLOOKUP(A450&amp;"|"&amp;B450,$O$3:$P$16,2,FALSE)</f>
        <v>8000</v>
      </c>
      <c r="D450" s="21">
        <f>VLOOKUP(A450&amp;"|"&amp;B450,$Q$3:$R$16,2,FALSE)</f>
        <v>42000</v>
      </c>
      <c r="E450" s="4"/>
      <c r="F450" s="21">
        <v>1.1000000000000001</v>
      </c>
      <c r="G450" s="21">
        <v>1000000</v>
      </c>
      <c r="H450" s="21">
        <f>VLOOKUP(F450&amp;"|"&amp;G450,$O$3:$P$19,2,FALSE)</f>
        <v>8550</v>
      </c>
      <c r="I450" s="21">
        <f>VLOOKUP(F450&amp;"|"&amp;G450,$Q$3:$R$19,2,FALSE)</f>
        <v>41450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1"/>
      <c r="B451" s="21"/>
      <c r="C451" s="21"/>
      <c r="D451" s="21"/>
      <c r="E451" s="4"/>
      <c r="F451" s="21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1"/>
      <c r="B452" s="21"/>
      <c r="C452" s="21"/>
      <c r="D452" s="21"/>
      <c r="E452" s="4"/>
      <c r="F452" s="21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1"/>
      <c r="B453" s="21"/>
      <c r="C453" s="21"/>
      <c r="D453" s="21"/>
      <c r="E453" s="4"/>
      <c r="F453" s="21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1"/>
      <c r="B454" s="21"/>
      <c r="C454" s="21"/>
      <c r="D454" s="21"/>
      <c r="E454" s="4"/>
      <c r="F454" s="21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59" t="s">
        <v>49</v>
      </c>
      <c r="B455" s="53"/>
      <c r="C455" s="54"/>
      <c r="D455" s="21">
        <f>SUM(D450:D454)</f>
        <v>42000</v>
      </c>
      <c r="E455" s="4"/>
      <c r="F455" s="81" t="s">
        <v>49</v>
      </c>
      <c r="G455" s="82"/>
      <c r="H455" s="83"/>
      <c r="I455" s="21">
        <f>SUM(I450:I454)</f>
        <v>41450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thickTop="1" thickBot="1">
      <c r="A456" s="2"/>
      <c r="B456" s="2"/>
      <c r="C456" s="2"/>
      <c r="D456" s="2"/>
      <c r="E456" s="4"/>
      <c r="F456" s="2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2" t="s">
        <v>0</v>
      </c>
      <c r="B457" s="12" t="s">
        <v>35</v>
      </c>
      <c r="C457" s="12" t="s">
        <v>154</v>
      </c>
      <c r="D457" s="9">
        <v>45935</v>
      </c>
      <c r="E457" s="4"/>
      <c r="F457" s="12" t="s">
        <v>0</v>
      </c>
      <c r="G457" s="12" t="s">
        <v>155</v>
      </c>
      <c r="H457" s="12" t="s">
        <v>156</v>
      </c>
      <c r="I457" s="9">
        <v>45935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1" t="s">
        <v>6</v>
      </c>
      <c r="B458" s="21" t="s">
        <v>7</v>
      </c>
      <c r="C458" s="21" t="s">
        <v>8</v>
      </c>
      <c r="D458" s="21" t="s">
        <v>9</v>
      </c>
      <c r="E458" s="4"/>
      <c r="F458" s="21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21">
        <v>17</v>
      </c>
      <c r="B459" s="21">
        <v>500000</v>
      </c>
      <c r="C459" s="21">
        <f>VLOOKUP(A459&amp;"|"&amp;B459,$O$3:$P$16,2,FALSE)</f>
        <v>300</v>
      </c>
      <c r="D459" s="21">
        <f>VLOOKUP(A459&amp;"|"&amp;B459,$Q$3:$R$16,2,FALSE)</f>
        <v>24700</v>
      </c>
      <c r="E459" s="4"/>
      <c r="F459" s="21">
        <v>6</v>
      </c>
      <c r="G459" s="21">
        <v>1000000</v>
      </c>
      <c r="H459" s="21">
        <f>VLOOKUP(F459&amp;"|"&amp;G459,$O$3:$P$17,2,FALSE)</f>
        <v>5300</v>
      </c>
      <c r="I459" s="21">
        <f>VLOOKUP(F459&amp;"|"&amp;G459,$Q$3:$R$17,2,FALSE)</f>
        <v>44700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21">
        <v>6</v>
      </c>
      <c r="B460" s="21">
        <v>1000000</v>
      </c>
      <c r="C460" s="21">
        <f>VLOOKUP(A460&amp;"|"&amp;B460,$O$3:$P$16,2,FALSE)</f>
        <v>5300</v>
      </c>
      <c r="D460" s="21">
        <f>VLOOKUP(A460&amp;"|"&amp;B460,$Q$3:$R$16,2,FALSE)</f>
        <v>44700</v>
      </c>
      <c r="E460" s="4"/>
      <c r="F460" s="21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1"/>
      <c r="B461" s="21"/>
      <c r="C461" s="21"/>
      <c r="D461" s="21"/>
      <c r="E461" s="4"/>
      <c r="F461" s="21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1"/>
      <c r="B462" s="21"/>
      <c r="C462" s="21"/>
      <c r="D462" s="21"/>
      <c r="E462" s="4"/>
      <c r="F462" s="21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1"/>
      <c r="B463" s="21"/>
      <c r="C463" s="21"/>
      <c r="D463" s="21"/>
      <c r="E463" s="4"/>
      <c r="F463" s="21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59" t="s">
        <v>49</v>
      </c>
      <c r="B464" s="53"/>
      <c r="C464" s="54"/>
      <c r="D464" s="21">
        <f>SUM(D459:D463)</f>
        <v>69400</v>
      </c>
      <c r="E464" s="4"/>
      <c r="F464" s="81" t="s">
        <v>49</v>
      </c>
      <c r="G464" s="82"/>
      <c r="H464" s="83"/>
      <c r="I464" s="21">
        <f>SUM(I459:I463)</f>
        <v>44700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thickTop="1" thickBot="1">
      <c r="A465" s="2"/>
      <c r="B465" s="2"/>
      <c r="C465" s="2"/>
      <c r="D465" s="2"/>
      <c r="E465" s="4"/>
      <c r="F465" s="2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2" t="s">
        <v>0</v>
      </c>
      <c r="B466" s="12" t="s">
        <v>157</v>
      </c>
      <c r="C466" s="12" t="s">
        <v>48</v>
      </c>
      <c r="D466" s="9">
        <v>45935</v>
      </c>
      <c r="E466" s="4"/>
      <c r="F466" s="12" t="s">
        <v>0</v>
      </c>
      <c r="G466" s="12" t="s">
        <v>59</v>
      </c>
      <c r="H466" s="12" t="s">
        <v>158</v>
      </c>
      <c r="I466" s="9">
        <v>45935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1" t="s">
        <v>6</v>
      </c>
      <c r="B467" s="21" t="s">
        <v>7</v>
      </c>
      <c r="C467" s="21" t="s">
        <v>8</v>
      </c>
      <c r="D467" s="21" t="s">
        <v>9</v>
      </c>
      <c r="E467" s="4"/>
      <c r="F467" s="21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21">
        <v>17</v>
      </c>
      <c r="B468" s="21">
        <v>1000000</v>
      </c>
      <c r="C468" s="21">
        <f>VLOOKUP(A468&amp;"|"&amp;B468,$O$3:$P$16,2,FALSE)</f>
        <v>350</v>
      </c>
      <c r="D468" s="21">
        <f>VLOOKUP(A468&amp;"|"&amp;B468,$Q$3:$R$16,2,FALSE)</f>
        <v>49650</v>
      </c>
      <c r="E468" s="4"/>
      <c r="F468" s="21">
        <v>17</v>
      </c>
      <c r="G468" s="21">
        <v>1000000</v>
      </c>
      <c r="H468" s="21">
        <f>VLOOKUP(F468&amp;"|"&amp;G468,$O$3:$P$16,2,FALSE)</f>
        <v>350</v>
      </c>
      <c r="I468" s="21">
        <f>VLOOKUP(F468&amp;"|"&amp;G468,$Q$3:$R$16,2,FALSE)</f>
        <v>49650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21">
        <v>1</v>
      </c>
      <c r="B469" s="21">
        <v>1000000</v>
      </c>
      <c r="C469" s="21">
        <f>VLOOKUP(A469&amp;"|"&amp;B469,$O$3:$P$17,2,FALSE)</f>
        <v>8000</v>
      </c>
      <c r="D469" s="21">
        <f>VLOOKUP(A469&amp;"|"&amp;B469,$Q$3:$R$17,2,FALSE)</f>
        <v>42000</v>
      </c>
      <c r="E469" s="4"/>
      <c r="F469" s="21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1"/>
      <c r="B470" s="21"/>
      <c r="C470" s="21"/>
      <c r="D470" s="21"/>
      <c r="E470" s="4"/>
      <c r="F470" s="21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1"/>
      <c r="B471" s="21"/>
      <c r="C471" s="21"/>
      <c r="D471" s="21"/>
      <c r="E471" s="4"/>
      <c r="F471" s="21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1"/>
      <c r="B472" s="21"/>
      <c r="C472" s="21"/>
      <c r="D472" s="21"/>
      <c r="E472" s="4"/>
      <c r="F472" s="21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59" t="s">
        <v>49</v>
      </c>
      <c r="B473" s="53"/>
      <c r="C473" s="54"/>
      <c r="D473" s="21">
        <f>SUM(D468:D472)</f>
        <v>91650</v>
      </c>
      <c r="E473" s="4"/>
      <c r="F473" s="81" t="s">
        <v>49</v>
      </c>
      <c r="G473" s="82"/>
      <c r="H473" s="83"/>
      <c r="I473" s="21">
        <f>SUM(I468:I472)</f>
        <v>49650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thickTop="1" thickBot="1">
      <c r="A474" s="2"/>
      <c r="B474" s="2"/>
      <c r="C474" s="2"/>
      <c r="D474" s="2"/>
      <c r="E474" s="4"/>
      <c r="F474" s="2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2" t="s">
        <v>0</v>
      </c>
      <c r="B475" s="12" t="s">
        <v>66</v>
      </c>
      <c r="C475" s="12" t="s">
        <v>43</v>
      </c>
      <c r="D475" s="9">
        <v>45935</v>
      </c>
      <c r="E475" s="4"/>
      <c r="F475" s="12" t="s">
        <v>0</v>
      </c>
      <c r="G475" s="12" t="s">
        <v>159</v>
      </c>
      <c r="H475" s="12" t="s">
        <v>41</v>
      </c>
      <c r="I475" s="9">
        <v>45935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1" t="s">
        <v>6</v>
      </c>
      <c r="B476" s="21" t="s">
        <v>7</v>
      </c>
      <c r="C476" s="21" t="s">
        <v>8</v>
      </c>
      <c r="D476" s="21" t="s">
        <v>9</v>
      </c>
      <c r="E476" s="4"/>
      <c r="F476" s="21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21">
        <v>17</v>
      </c>
      <c r="B477" s="21">
        <v>500000</v>
      </c>
      <c r="C477" s="21">
        <f>VLOOKUP(A477&amp;"|"&amp;B477,$O$3:$P$16,2,FALSE)</f>
        <v>300</v>
      </c>
      <c r="D477" s="21">
        <f>VLOOKUP(A477&amp;"|"&amp;B477,$Q$3:$R$16,2,FALSE)</f>
        <v>24700</v>
      </c>
      <c r="E477" s="4"/>
      <c r="F477" s="21">
        <v>1</v>
      </c>
      <c r="G477" s="21">
        <v>500000</v>
      </c>
      <c r="H477" s="21">
        <f>VLOOKUP(F477&amp;"|"&amp;G477,$O$3:$P$16,2,FALSE)</f>
        <v>4000</v>
      </c>
      <c r="I477" s="21">
        <f>VLOOKUP(F477&amp;"|"&amp;G477,$Q$3:$R$16,2,FALSE)</f>
        <v>21000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1"/>
      <c r="B478" s="21"/>
      <c r="C478" s="21"/>
      <c r="D478" s="21"/>
      <c r="E478" s="4"/>
      <c r="F478" s="21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1"/>
      <c r="B479" s="21"/>
      <c r="C479" s="21"/>
      <c r="D479" s="21"/>
      <c r="E479" s="4"/>
      <c r="F479" s="21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1"/>
      <c r="B480" s="21"/>
      <c r="C480" s="21"/>
      <c r="D480" s="21"/>
      <c r="E480" s="4"/>
      <c r="F480" s="21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1"/>
      <c r="B481" s="21"/>
      <c r="C481" s="21"/>
      <c r="D481" s="21"/>
      <c r="E481" s="4"/>
      <c r="F481" s="21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59" t="s">
        <v>49</v>
      </c>
      <c r="B482" s="53"/>
      <c r="C482" s="54"/>
      <c r="D482" s="21">
        <f>SUM(D477:D481)</f>
        <v>24700</v>
      </c>
      <c r="E482" s="4"/>
      <c r="F482" s="81" t="s">
        <v>49</v>
      </c>
      <c r="G482" s="82"/>
      <c r="H482" s="83"/>
      <c r="I482" s="21">
        <f>SUM(I477:I481)</f>
        <v>21000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2"/>
      <c r="B483" s="6"/>
      <c r="C483" s="2"/>
      <c r="D483" s="10"/>
      <c r="E483" s="4"/>
      <c r="F483" s="2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2" t="s">
        <v>0</v>
      </c>
      <c r="B484" s="12" t="s">
        <v>160</v>
      </c>
      <c r="C484" s="12" t="s">
        <v>43</v>
      </c>
      <c r="D484" s="9">
        <v>45935</v>
      </c>
      <c r="E484" s="4"/>
      <c r="F484" s="12" t="s">
        <v>0</v>
      </c>
      <c r="G484" s="12" t="s">
        <v>44</v>
      </c>
      <c r="H484" s="12" t="s">
        <v>43</v>
      </c>
      <c r="I484" s="9">
        <v>45935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1" t="s">
        <v>6</v>
      </c>
      <c r="B485" s="21" t="s">
        <v>7</v>
      </c>
      <c r="C485" s="21" t="s">
        <v>8</v>
      </c>
      <c r="D485" s="21" t="s">
        <v>9</v>
      </c>
      <c r="E485" s="4"/>
      <c r="F485" s="21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21">
        <v>14</v>
      </c>
      <c r="B486" s="21">
        <v>500000</v>
      </c>
      <c r="C486" s="21">
        <f>VLOOKUP(A486&amp;"|"&amp;B486,$O$3:$P$16,2,FALSE)</f>
        <v>1000</v>
      </c>
      <c r="D486" s="21">
        <f>VLOOKUP(A486&amp;"|"&amp;B486,$Q$3:$R$16,2,FALSE)</f>
        <v>24000</v>
      </c>
      <c r="E486" s="4"/>
      <c r="F486" s="21">
        <v>6</v>
      </c>
      <c r="G486" s="21">
        <v>500000</v>
      </c>
      <c r="H486" s="21">
        <f>VLOOKUP(F486&amp;"|"&amp;G486,$O$3:$P$16,2,FALSE)</f>
        <v>2600</v>
      </c>
      <c r="I486" s="21">
        <f>VLOOKUP(F486&amp;"|"&amp;G486,$Q$3:$R$16,2,FALSE)</f>
        <v>22400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21">
        <v>14</v>
      </c>
      <c r="B487" s="21">
        <v>500000</v>
      </c>
      <c r="C487" s="21">
        <f>VLOOKUP(A487&amp;"|"&amp;B487,$O$3:$P$16,2,FALSE)</f>
        <v>1000</v>
      </c>
      <c r="D487" s="21">
        <f>VLOOKUP(A487&amp;"|"&amp;B487,$Q$3:$R$16,2,FALSE)</f>
        <v>24000</v>
      </c>
      <c r="E487" s="4"/>
      <c r="F487" s="21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1"/>
      <c r="B488" s="21"/>
      <c r="C488" s="21"/>
      <c r="D488" s="21"/>
      <c r="E488" s="4"/>
      <c r="F488" s="21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1"/>
      <c r="B489" s="21"/>
      <c r="C489" s="21"/>
      <c r="D489" s="21"/>
      <c r="E489" s="4"/>
      <c r="F489" s="21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1"/>
      <c r="B490" s="21"/>
      <c r="C490" s="21"/>
      <c r="D490" s="21"/>
      <c r="E490" s="4"/>
      <c r="F490" s="21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59" t="s">
        <v>49</v>
      </c>
      <c r="B491" s="53"/>
      <c r="C491" s="54"/>
      <c r="D491" s="21">
        <f>SUM(D486:D490)</f>
        <v>48000</v>
      </c>
      <c r="E491" s="4"/>
      <c r="F491" s="81" t="s">
        <v>49</v>
      </c>
      <c r="G491" s="82"/>
      <c r="H491" s="83"/>
      <c r="I491" s="21">
        <f>SUM(I486:I490)</f>
        <v>22400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thickTop="1" thickBot="1">
      <c r="A492" s="2"/>
      <c r="B492" s="2"/>
      <c r="C492" s="2"/>
      <c r="D492" s="2"/>
      <c r="E492" s="4"/>
      <c r="F492" s="2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2" t="s">
        <v>0</v>
      </c>
      <c r="B493" s="12" t="s">
        <v>161</v>
      </c>
      <c r="C493" s="12" t="s">
        <v>43</v>
      </c>
      <c r="D493" s="9">
        <v>45935</v>
      </c>
      <c r="E493" s="4"/>
      <c r="F493" s="12" t="s">
        <v>0</v>
      </c>
      <c r="G493" s="12" t="s">
        <v>162</v>
      </c>
      <c r="H493" s="12" t="s">
        <v>163</v>
      </c>
      <c r="I493" s="9">
        <v>45935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1" t="s">
        <v>6</v>
      </c>
      <c r="B494" s="21" t="s">
        <v>7</v>
      </c>
      <c r="C494" s="21" t="s">
        <v>8</v>
      </c>
      <c r="D494" s="21" t="s">
        <v>9</v>
      </c>
      <c r="E494" s="4"/>
      <c r="F494" s="21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21">
        <v>11</v>
      </c>
      <c r="B495" s="21">
        <v>500000</v>
      </c>
      <c r="C495" s="21">
        <f>VLOOKUP(A495&amp;"|"&amp;B495,$O$3:$P$16,2,FALSE)</f>
        <v>1600</v>
      </c>
      <c r="D495" s="21">
        <f>VLOOKUP(A495&amp;"|"&amp;B495,$Q$3:$R$16,2,FALSE)</f>
        <v>23400</v>
      </c>
      <c r="E495" s="4"/>
      <c r="F495" s="21">
        <v>11</v>
      </c>
      <c r="G495" s="21">
        <v>500000</v>
      </c>
      <c r="H495" s="21">
        <f>VLOOKUP(F495&amp;"|"&amp;G495,$O$3:$P$16,2,FALSE)</f>
        <v>1600</v>
      </c>
      <c r="I495" s="21">
        <f>VLOOKUP(F495&amp;"|"&amp;G495,$Q$3:$R$16,2,FALSE)</f>
        <v>23400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1"/>
      <c r="B496" s="21"/>
      <c r="C496" s="21"/>
      <c r="D496" s="21"/>
      <c r="E496" s="4"/>
      <c r="F496" s="21">
        <v>11</v>
      </c>
      <c r="G496" s="21">
        <v>500000</v>
      </c>
      <c r="H496" s="21">
        <f>VLOOKUP(F496&amp;"|"&amp;G496,$O$3:$P$16,2,FALSE)</f>
        <v>1600</v>
      </c>
      <c r="I496" s="21">
        <f>VLOOKUP(F496&amp;"|"&amp;G496,$Q$3:$R$16,2,FALSE)</f>
        <v>23400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1"/>
      <c r="B497" s="21"/>
      <c r="C497" s="21"/>
      <c r="D497" s="21"/>
      <c r="E497" s="4"/>
      <c r="F497" s="21">
        <v>6</v>
      </c>
      <c r="G497" s="21">
        <v>500000</v>
      </c>
      <c r="H497" s="21">
        <f>VLOOKUP(F497&amp;"|"&amp;G497,$O$3:$P$17,2,FALSE)</f>
        <v>2600</v>
      </c>
      <c r="I497" s="21">
        <f>VLOOKUP(F497&amp;"|"&amp;G497,$Q$3:$R$17,2,FALSE)</f>
        <v>22400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1"/>
      <c r="B498" s="21"/>
      <c r="C498" s="21"/>
      <c r="D498" s="21"/>
      <c r="E498" s="4"/>
      <c r="F498" s="21">
        <v>1</v>
      </c>
      <c r="G498" s="21">
        <v>1000000</v>
      </c>
      <c r="H498" s="21">
        <f>VLOOKUP(F498&amp;"|"&amp;G498,$O$3:$P$17,2,FALSE)</f>
        <v>8000</v>
      </c>
      <c r="I498" s="21">
        <f>VLOOKUP(F498&amp;"|"&amp;G498,$Q$3:$R$17,2,FALSE)</f>
        <v>42000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1"/>
      <c r="B499" s="21"/>
      <c r="C499" s="21"/>
      <c r="D499" s="21"/>
      <c r="E499" s="4"/>
      <c r="F499" s="21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59" t="s">
        <v>49</v>
      </c>
      <c r="B500" s="53"/>
      <c r="C500" s="54"/>
      <c r="D500" s="21">
        <f>SUM(D495:D499)</f>
        <v>23400</v>
      </c>
      <c r="E500" s="4"/>
      <c r="F500" s="81" t="s">
        <v>49</v>
      </c>
      <c r="G500" s="82"/>
      <c r="H500" s="83"/>
      <c r="I500" s="21">
        <f>SUM(I495:I499)</f>
        <v>111200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2" t="s">
        <v>0</v>
      </c>
      <c r="B502" s="12" t="s">
        <v>164</v>
      </c>
      <c r="C502" s="12" t="s">
        <v>165</v>
      </c>
      <c r="D502" s="9">
        <v>45935</v>
      </c>
      <c r="E502" s="4"/>
      <c r="F502" s="12" t="s">
        <v>3</v>
      </c>
      <c r="G502" s="12" t="s">
        <v>166</v>
      </c>
      <c r="H502" s="12" t="s">
        <v>167</v>
      </c>
      <c r="I502" s="9">
        <v>45935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1" t="s">
        <v>6</v>
      </c>
      <c r="B503" s="21" t="s">
        <v>7</v>
      </c>
      <c r="C503" s="21" t="s">
        <v>8</v>
      </c>
      <c r="D503" s="21" t="s">
        <v>9</v>
      </c>
      <c r="E503" s="4"/>
      <c r="F503" s="21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21">
        <v>6</v>
      </c>
      <c r="B504" s="21">
        <v>2000000</v>
      </c>
      <c r="C504" s="21">
        <f>VLOOKUP(A504&amp;"|"&amp;B504,$O$3:$P$16,2,FALSE)</f>
        <v>9500</v>
      </c>
      <c r="D504" s="21">
        <f>VLOOKUP(A504&amp;"|"&amp;B504,$Q$3:$R$16,2,FALSE)</f>
        <v>90500</v>
      </c>
      <c r="E504" s="4"/>
      <c r="F504" s="21">
        <v>6</v>
      </c>
      <c r="G504" s="21">
        <v>500000</v>
      </c>
      <c r="H504" s="21">
        <f>VLOOKUP(F504&amp;"|"&amp;G504,$O$3:$P$17,2,FALSE)</f>
        <v>2600</v>
      </c>
      <c r="I504" s="21">
        <f>VLOOKUP(F504&amp;"|"&amp;G504,$Q$3:$R$17,2,FALSE)</f>
        <v>22400</v>
      </c>
    </row>
    <row r="505" spans="1:26" ht="20.25" thickTop="1" thickBot="1">
      <c r="A505" s="21"/>
      <c r="B505" s="21"/>
      <c r="C505" s="21"/>
      <c r="D505" s="21"/>
      <c r="E505" s="4"/>
      <c r="F505" s="21"/>
      <c r="G505" s="21"/>
      <c r="H505" s="21"/>
      <c r="I505" s="21"/>
    </row>
    <row r="506" spans="1:26" ht="20.25" thickTop="1" thickBot="1">
      <c r="A506" s="21"/>
      <c r="B506" s="21"/>
      <c r="C506" s="21"/>
      <c r="D506" s="21"/>
      <c r="E506" s="4"/>
      <c r="F506" s="21"/>
      <c r="G506" s="21"/>
      <c r="H506" s="21"/>
      <c r="I506" s="21"/>
    </row>
    <row r="507" spans="1:26" ht="20.25" thickTop="1" thickBot="1">
      <c r="A507" s="21"/>
      <c r="B507" s="21"/>
      <c r="C507" s="21"/>
      <c r="D507" s="21"/>
      <c r="E507" s="4"/>
      <c r="F507" s="21"/>
      <c r="G507" s="21"/>
      <c r="H507" s="21"/>
      <c r="I507" s="21"/>
    </row>
    <row r="508" spans="1:26" ht="20.25" thickTop="1" thickBot="1">
      <c r="A508" s="21"/>
      <c r="B508" s="21"/>
      <c r="C508" s="21"/>
      <c r="D508" s="21"/>
      <c r="E508" s="4"/>
      <c r="F508" s="21"/>
      <c r="G508" s="21"/>
      <c r="H508" s="21"/>
      <c r="I508" s="21"/>
    </row>
    <row r="509" spans="1:26" ht="20.25" thickTop="1" thickBot="1">
      <c r="A509" s="59" t="s">
        <v>49</v>
      </c>
      <c r="B509" s="53"/>
      <c r="C509" s="54"/>
      <c r="D509" s="21">
        <f>SUM(D504:D508)</f>
        <v>90500</v>
      </c>
      <c r="E509" s="4"/>
      <c r="F509" s="59" t="s">
        <v>49</v>
      </c>
      <c r="G509" s="53"/>
      <c r="H509" s="54"/>
      <c r="I509" s="21">
        <f>SUM(I504:I508)</f>
        <v>22400</v>
      </c>
    </row>
    <row r="510" spans="1:26" ht="16.5" thickTop="1" thickBot="1"/>
    <row r="511" spans="1:26" ht="20.25" thickTop="1" thickBot="1">
      <c r="A511" s="12" t="s">
        <v>0</v>
      </c>
      <c r="B511" s="12" t="s">
        <v>146</v>
      </c>
      <c r="C511" s="12" t="s">
        <v>38</v>
      </c>
      <c r="D511" s="9">
        <v>45935</v>
      </c>
      <c r="E511" s="4"/>
      <c r="F511" s="12" t="s">
        <v>3</v>
      </c>
      <c r="G511" s="12" t="s">
        <v>57</v>
      </c>
      <c r="H511" s="12" t="s">
        <v>168</v>
      </c>
      <c r="I511" s="9">
        <v>45935</v>
      </c>
    </row>
    <row r="512" spans="1:26" ht="20.25" thickTop="1" thickBot="1">
      <c r="A512" s="21" t="s">
        <v>6</v>
      </c>
      <c r="B512" s="21" t="s">
        <v>7</v>
      </c>
      <c r="C512" s="21" t="s">
        <v>8</v>
      </c>
      <c r="D512" s="21" t="s">
        <v>9</v>
      </c>
      <c r="E512" s="4"/>
      <c r="F512" s="21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21">
        <v>6</v>
      </c>
      <c r="B513" s="21">
        <v>500000</v>
      </c>
      <c r="C513" s="21">
        <f>VLOOKUP(A513&amp;"|"&amp;B513,$O$3:$P$17,2,FALSE)</f>
        <v>2600</v>
      </c>
      <c r="D513" s="21">
        <f>VLOOKUP(A513&amp;"|"&amp;B513,$Q$3:$R$17,2,FALSE)</f>
        <v>22400</v>
      </c>
      <c r="E513" s="4"/>
      <c r="F513" s="21">
        <v>6</v>
      </c>
      <c r="G513" s="21">
        <v>500000</v>
      </c>
      <c r="H513" s="21">
        <f>VLOOKUP(F513&amp;"|"&amp;G513,$O$3:$P$17,2,FALSE)</f>
        <v>2600</v>
      </c>
      <c r="I513" s="21">
        <f>VLOOKUP(F513&amp;"|"&amp;G513,$Q$3:$R$17,2,FALSE)</f>
        <v>22400</v>
      </c>
    </row>
    <row r="514" spans="1:9" ht="20.25" thickTop="1" thickBot="1">
      <c r="A514" s="21"/>
      <c r="B514" s="21"/>
      <c r="C514" s="21"/>
      <c r="D514" s="21"/>
      <c r="E514" s="4"/>
      <c r="F514" s="21"/>
      <c r="G514" s="21"/>
      <c r="H514" s="21"/>
      <c r="I514" s="21"/>
    </row>
    <row r="515" spans="1:9" ht="20.25" thickTop="1" thickBot="1">
      <c r="A515" s="21"/>
      <c r="B515" s="21"/>
      <c r="C515" s="21"/>
      <c r="D515" s="21"/>
      <c r="E515" s="4"/>
      <c r="F515" s="21"/>
      <c r="G515" s="21"/>
      <c r="H515" s="21"/>
      <c r="I515" s="21"/>
    </row>
    <row r="516" spans="1:9" ht="20.25" thickTop="1" thickBot="1">
      <c r="A516" s="21"/>
      <c r="B516" s="21"/>
      <c r="C516" s="21"/>
      <c r="D516" s="21"/>
      <c r="E516" s="4"/>
      <c r="F516" s="21"/>
      <c r="G516" s="21"/>
      <c r="H516" s="21"/>
      <c r="I516" s="21"/>
    </row>
    <row r="517" spans="1:9" ht="20.25" thickTop="1" thickBot="1">
      <c r="A517" s="21"/>
      <c r="B517" s="21"/>
      <c r="C517" s="21"/>
      <c r="D517" s="21"/>
      <c r="E517" s="4"/>
      <c r="F517" s="21"/>
      <c r="G517" s="21"/>
      <c r="H517" s="21"/>
      <c r="I517" s="21"/>
    </row>
    <row r="518" spans="1:9" ht="20.25" thickTop="1" thickBot="1">
      <c r="A518" s="59" t="s">
        <v>49</v>
      </c>
      <c r="B518" s="53"/>
      <c r="C518" s="54"/>
      <c r="D518" s="21">
        <f>SUM(D513:D517)</f>
        <v>22400</v>
      </c>
      <c r="E518" s="4"/>
      <c r="F518" s="81" t="s">
        <v>25</v>
      </c>
      <c r="G518" s="82"/>
      <c r="H518" s="83"/>
      <c r="I518" s="21">
        <f>SUM(I513:I517)</f>
        <v>22400</v>
      </c>
    </row>
    <row r="519" spans="1:9" ht="16.5" thickTop="1" thickBot="1"/>
    <row r="520" spans="1:9" ht="20.25" thickTop="1" thickBot="1">
      <c r="A520" s="12" t="s">
        <v>3</v>
      </c>
      <c r="B520" s="12" t="s">
        <v>169</v>
      </c>
      <c r="C520" s="12" t="s">
        <v>170</v>
      </c>
      <c r="D520" s="9">
        <v>45935</v>
      </c>
      <c r="F520" s="12" t="s">
        <v>3</v>
      </c>
      <c r="G520" s="12" t="s">
        <v>171</v>
      </c>
      <c r="H520" s="12" t="s">
        <v>172</v>
      </c>
      <c r="I520" s="9">
        <v>45935</v>
      </c>
    </row>
    <row r="521" spans="1:9" ht="20.25" thickTop="1" thickBot="1">
      <c r="A521" s="21" t="s">
        <v>6</v>
      </c>
      <c r="B521" s="21" t="s">
        <v>7</v>
      </c>
      <c r="C521" s="21" t="s">
        <v>8</v>
      </c>
      <c r="D521" s="21" t="s">
        <v>9</v>
      </c>
      <c r="F521" s="21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21">
        <v>17</v>
      </c>
      <c r="B522" s="21">
        <v>500000</v>
      </c>
      <c r="C522" s="21">
        <f>VLOOKUP(A522&amp;"|"&amp;B522,$O$3:$P$17,2,FALSE)</f>
        <v>300</v>
      </c>
      <c r="D522" s="21">
        <f>VLOOKUP(A522&amp;"|"&amp;B522,$Q$3:$R$17,2,FALSE)</f>
        <v>24700</v>
      </c>
      <c r="F522" s="21">
        <v>6</v>
      </c>
      <c r="G522" s="21">
        <v>1000000</v>
      </c>
      <c r="H522" s="21">
        <f>VLOOKUP(F522&amp;"|"&amp;G522,$O$3:$P$17,2,FALSE)</f>
        <v>5300</v>
      </c>
      <c r="I522" s="21">
        <f>VLOOKUP(F522&amp;"|"&amp;G522,$Q$3:$R$17,2,FALSE)</f>
        <v>44700</v>
      </c>
    </row>
    <row r="523" spans="1:9" ht="20.25" thickTop="1" thickBot="1">
      <c r="A523" s="21"/>
      <c r="B523" s="21"/>
      <c r="C523" s="21"/>
      <c r="D523" s="21"/>
      <c r="F523" s="21">
        <v>6</v>
      </c>
      <c r="G523" s="21">
        <v>1000000</v>
      </c>
      <c r="H523" s="21">
        <f>VLOOKUP(F523&amp;"|"&amp;G523,$O$3:$P$17,2,FALSE)</f>
        <v>5300</v>
      </c>
      <c r="I523" s="21">
        <f>VLOOKUP(F523&amp;"|"&amp;G523,$Q$3:$R$17,2,FALSE)</f>
        <v>44700</v>
      </c>
    </row>
    <row r="524" spans="1:9" ht="20.25" thickTop="1" thickBot="1">
      <c r="A524" s="21"/>
      <c r="B524" s="21"/>
      <c r="C524" s="21"/>
      <c r="D524" s="21"/>
      <c r="F524" s="21"/>
      <c r="G524" s="21"/>
      <c r="H524" s="21"/>
      <c r="I524" s="21"/>
    </row>
    <row r="525" spans="1:9" ht="20.25" thickTop="1" thickBot="1">
      <c r="A525" s="21"/>
      <c r="B525" s="21"/>
      <c r="C525" s="21"/>
      <c r="D525" s="21"/>
      <c r="F525" s="21"/>
      <c r="G525" s="21"/>
      <c r="H525" s="21"/>
      <c r="I525" s="21"/>
    </row>
    <row r="526" spans="1:9" ht="20.25" thickTop="1" thickBot="1">
      <c r="A526" s="21"/>
      <c r="B526" s="21"/>
      <c r="C526" s="21"/>
      <c r="D526" s="21"/>
      <c r="F526" s="21"/>
      <c r="G526" s="21"/>
      <c r="H526" s="21"/>
      <c r="I526" s="21"/>
    </row>
    <row r="527" spans="1:9" ht="20.25" thickTop="1" thickBot="1">
      <c r="A527" s="59" t="s">
        <v>49</v>
      </c>
      <c r="B527" s="53"/>
      <c r="C527" s="54"/>
      <c r="D527" s="21">
        <f>SUM(D522:D526)</f>
        <v>24700</v>
      </c>
      <c r="F527" s="81" t="s">
        <v>25</v>
      </c>
      <c r="G527" s="82"/>
      <c r="H527" s="83"/>
      <c r="I527" s="21">
        <f>SUM(I522:I526)</f>
        <v>89400</v>
      </c>
    </row>
    <row r="528" spans="1:9" ht="16.5" thickTop="1" thickBot="1"/>
    <row r="529" spans="1:9" ht="20.25" thickTop="1" thickBot="1">
      <c r="A529" s="12" t="s">
        <v>3</v>
      </c>
      <c r="B529" s="12" t="s">
        <v>61</v>
      </c>
      <c r="C529" s="12" t="s">
        <v>173</v>
      </c>
      <c r="D529" s="9">
        <v>45935</v>
      </c>
      <c r="F529" s="12" t="s">
        <v>3</v>
      </c>
      <c r="G529" s="12" t="s">
        <v>139</v>
      </c>
      <c r="H529" s="12" t="s">
        <v>196</v>
      </c>
      <c r="I529" s="9">
        <v>45935</v>
      </c>
    </row>
    <row r="530" spans="1:9" ht="20.25" thickTop="1" thickBot="1">
      <c r="A530" s="21" t="s">
        <v>6</v>
      </c>
      <c r="B530" s="21" t="s">
        <v>7</v>
      </c>
      <c r="C530" s="21" t="s">
        <v>8</v>
      </c>
      <c r="D530" s="21" t="s">
        <v>9</v>
      </c>
      <c r="F530" s="21" t="s">
        <v>6</v>
      </c>
      <c r="G530" s="21" t="s">
        <v>7</v>
      </c>
      <c r="H530" s="21" t="s">
        <v>8</v>
      </c>
      <c r="I530" s="21" t="s">
        <v>9</v>
      </c>
    </row>
    <row r="531" spans="1:9" ht="20.25" thickTop="1" thickBot="1">
      <c r="A531" s="21">
        <v>1</v>
      </c>
      <c r="B531" s="21">
        <v>1000000</v>
      </c>
      <c r="C531" s="21">
        <f>VLOOKUP(A531&amp;"|"&amp;B531,$O$3:$P$17,2,FALSE)</f>
        <v>8000</v>
      </c>
      <c r="D531" s="21">
        <f>VLOOKUP(A531&amp;"|"&amp;B531,$Q$3:$R$17,2,FALSE)</f>
        <v>42000</v>
      </c>
      <c r="F531" s="21">
        <v>6</v>
      </c>
      <c r="G531" s="21">
        <v>2000000</v>
      </c>
      <c r="H531" s="21">
        <f>VLOOKUP(F531&amp;"|"&amp;G531,$O$3:$P$17,2,FALSE)</f>
        <v>9500</v>
      </c>
      <c r="I531" s="21">
        <f>VLOOKUP(F531&amp;"|"&amp;G531,$Q$3:$R$17,2,FALSE)</f>
        <v>90500</v>
      </c>
    </row>
    <row r="532" spans="1:9" ht="20.25" thickTop="1" thickBot="1">
      <c r="A532" s="21">
        <v>1</v>
      </c>
      <c r="B532" s="21">
        <v>1000000</v>
      </c>
      <c r="C532" s="21">
        <f>VLOOKUP(A532&amp;"|"&amp;B532,$O$3:$P$17,2,FALSE)</f>
        <v>8000</v>
      </c>
      <c r="D532" s="21">
        <f>VLOOKUP(A531&amp;"|"&amp;B531,$Q$3:$R$17,2,FALSE)</f>
        <v>42000</v>
      </c>
      <c r="F532" s="21"/>
      <c r="G532" s="21"/>
      <c r="H532" s="21"/>
      <c r="I532" s="21"/>
    </row>
    <row r="533" spans="1:9" ht="20.25" thickTop="1" thickBot="1">
      <c r="A533" s="21"/>
      <c r="B533" s="21"/>
      <c r="C533" s="21"/>
      <c r="D533" s="21"/>
      <c r="F533" s="21"/>
      <c r="G533" s="21"/>
      <c r="H533" s="21"/>
      <c r="I533" s="21"/>
    </row>
    <row r="534" spans="1:9" ht="20.25" thickTop="1" thickBot="1">
      <c r="A534" s="21"/>
      <c r="B534" s="21"/>
      <c r="C534" s="21"/>
      <c r="D534" s="21"/>
      <c r="F534" s="21"/>
      <c r="G534" s="21"/>
      <c r="H534" s="21"/>
      <c r="I534" s="21"/>
    </row>
    <row r="535" spans="1:9" ht="20.25" thickTop="1" thickBot="1">
      <c r="A535" s="21"/>
      <c r="B535" s="21"/>
      <c r="C535" s="21"/>
      <c r="D535" s="21"/>
      <c r="F535" s="21"/>
      <c r="G535" s="21"/>
      <c r="H535" s="21"/>
      <c r="I535" s="21"/>
    </row>
    <row r="536" spans="1:9" ht="20.25" thickTop="1" thickBot="1">
      <c r="A536" s="59" t="s">
        <v>49</v>
      </c>
      <c r="B536" s="53"/>
      <c r="C536" s="54"/>
      <c r="D536" s="21">
        <f>SUM(D531:D535)</f>
        <v>84000</v>
      </c>
      <c r="F536" s="59" t="s">
        <v>49</v>
      </c>
      <c r="G536" s="53"/>
      <c r="H536" s="54"/>
      <c r="I536" s="21">
        <f>SUM(I531:I535)</f>
        <v>90500</v>
      </c>
    </row>
    <row r="537" spans="1:9" ht="16.5" thickTop="1" thickBot="1"/>
    <row r="538" spans="1:9" ht="20.25" thickTop="1" thickBot="1">
      <c r="A538" s="12" t="s">
        <v>3</v>
      </c>
      <c r="B538" s="12" t="s">
        <v>176</v>
      </c>
      <c r="C538" s="12" t="s">
        <v>173</v>
      </c>
      <c r="D538" s="9">
        <v>45935</v>
      </c>
      <c r="F538" s="12" t="s">
        <v>3</v>
      </c>
      <c r="G538" s="12" t="s">
        <v>1</v>
      </c>
      <c r="H538" s="12" t="s">
        <v>173</v>
      </c>
      <c r="I538" s="9">
        <v>45935</v>
      </c>
    </row>
    <row r="539" spans="1:9" ht="20.25" thickTop="1" thickBot="1">
      <c r="A539" s="21" t="s">
        <v>6</v>
      </c>
      <c r="B539" s="21" t="s">
        <v>7</v>
      </c>
      <c r="C539" s="21" t="s">
        <v>8</v>
      </c>
      <c r="D539" s="21" t="s">
        <v>9</v>
      </c>
      <c r="F539" s="21" t="s">
        <v>6</v>
      </c>
      <c r="G539" s="21" t="s">
        <v>7</v>
      </c>
      <c r="H539" s="21" t="s">
        <v>8</v>
      </c>
      <c r="I539" s="21" t="s">
        <v>9</v>
      </c>
    </row>
    <row r="540" spans="1:9" ht="20.25" thickTop="1" thickBot="1">
      <c r="A540" s="21">
        <v>1.1000000000000001</v>
      </c>
      <c r="B540" s="21">
        <v>1000000</v>
      </c>
      <c r="C540" s="21">
        <f>VLOOKUP(A540&amp;"|"&amp;B540,$O$3:$P$17,2,FALSE)</f>
        <v>8550</v>
      </c>
      <c r="D540" s="21">
        <f>VLOOKUP(A540&amp;"|"&amp;B540,$Q$3:$R$17,2,FALSE)</f>
        <v>41450</v>
      </c>
      <c r="F540" s="21">
        <v>1</v>
      </c>
      <c r="G540" s="21">
        <v>1000000</v>
      </c>
      <c r="H540" s="21">
        <f>VLOOKUP(F540&amp;"|"&amp;G540,$O$3:$P$17,2,FALSE)</f>
        <v>8000</v>
      </c>
      <c r="I540" s="21">
        <f>VLOOKUP(F540&amp;"|"&amp;G540,$Q$3:$R$17,2,FALSE)</f>
        <v>42000</v>
      </c>
    </row>
    <row r="541" spans="1:9" ht="20.25" thickTop="1" thickBot="1">
      <c r="A541" s="21"/>
      <c r="B541" s="21"/>
      <c r="C541" s="21"/>
      <c r="D541" s="21"/>
      <c r="F541" s="21">
        <v>1.1000000000000001</v>
      </c>
      <c r="G541" s="21">
        <v>1000000</v>
      </c>
      <c r="H541" s="21">
        <f>VLOOKUP(F541&amp;"|"&amp;G541,$O$3:$P$17,2,FALSE)</f>
        <v>8550</v>
      </c>
      <c r="I541" s="21"/>
    </row>
    <row r="542" spans="1:9" ht="20.25" thickTop="1" thickBot="1">
      <c r="A542" s="21"/>
      <c r="B542" s="21"/>
      <c r="C542" s="21"/>
      <c r="D542" s="21"/>
      <c r="F542" s="21"/>
      <c r="G542" s="21"/>
      <c r="H542" s="21"/>
      <c r="I542" s="21"/>
    </row>
    <row r="543" spans="1:9" ht="20.25" thickTop="1" thickBot="1">
      <c r="A543" s="21"/>
      <c r="B543" s="21"/>
      <c r="C543" s="21"/>
      <c r="D543" s="21"/>
      <c r="F543" s="21"/>
      <c r="G543" s="21"/>
      <c r="H543" s="21"/>
      <c r="I543" s="21"/>
    </row>
    <row r="544" spans="1:9" ht="20.25" thickTop="1" thickBot="1">
      <c r="A544" s="21"/>
      <c r="B544" s="21"/>
      <c r="C544" s="21"/>
      <c r="D544" s="21"/>
      <c r="F544" s="21"/>
      <c r="G544" s="21"/>
      <c r="H544" s="21"/>
      <c r="I544" s="21"/>
    </row>
    <row r="545" spans="1:9" ht="20.25" thickTop="1" thickBot="1">
      <c r="A545" s="59" t="s">
        <v>49</v>
      </c>
      <c r="B545" s="53"/>
      <c r="C545" s="54"/>
      <c r="D545" s="21">
        <f>SUM(D540:D544)</f>
        <v>41450</v>
      </c>
      <c r="F545" s="59" t="s">
        <v>49</v>
      </c>
      <c r="G545" s="53"/>
      <c r="H545" s="54"/>
      <c r="I545" s="21">
        <f>SUM(I540:I544)</f>
        <v>42000</v>
      </c>
    </row>
    <row r="546" spans="1:9" ht="16.5" thickTop="1" thickBot="1"/>
    <row r="547" spans="1:9" ht="20.25" thickTop="1" thickBot="1">
      <c r="A547" s="12" t="s">
        <v>3</v>
      </c>
      <c r="B547" s="12" t="s">
        <v>177</v>
      </c>
      <c r="C547" s="12" t="s">
        <v>178</v>
      </c>
      <c r="D547" s="9">
        <v>45935</v>
      </c>
      <c r="F547" s="12" t="s">
        <v>3</v>
      </c>
      <c r="G547" s="12"/>
      <c r="H547" s="12"/>
      <c r="I547" s="9">
        <v>45935</v>
      </c>
    </row>
    <row r="548" spans="1:9" ht="20.25" thickTop="1" thickBot="1">
      <c r="A548" s="21" t="s">
        <v>6</v>
      </c>
      <c r="B548" s="21" t="s">
        <v>7</v>
      </c>
      <c r="C548" s="21" t="s">
        <v>8</v>
      </c>
      <c r="D548" s="21" t="s">
        <v>9</v>
      </c>
      <c r="F548" s="21" t="s">
        <v>6</v>
      </c>
      <c r="G548" s="21" t="s">
        <v>7</v>
      </c>
      <c r="H548" s="21" t="s">
        <v>8</v>
      </c>
      <c r="I548" s="21" t="s">
        <v>9</v>
      </c>
    </row>
    <row r="549" spans="1:9" ht="20.25" thickTop="1" thickBot="1">
      <c r="A549" s="21">
        <v>1.1000000000000001</v>
      </c>
      <c r="B549" s="21">
        <v>1000000</v>
      </c>
      <c r="C549" s="21">
        <f>VLOOKUP(A549&amp;"|"&amp;B549,$O$3:$P$17,2,FALSE)</f>
        <v>8550</v>
      </c>
      <c r="D549" s="21">
        <f>VLOOKUP(A549&amp;"|"&amp;B549,$Q$3:$R$17,2,FALSE)</f>
        <v>41450</v>
      </c>
      <c r="F549" s="21">
        <v>1.1000000000000001</v>
      </c>
      <c r="G549" s="21">
        <v>1000000</v>
      </c>
      <c r="H549" s="21">
        <f>VLOOKUP(F549&amp;"|"&amp;G549,$O$3:$P$17,2,FALSE)</f>
        <v>8550</v>
      </c>
      <c r="I549" s="21">
        <f>VLOOKUP(F549&amp;"|"&amp;G549,$Q$3:$R$17,2,FALSE)</f>
        <v>41450</v>
      </c>
    </row>
    <row r="550" spans="1:9" ht="20.25" thickTop="1" thickBot="1">
      <c r="A550" s="21"/>
      <c r="B550" s="21"/>
      <c r="C550" s="21"/>
      <c r="D550" s="21"/>
      <c r="F550" s="21"/>
      <c r="G550" s="21"/>
      <c r="H550" s="21"/>
      <c r="I550" s="21"/>
    </row>
    <row r="551" spans="1:9" ht="20.25" thickTop="1" thickBot="1">
      <c r="A551" s="21"/>
      <c r="B551" s="21"/>
      <c r="C551" s="21"/>
      <c r="D551" s="21"/>
      <c r="F551" s="21"/>
      <c r="G551" s="21"/>
      <c r="H551" s="21"/>
      <c r="I551" s="21"/>
    </row>
    <row r="552" spans="1:9" ht="20.25" thickTop="1" thickBot="1">
      <c r="A552" s="21"/>
      <c r="B552" s="21"/>
      <c r="C552" s="21"/>
      <c r="D552" s="21"/>
      <c r="F552" s="21"/>
      <c r="G552" s="21"/>
      <c r="H552" s="21"/>
      <c r="I552" s="21"/>
    </row>
    <row r="553" spans="1:9" ht="20.25" thickTop="1" thickBot="1">
      <c r="A553" s="21"/>
      <c r="B553" s="21"/>
      <c r="C553" s="21"/>
      <c r="D553" s="21"/>
      <c r="F553" s="21"/>
      <c r="G553" s="21"/>
      <c r="H553" s="21"/>
      <c r="I553" s="21"/>
    </row>
    <row r="554" spans="1:9" ht="20.25" thickTop="1" thickBot="1">
      <c r="A554" s="59" t="s">
        <v>49</v>
      </c>
      <c r="B554" s="53"/>
      <c r="C554" s="54"/>
      <c r="D554" s="21">
        <f>SUM(D549:D553)</f>
        <v>41450</v>
      </c>
      <c r="F554" s="59" t="s">
        <v>49</v>
      </c>
      <c r="G554" s="53"/>
      <c r="H554" s="54"/>
      <c r="I554" s="21">
        <f>SUM(I549:I553)</f>
        <v>41450</v>
      </c>
    </row>
    <row r="555" spans="1:9" ht="16.5" thickTop="1" thickBot="1"/>
    <row r="556" spans="1:9" ht="20.25" thickTop="1" thickBot="1">
      <c r="A556" s="12" t="s">
        <v>3</v>
      </c>
      <c r="B556" s="12" t="s">
        <v>73</v>
      </c>
      <c r="C556" s="12" t="s">
        <v>48</v>
      </c>
      <c r="D556" s="9">
        <v>45935</v>
      </c>
      <c r="F556" s="12" t="s">
        <v>3</v>
      </c>
      <c r="G556" s="12"/>
      <c r="H556" s="12"/>
      <c r="I556" s="9">
        <v>45935</v>
      </c>
    </row>
    <row r="557" spans="1:9" ht="20.25" thickTop="1" thickBot="1">
      <c r="A557" s="21" t="s">
        <v>6</v>
      </c>
      <c r="B557" s="21" t="s">
        <v>7</v>
      </c>
      <c r="C557" s="21" t="s">
        <v>8</v>
      </c>
      <c r="D557" s="21" t="s">
        <v>9</v>
      </c>
      <c r="F557" s="21" t="s">
        <v>6</v>
      </c>
      <c r="G557" s="21" t="s">
        <v>7</v>
      </c>
      <c r="H557" s="21" t="s">
        <v>8</v>
      </c>
      <c r="I557" s="21" t="s">
        <v>9</v>
      </c>
    </row>
    <row r="558" spans="1:9" ht="20.25" thickTop="1" thickBot="1">
      <c r="A558" s="21">
        <v>1.1000000000000001</v>
      </c>
      <c r="B558" s="21">
        <v>1000000</v>
      </c>
      <c r="C558" s="21">
        <f>VLOOKUP(A558&amp;"|"&amp;B558,$O$3:$P$17,2,FALSE)</f>
        <v>8550</v>
      </c>
      <c r="D558" s="21">
        <f>VLOOKUP(A558&amp;"|"&amp;B558,$Q$3:$R$17,2,FALSE)</f>
        <v>41450</v>
      </c>
      <c r="F558" s="21">
        <v>1.1000000000000001</v>
      </c>
      <c r="G558" s="21">
        <v>1000000</v>
      </c>
      <c r="H558" s="21">
        <f>VLOOKUP(F558&amp;"|"&amp;G558,$O$3:$P$17,2,FALSE)</f>
        <v>8550</v>
      </c>
      <c r="I558" s="21">
        <f>VLOOKUP(F558&amp;"|"&amp;G558,$Q$3:$R$17,2,FALSE)</f>
        <v>41450</v>
      </c>
    </row>
    <row r="559" spans="1:9" ht="20.25" thickTop="1" thickBot="1">
      <c r="A559" s="21"/>
      <c r="B559" s="21"/>
      <c r="C559" s="21"/>
      <c r="D559" s="21"/>
      <c r="F559" s="21"/>
      <c r="G559" s="21"/>
      <c r="H559" s="21"/>
      <c r="I559" s="21"/>
    </row>
    <row r="560" spans="1:9" ht="20.25" thickTop="1" thickBot="1">
      <c r="A560" s="21"/>
      <c r="B560" s="21"/>
      <c r="C560" s="21"/>
      <c r="D560" s="21"/>
      <c r="F560" s="21"/>
      <c r="G560" s="21"/>
      <c r="H560" s="21"/>
      <c r="I560" s="21"/>
    </row>
    <row r="561" spans="1:9" ht="20.25" thickTop="1" thickBot="1">
      <c r="A561" s="21"/>
      <c r="B561" s="21"/>
      <c r="C561" s="21"/>
      <c r="D561" s="21"/>
      <c r="F561" s="21"/>
      <c r="G561" s="21"/>
      <c r="H561" s="21"/>
      <c r="I561" s="21"/>
    </row>
    <row r="562" spans="1:9" ht="20.25" thickTop="1" thickBot="1">
      <c r="A562" s="21"/>
      <c r="B562" s="21"/>
      <c r="C562" s="21"/>
      <c r="D562" s="21"/>
      <c r="F562" s="21"/>
      <c r="G562" s="21"/>
      <c r="H562" s="21"/>
      <c r="I562" s="21"/>
    </row>
    <row r="563" spans="1:9" ht="20.25" thickTop="1" thickBot="1">
      <c r="A563" s="59" t="s">
        <v>49</v>
      </c>
      <c r="B563" s="53"/>
      <c r="C563" s="54"/>
      <c r="D563" s="21">
        <f>SUM(D558:D562)</f>
        <v>41450</v>
      </c>
      <c r="F563" s="59" t="s">
        <v>49</v>
      </c>
      <c r="G563" s="53"/>
      <c r="H563" s="54"/>
      <c r="I563" s="21">
        <f>SUM(I558:I562)</f>
        <v>41450</v>
      </c>
    </row>
    <row r="564" spans="1:9" ht="16.5" thickTop="1" thickBot="1"/>
    <row r="565" spans="1:9" ht="20.25" thickTop="1" thickBot="1">
      <c r="A565" s="12" t="s">
        <v>3</v>
      </c>
      <c r="B565" s="12"/>
      <c r="C565" s="12"/>
      <c r="D565" s="9">
        <v>45935</v>
      </c>
      <c r="F565" s="12" t="s">
        <v>3</v>
      </c>
      <c r="G565" s="12" t="s">
        <v>73</v>
      </c>
      <c r="H565" s="12" t="s">
        <v>179</v>
      </c>
      <c r="I565" s="9">
        <v>45935</v>
      </c>
    </row>
    <row r="566" spans="1:9" ht="20.25" thickTop="1" thickBot="1">
      <c r="A566" s="21" t="s">
        <v>6</v>
      </c>
      <c r="B566" s="21" t="s">
        <v>7</v>
      </c>
      <c r="C566" s="21" t="s">
        <v>8</v>
      </c>
      <c r="D566" s="21" t="s">
        <v>9</v>
      </c>
      <c r="F566" s="21" t="s">
        <v>6</v>
      </c>
      <c r="G566" s="21" t="s">
        <v>7</v>
      </c>
      <c r="H566" s="21" t="s">
        <v>8</v>
      </c>
      <c r="I566" s="21" t="s">
        <v>9</v>
      </c>
    </row>
    <row r="567" spans="1:9" ht="20.25" thickTop="1" thickBot="1">
      <c r="A567" s="21">
        <v>1</v>
      </c>
      <c r="B567" s="21">
        <v>1000000</v>
      </c>
      <c r="C567" s="21">
        <f>VLOOKUP(A567&amp;"|"&amp;B567,$O$3:$P$17,2,FALSE)</f>
        <v>8000</v>
      </c>
      <c r="D567" s="21">
        <f>VLOOKUP(A567&amp;"|"&amp;B567,$Q$3:$R$17,2,FALSE)</f>
        <v>42000</v>
      </c>
      <c r="F567" s="21">
        <v>1</v>
      </c>
      <c r="G567" s="21">
        <v>500000</v>
      </c>
      <c r="H567" s="21">
        <f>VLOOKUP(F567&amp;"|"&amp;G567,$O$3:$P$17,2,FALSE)</f>
        <v>4000</v>
      </c>
      <c r="I567" s="21">
        <f>VLOOKUP(F567&amp;"|"&amp;G567,$Q$3:$R$17,2,FALSE)</f>
        <v>21000</v>
      </c>
    </row>
    <row r="568" spans="1:9" ht="20.25" thickTop="1" thickBot="1">
      <c r="A568" s="21"/>
      <c r="B568" s="21"/>
      <c r="C568" s="21"/>
      <c r="D568" s="21"/>
      <c r="F568" s="21"/>
      <c r="G568" s="21"/>
      <c r="H568" s="21"/>
      <c r="I568" s="21"/>
    </row>
    <row r="569" spans="1:9" ht="20.25" thickTop="1" thickBot="1">
      <c r="A569" s="21"/>
      <c r="B569" s="21"/>
      <c r="C569" s="21"/>
      <c r="D569" s="21"/>
      <c r="F569" s="21"/>
      <c r="G569" s="21"/>
      <c r="H569" s="21"/>
      <c r="I569" s="21"/>
    </row>
    <row r="570" spans="1:9" ht="20.25" thickTop="1" thickBot="1">
      <c r="A570" s="21"/>
      <c r="B570" s="21"/>
      <c r="C570" s="21"/>
      <c r="D570" s="21"/>
      <c r="F570" s="21"/>
      <c r="G570" s="21"/>
      <c r="H570" s="21"/>
      <c r="I570" s="21"/>
    </row>
    <row r="571" spans="1:9" ht="20.25" thickTop="1" thickBot="1">
      <c r="A571" s="21"/>
      <c r="B571" s="21"/>
      <c r="C571" s="21"/>
      <c r="D571" s="21"/>
      <c r="F571" s="21"/>
      <c r="G571" s="21"/>
      <c r="H571" s="21"/>
      <c r="I571" s="21"/>
    </row>
    <row r="572" spans="1:9" ht="20.25" thickTop="1" thickBot="1">
      <c r="A572" s="59" t="s">
        <v>49</v>
      </c>
      <c r="B572" s="53"/>
      <c r="C572" s="54"/>
      <c r="D572" s="21">
        <f>SUM(D567:D571)</f>
        <v>42000</v>
      </c>
      <c r="F572" s="59" t="s">
        <v>49</v>
      </c>
      <c r="G572" s="53"/>
      <c r="H572" s="54"/>
      <c r="I572" s="21">
        <f>SUM(I567:I571)</f>
        <v>21000</v>
      </c>
    </row>
    <row r="573" spans="1:9" ht="16.5" thickTop="1" thickBot="1"/>
    <row r="574" spans="1:9" ht="20.25" thickTop="1" thickBot="1">
      <c r="A574" s="12" t="s">
        <v>3</v>
      </c>
      <c r="B574" s="12" t="s">
        <v>180</v>
      </c>
      <c r="C574" s="12" t="s">
        <v>181</v>
      </c>
      <c r="D574" s="9">
        <v>45935</v>
      </c>
      <c r="F574" s="12" t="s">
        <v>3</v>
      </c>
      <c r="G574" s="12"/>
      <c r="H574" s="12"/>
      <c r="I574" s="9">
        <v>45935</v>
      </c>
    </row>
    <row r="575" spans="1:9" ht="20.25" thickTop="1" thickBot="1">
      <c r="A575" s="21" t="s">
        <v>6</v>
      </c>
      <c r="B575" s="21" t="s">
        <v>7</v>
      </c>
      <c r="C575" s="21" t="s">
        <v>8</v>
      </c>
      <c r="D575" s="21" t="s">
        <v>9</v>
      </c>
      <c r="F575" s="21" t="s">
        <v>6</v>
      </c>
      <c r="G575" s="21" t="s">
        <v>7</v>
      </c>
      <c r="H575" s="21" t="s">
        <v>8</v>
      </c>
      <c r="I575" s="21" t="s">
        <v>9</v>
      </c>
    </row>
    <row r="576" spans="1:9" ht="20.25" thickTop="1" thickBot="1">
      <c r="A576" s="21">
        <v>1</v>
      </c>
      <c r="B576" s="21">
        <v>500000</v>
      </c>
      <c r="C576" s="21">
        <f>VLOOKUP(A576&amp;"|"&amp;B576,$O$3:$P$17,2,FALSE)</f>
        <v>4000</v>
      </c>
      <c r="D576" s="21">
        <f>VLOOKUP(A576&amp;"|"&amp;B576,$Q$3:$R$17,2,FALSE)</f>
        <v>21000</v>
      </c>
      <c r="F576" s="21">
        <v>1</v>
      </c>
      <c r="G576" s="21">
        <v>500000</v>
      </c>
      <c r="H576" s="21">
        <f>VLOOKUP(F576&amp;"|"&amp;G576,$O$3:$P$17,2,FALSE)</f>
        <v>4000</v>
      </c>
      <c r="I576" s="21">
        <f>VLOOKUP(F576&amp;"|"&amp;G576,$Q$3:$R$17,2,FALSE)</f>
        <v>21000</v>
      </c>
    </row>
    <row r="577" spans="1:9" ht="20.25" thickTop="1" thickBot="1">
      <c r="A577" s="21"/>
      <c r="B577" s="21"/>
      <c r="C577" s="21"/>
      <c r="D577" s="21"/>
      <c r="F577" s="21"/>
      <c r="G577" s="21"/>
      <c r="H577" s="21"/>
      <c r="I577" s="21"/>
    </row>
    <row r="578" spans="1:9" ht="20.25" thickTop="1" thickBot="1">
      <c r="A578" s="21"/>
      <c r="B578" s="21"/>
      <c r="C578" s="21"/>
      <c r="D578" s="21"/>
      <c r="F578" s="21"/>
      <c r="G578" s="21"/>
      <c r="H578" s="21"/>
      <c r="I578" s="21"/>
    </row>
    <row r="579" spans="1:9" ht="20.25" thickTop="1" thickBot="1">
      <c r="A579" s="21"/>
      <c r="B579" s="21"/>
      <c r="C579" s="21"/>
      <c r="D579" s="21"/>
      <c r="F579" s="21"/>
      <c r="G579" s="21"/>
      <c r="H579" s="21"/>
      <c r="I579" s="21"/>
    </row>
    <row r="580" spans="1:9" ht="20.25" thickTop="1" thickBot="1">
      <c r="A580" s="21"/>
      <c r="B580" s="21"/>
      <c r="C580" s="21"/>
      <c r="D580" s="21"/>
      <c r="F580" s="21"/>
      <c r="G580" s="21"/>
      <c r="H580" s="21"/>
      <c r="I580" s="21"/>
    </row>
    <row r="581" spans="1:9" ht="20.25" thickTop="1" thickBot="1">
      <c r="A581" s="59" t="s">
        <v>49</v>
      </c>
      <c r="B581" s="53"/>
      <c r="C581" s="54"/>
      <c r="D581" s="21">
        <f>SUM(D576:D580)</f>
        <v>21000</v>
      </c>
      <c r="F581" s="59" t="s">
        <v>49</v>
      </c>
      <c r="G581" s="53"/>
      <c r="H581" s="54"/>
      <c r="I581" s="21">
        <f>SUM(I576:I580)</f>
        <v>21000</v>
      </c>
    </row>
    <row r="582" spans="1:9" ht="16.5" thickTop="1" thickBot="1"/>
    <row r="583" spans="1:9" ht="20.25" thickTop="1" thickBot="1">
      <c r="A583" s="12" t="s">
        <v>3</v>
      </c>
      <c r="B583" s="12" t="s">
        <v>21</v>
      </c>
      <c r="C583" s="12" t="s">
        <v>24</v>
      </c>
      <c r="D583" s="9">
        <v>45935</v>
      </c>
    </row>
    <row r="584" spans="1:9" ht="20.25" thickTop="1" thickBot="1">
      <c r="A584" s="21" t="s">
        <v>6</v>
      </c>
      <c r="B584" s="21" t="s">
        <v>7</v>
      </c>
      <c r="C584" s="21" t="s">
        <v>8</v>
      </c>
      <c r="D584" s="21" t="s">
        <v>9</v>
      </c>
    </row>
    <row r="585" spans="1:9" ht="20.25" thickTop="1" thickBot="1">
      <c r="A585" s="21">
        <v>1</v>
      </c>
      <c r="B585" s="21">
        <v>500000</v>
      </c>
      <c r="C585" s="21">
        <f>VLOOKUP(A585&amp;"|"&amp;B585,$O$3:$P$17,2,FALSE)</f>
        <v>4000</v>
      </c>
      <c r="D585" s="21">
        <f>VLOOKUP(A585&amp;"|"&amp;B585,$Q$3:$R$17,2,FALSE)</f>
        <v>21000</v>
      </c>
    </row>
    <row r="586" spans="1:9" ht="20.25" thickTop="1" thickBot="1">
      <c r="A586" s="21"/>
      <c r="B586" s="21"/>
      <c r="C586" s="21"/>
      <c r="D586" s="21"/>
    </row>
    <row r="587" spans="1:9" ht="20.25" thickTop="1" thickBot="1">
      <c r="A587" s="21"/>
      <c r="B587" s="21"/>
      <c r="C587" s="21"/>
      <c r="D587" s="21"/>
    </row>
    <row r="588" spans="1:9" ht="20.25" thickTop="1" thickBot="1">
      <c r="A588" s="21"/>
      <c r="B588" s="21"/>
      <c r="C588" s="21"/>
      <c r="D588" s="21"/>
    </row>
    <row r="589" spans="1:9" ht="20.25" thickTop="1" thickBot="1">
      <c r="A589" s="21"/>
      <c r="B589" s="21"/>
      <c r="C589" s="21"/>
      <c r="D589" s="21"/>
    </row>
    <row r="590" spans="1:9" ht="20.25" thickTop="1" thickBot="1">
      <c r="A590" s="59" t="s">
        <v>49</v>
      </c>
      <c r="B590" s="53"/>
      <c r="C590" s="54"/>
      <c r="D590" s="21">
        <f>SUM(D585:D589)</f>
        <v>21000</v>
      </c>
    </row>
    <row r="591" spans="1:9" ht="15.75" thickTop="1"/>
  </sheetData>
  <mergeCells count="64">
    <mergeCell ref="A8:C8"/>
    <mergeCell ref="F8:H8"/>
    <mergeCell ref="A17:C17"/>
    <mergeCell ref="F17:H17"/>
    <mergeCell ref="A26:C26"/>
    <mergeCell ref="F26:H26"/>
    <mergeCell ref="F103:H103"/>
    <mergeCell ref="A35:C35"/>
    <mergeCell ref="F35:H35"/>
    <mergeCell ref="A44:C44"/>
    <mergeCell ref="F44:H44"/>
    <mergeCell ref="A53:C53"/>
    <mergeCell ref="F53:H53"/>
    <mergeCell ref="A62:C62"/>
    <mergeCell ref="F62:H62"/>
    <mergeCell ref="F71:H71"/>
    <mergeCell ref="F85:H85"/>
    <mergeCell ref="F94:H94"/>
    <mergeCell ref="F211:H211"/>
    <mergeCell ref="F112:H112"/>
    <mergeCell ref="F121:H121"/>
    <mergeCell ref="F130:H130"/>
    <mergeCell ref="F139:H139"/>
    <mergeCell ref="F148:H148"/>
    <mergeCell ref="F157:H157"/>
    <mergeCell ref="F166:H166"/>
    <mergeCell ref="F175:H175"/>
    <mergeCell ref="F184:H184"/>
    <mergeCell ref="F193:H193"/>
    <mergeCell ref="F202:H202"/>
    <mergeCell ref="F320:H320"/>
    <mergeCell ref="F220:H220"/>
    <mergeCell ref="F229:H229"/>
    <mergeCell ref="F238:H238"/>
    <mergeCell ref="F247:H247"/>
    <mergeCell ref="F256:H256"/>
    <mergeCell ref="F265:H265"/>
    <mergeCell ref="F274:H274"/>
    <mergeCell ref="F284:H284"/>
    <mergeCell ref="F293:H293"/>
    <mergeCell ref="F302:H302"/>
    <mergeCell ref="F311:H311"/>
    <mergeCell ref="F428:H428"/>
    <mergeCell ref="F329:H329"/>
    <mergeCell ref="F338:H338"/>
    <mergeCell ref="F347:H347"/>
    <mergeCell ref="F356:H356"/>
    <mergeCell ref="F365:H365"/>
    <mergeCell ref="F374:H374"/>
    <mergeCell ref="F383:H383"/>
    <mergeCell ref="F392:H392"/>
    <mergeCell ref="F401:H401"/>
    <mergeCell ref="F410:H410"/>
    <mergeCell ref="F419:H419"/>
    <mergeCell ref="F491:H491"/>
    <mergeCell ref="F500:H500"/>
    <mergeCell ref="F518:H518"/>
    <mergeCell ref="F527:H527"/>
    <mergeCell ref="F437:H437"/>
    <mergeCell ref="F446:H446"/>
    <mergeCell ref="F455:H455"/>
    <mergeCell ref="F464:H464"/>
    <mergeCell ref="F473:H473"/>
    <mergeCell ref="F482:H48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98ABC-6A35-4E2F-B637-DB05EE9C4FF6}">
  <dimension ref="A1:Z537"/>
  <sheetViews>
    <sheetView workbookViewId="0">
      <selection sqref="A1:XFD1048576"/>
    </sheetView>
  </sheetViews>
  <sheetFormatPr defaultRowHeight="15"/>
  <cols>
    <col min="2" max="2" width="20.28515625" customWidth="1"/>
    <col min="3" max="3" width="16.42578125" customWidth="1"/>
    <col min="4" max="4" width="12.28515625" customWidth="1"/>
    <col min="5" max="5" width="1.85546875" customWidth="1"/>
    <col min="7" max="7" width="18.85546875" customWidth="1"/>
    <col min="8" max="8" width="17.42578125" customWidth="1"/>
    <col min="9" max="9" width="14.28515625" customWidth="1"/>
    <col min="10" max="10" width="0.5703125" customWidth="1"/>
    <col min="11" max="11" width="1.42578125" customWidth="1"/>
    <col min="13" max="13" width="10.7109375" customWidth="1"/>
    <col min="15" max="15" width="11.7109375" customWidth="1"/>
    <col min="17" max="17" width="10.7109375" customWidth="1"/>
    <col min="18" max="18" width="11.7109375" customWidth="1"/>
    <col min="19" max="19" width="3" customWidth="1"/>
    <col min="20" max="20" width="9.7109375" customWidth="1"/>
    <col min="23" max="23" width="10" customWidth="1"/>
    <col min="24" max="24" width="10.28515625" customWidth="1"/>
  </cols>
  <sheetData>
    <row r="1" spans="1:26" ht="20.25" thickTop="1" thickBot="1">
      <c r="A1" s="8" t="s">
        <v>0</v>
      </c>
      <c r="B1" s="8" t="s">
        <v>1</v>
      </c>
      <c r="C1" s="8" t="s">
        <v>2</v>
      </c>
      <c r="D1" s="9">
        <v>45907</v>
      </c>
      <c r="E1" s="10"/>
      <c r="F1" s="12" t="s">
        <v>3</v>
      </c>
      <c r="G1" s="12" t="s">
        <v>4</v>
      </c>
      <c r="H1" s="12" t="s">
        <v>5</v>
      </c>
      <c r="I1" s="9">
        <v>45907</v>
      </c>
      <c r="J1" s="13"/>
      <c r="L1" s="1"/>
      <c r="M1" s="1"/>
      <c r="N1" s="14"/>
      <c r="O1" s="15"/>
      <c r="P1" s="16"/>
      <c r="Q1" s="15"/>
      <c r="R1" s="17"/>
      <c r="S1" s="1"/>
      <c r="U1" s="1"/>
      <c r="V1" s="1"/>
      <c r="W1" s="1"/>
      <c r="X1" s="1"/>
      <c r="Y1" s="1"/>
      <c r="Z1" s="1"/>
    </row>
    <row r="2" spans="1:26" ht="46.5" thickTop="1" thickBot="1">
      <c r="A2" s="8" t="s">
        <v>6</v>
      </c>
      <c r="B2" s="8" t="s">
        <v>7</v>
      </c>
      <c r="C2" s="8" t="s">
        <v>8</v>
      </c>
      <c r="D2" s="8" t="s">
        <v>9</v>
      </c>
      <c r="E2" s="10"/>
      <c r="F2" s="21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8">
        <v>16</v>
      </c>
      <c r="B3" s="8">
        <v>1000000</v>
      </c>
      <c r="C3" s="8">
        <f>VLOOKUP(A3&amp;"|"&amp;B3,$O$3:$P$16,2,FALSE)</f>
        <v>750</v>
      </c>
      <c r="D3" s="8">
        <f>VLOOKUP(A3&amp;"|"&amp;B3,$Q$3:$R$16,2,FALSE)</f>
        <v>49250</v>
      </c>
      <c r="E3" s="10"/>
      <c r="F3" s="21">
        <v>16</v>
      </c>
      <c r="G3" s="21">
        <v>500000</v>
      </c>
      <c r="H3" s="21">
        <f>VLOOKUP(F3&amp;"|"&amp;G3,$O$3:$P$19,2,FALSE)</f>
        <v>450</v>
      </c>
      <c r="I3" s="21">
        <f>VLOOKUP(F3&amp;"|"&amp;G3,$Q$3:$R$19,2,FALSE)</f>
        <v>24550</v>
      </c>
      <c r="J3" s="13"/>
      <c r="K3" s="1"/>
      <c r="L3" s="46">
        <v>10</v>
      </c>
      <c r="M3" s="74">
        <v>500000</v>
      </c>
      <c r="N3" s="46">
        <v>36000</v>
      </c>
      <c r="O3" s="46" t="str">
        <f t="shared" ref="O3:O18" si="0">L3&amp;"|"&amp;M3</f>
        <v>10|500000</v>
      </c>
      <c r="P3" s="46">
        <f t="shared" ref="P3:P18" si="1">N3/20</f>
        <v>1800</v>
      </c>
      <c r="Q3" s="46" t="str">
        <f t="shared" ref="Q3:Q18" si="2">L3&amp;"|"&amp;M3</f>
        <v>10|500000</v>
      </c>
      <c r="R3" s="47">
        <f t="shared" ref="R3:R18" si="3">(M3-N3)/20</f>
        <v>23200</v>
      </c>
      <c r="S3" s="1"/>
      <c r="T3" s="49">
        <f>D8</f>
        <v>71250</v>
      </c>
      <c r="U3" s="49" t="str">
        <f>B1</f>
        <v>SOHANJI</v>
      </c>
      <c r="V3" s="49" t="str">
        <f>C1</f>
        <v>ALWN.CO</v>
      </c>
      <c r="W3" s="1"/>
      <c r="X3" s="49">
        <f>I8</f>
        <v>24550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8">
        <v>5</v>
      </c>
      <c r="B4" s="8">
        <v>500000</v>
      </c>
      <c r="C4" s="8">
        <f>VLOOKUP(A4&amp;"|"&amp;B4,$O$3:$P$16,2,FALSE)</f>
        <v>3000</v>
      </c>
      <c r="D4" s="8">
        <f>VLOOKUP(A4&amp;"|"&amp;B4,$Q$3:$R$16,2,FALSE)</f>
        <v>22000</v>
      </c>
      <c r="E4" s="10"/>
      <c r="F4" s="21"/>
      <c r="G4" s="21"/>
      <c r="H4" s="21"/>
      <c r="I4" s="21"/>
      <c r="J4" s="13"/>
      <c r="K4" s="1"/>
      <c r="L4" s="46">
        <v>10</v>
      </c>
      <c r="M4" s="74">
        <v>250000</v>
      </c>
      <c r="N4" s="45">
        <v>18000</v>
      </c>
      <c r="O4" s="46" t="str">
        <f t="shared" si="0"/>
        <v>10|250000</v>
      </c>
      <c r="P4" s="46">
        <f t="shared" si="1"/>
        <v>900</v>
      </c>
      <c r="Q4" s="46" t="str">
        <f t="shared" si="2"/>
        <v>10|250000</v>
      </c>
      <c r="R4" s="47">
        <f t="shared" si="3"/>
        <v>11600</v>
      </c>
      <c r="S4" s="1"/>
      <c r="T4" s="49">
        <f>D17</f>
        <v>24550</v>
      </c>
      <c r="U4" s="49" t="str">
        <f>B10</f>
        <v>JIVARAMJI</v>
      </c>
      <c r="V4" s="49" t="str">
        <f>C10</f>
        <v>YAMJAL</v>
      </c>
      <c r="W4" s="1"/>
      <c r="X4" s="49">
        <f>I17</f>
        <v>24550</v>
      </c>
      <c r="Y4" s="49" t="str">
        <f>G10</f>
        <v>BHAWARJI</v>
      </c>
      <c r="Z4" s="49" t="str">
        <f>H10</f>
        <v>BAJPLY</v>
      </c>
    </row>
    <row r="5" spans="1:26" ht="20.25" thickTop="1" thickBot="1">
      <c r="A5" s="8"/>
      <c r="B5" s="8"/>
      <c r="C5" s="8"/>
      <c r="D5" s="8"/>
      <c r="E5" s="10"/>
      <c r="F5" s="21"/>
      <c r="G5" s="21"/>
      <c r="H5" s="21"/>
      <c r="I5" s="21"/>
      <c r="J5" s="13"/>
      <c r="K5" s="1"/>
      <c r="L5" s="1">
        <v>5</v>
      </c>
      <c r="M5" s="1">
        <v>2000000</v>
      </c>
      <c r="N5" s="1">
        <v>220000</v>
      </c>
      <c r="O5" s="45" t="str">
        <f t="shared" si="0"/>
        <v>5|2000000</v>
      </c>
      <c r="P5" s="46">
        <f t="shared" si="1"/>
        <v>11000</v>
      </c>
      <c r="Q5" s="45" t="str">
        <f t="shared" si="2"/>
        <v>5|2000000</v>
      </c>
      <c r="R5" s="47">
        <f t="shared" si="3"/>
        <v>89000</v>
      </c>
      <c r="S5" s="1"/>
      <c r="T5" s="49">
        <f>D26</f>
        <v>138250</v>
      </c>
      <c r="U5" s="49" t="str">
        <f>B19</f>
        <v>MANGILALJI</v>
      </c>
      <c r="V5" s="49" t="str">
        <f>C19</f>
        <v>BOLARAM</v>
      </c>
      <c r="W5" s="1"/>
      <c r="X5" s="49">
        <f>I26</f>
        <v>147750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8"/>
      <c r="B6" s="8"/>
      <c r="C6" s="8"/>
      <c r="D6" s="8"/>
      <c r="E6" s="10"/>
      <c r="F6" s="21"/>
      <c r="G6" s="21"/>
      <c r="H6" s="21"/>
      <c r="I6" s="21"/>
      <c r="J6" s="13"/>
      <c r="K6" s="1"/>
      <c r="L6" s="48">
        <v>5</v>
      </c>
      <c r="M6" s="45">
        <v>500000</v>
      </c>
      <c r="N6" s="45">
        <v>60000</v>
      </c>
      <c r="O6" s="45" t="str">
        <f t="shared" si="0"/>
        <v>5|500000</v>
      </c>
      <c r="P6" s="46">
        <f t="shared" si="1"/>
        <v>3000</v>
      </c>
      <c r="Q6" s="45" t="str">
        <f t="shared" si="2"/>
        <v>5|500000</v>
      </c>
      <c r="R6" s="47">
        <f t="shared" si="3"/>
        <v>22000</v>
      </c>
      <c r="S6" s="1"/>
      <c r="T6" s="49">
        <f>D35</f>
        <v>146200</v>
      </c>
      <c r="U6" s="49" t="str">
        <f>B28</f>
        <v>KISHANJI</v>
      </c>
      <c r="V6" s="49" t="str">
        <f>C28</f>
        <v>KAMAN</v>
      </c>
      <c r="W6" s="1"/>
      <c r="X6" s="49">
        <f>I35</f>
        <v>22000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8"/>
      <c r="B7" s="8"/>
      <c r="C7" s="8"/>
      <c r="D7" s="8"/>
      <c r="E7" s="10"/>
      <c r="F7" s="21"/>
      <c r="G7" s="21"/>
      <c r="H7" s="21"/>
      <c r="I7" s="21"/>
      <c r="J7" s="13"/>
      <c r="K7" s="1"/>
      <c r="L7" s="48">
        <v>16.100000000000001</v>
      </c>
      <c r="M7" s="45">
        <v>500000</v>
      </c>
      <c r="N7" s="45">
        <v>8000</v>
      </c>
      <c r="O7" s="45" t="str">
        <f t="shared" si="0"/>
        <v>16.1|500000</v>
      </c>
      <c r="P7" s="46">
        <f t="shared" si="1"/>
        <v>400</v>
      </c>
      <c r="Q7" s="46" t="str">
        <f t="shared" si="2"/>
        <v>16.1|500000</v>
      </c>
      <c r="R7" s="47">
        <f t="shared" si="3"/>
        <v>24600</v>
      </c>
      <c r="S7" s="1"/>
      <c r="T7" s="49">
        <f>D44</f>
        <v>23900</v>
      </c>
      <c r="U7" s="49" t="str">
        <f>B37</f>
        <v>BHONARAMJI</v>
      </c>
      <c r="V7" s="49" t="str">
        <f>C37</f>
        <v>G.MAISAMA</v>
      </c>
      <c r="W7" s="1"/>
      <c r="X7" s="49">
        <f>I44</f>
        <v>138250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87" t="s">
        <v>16</v>
      </c>
      <c r="B8" s="88"/>
      <c r="C8" s="89"/>
      <c r="D8" s="8">
        <f>SUM(D3:D7)</f>
        <v>71250</v>
      </c>
      <c r="E8" s="10"/>
      <c r="F8" s="84" t="s">
        <v>16</v>
      </c>
      <c r="G8" s="85"/>
      <c r="H8" s="86"/>
      <c r="I8" s="21">
        <f>SUM(I3:I7)</f>
        <v>24550</v>
      </c>
      <c r="J8" s="13"/>
      <c r="K8" s="1"/>
      <c r="L8" s="48">
        <v>16</v>
      </c>
      <c r="M8" s="45">
        <v>1000000</v>
      </c>
      <c r="N8" s="45">
        <v>15000</v>
      </c>
      <c r="O8" s="45" t="str">
        <f t="shared" si="0"/>
        <v>16|1000000</v>
      </c>
      <c r="P8" s="46">
        <f t="shared" si="1"/>
        <v>750</v>
      </c>
      <c r="Q8" s="45" t="str">
        <f t="shared" si="2"/>
        <v>16|1000000</v>
      </c>
      <c r="R8" s="47">
        <f t="shared" si="3"/>
        <v>49250</v>
      </c>
      <c r="S8" s="1"/>
      <c r="T8" s="49">
        <f>D53</f>
        <v>24600</v>
      </c>
      <c r="U8" s="49" t="str">
        <f>B46</f>
        <v>RAMESHJI</v>
      </c>
      <c r="V8" s="49" t="str">
        <f>C46</f>
        <v>HITECH</v>
      </c>
      <c r="W8" s="1"/>
      <c r="X8" s="49">
        <f>I53</f>
        <v>23850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41"/>
      <c r="B9" s="40"/>
      <c r="C9" s="41"/>
      <c r="D9" s="41"/>
      <c r="E9" s="42"/>
      <c r="F9" s="42"/>
      <c r="G9" s="42"/>
      <c r="H9" s="42"/>
      <c r="I9" s="42"/>
      <c r="J9" s="13"/>
      <c r="K9" s="1"/>
      <c r="L9" s="48">
        <v>16.100000000000001</v>
      </c>
      <c r="M9" s="45">
        <v>1000000</v>
      </c>
      <c r="N9" s="45">
        <v>15000</v>
      </c>
      <c r="O9" s="45" t="str">
        <f t="shared" si="0"/>
        <v>16.1|1000000</v>
      </c>
      <c r="P9" s="46">
        <f t="shared" si="1"/>
        <v>750</v>
      </c>
      <c r="Q9" s="45" t="str">
        <f t="shared" si="2"/>
        <v>16.1|1000000</v>
      </c>
      <c r="R9" s="47">
        <f t="shared" si="3"/>
        <v>49250</v>
      </c>
      <c r="S9" s="1"/>
      <c r="T9" s="49">
        <f>D62</f>
        <v>74250</v>
      </c>
      <c r="U9" s="49" t="str">
        <f>B55</f>
        <v>SOHANJI</v>
      </c>
      <c r="V9" s="49" t="str">
        <f>C55</f>
        <v>KOTLAPUR</v>
      </c>
      <c r="W9" s="1"/>
      <c r="X9" s="49">
        <f>I62</f>
        <v>47000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1" t="s">
        <v>0</v>
      </c>
      <c r="B10" s="21" t="s">
        <v>17</v>
      </c>
      <c r="C10" s="21" t="s">
        <v>18</v>
      </c>
      <c r="D10" s="9">
        <v>45907</v>
      </c>
      <c r="E10" s="10"/>
      <c r="F10" s="21" t="s">
        <v>0</v>
      </c>
      <c r="G10" s="21" t="s">
        <v>19</v>
      </c>
      <c r="H10" s="21" t="s">
        <v>20</v>
      </c>
      <c r="I10" s="9">
        <v>45907</v>
      </c>
      <c r="J10" s="44"/>
      <c r="K10" s="1"/>
      <c r="L10" s="48">
        <v>13</v>
      </c>
      <c r="M10" s="45">
        <v>500000</v>
      </c>
      <c r="N10" s="45">
        <v>23000</v>
      </c>
      <c r="O10" s="45" t="str">
        <f t="shared" si="0"/>
        <v>13|500000</v>
      </c>
      <c r="P10" s="46">
        <f t="shared" si="1"/>
        <v>1150</v>
      </c>
      <c r="Q10" s="45" t="str">
        <f t="shared" si="2"/>
        <v>13|500000</v>
      </c>
      <c r="R10" s="47">
        <f t="shared" si="3"/>
        <v>23850</v>
      </c>
      <c r="S10" s="1"/>
      <c r="T10" s="49">
        <f>D71</f>
        <v>113600</v>
      </c>
      <c r="U10" s="49" t="str">
        <f>B64</f>
        <v>KUNARAMJI</v>
      </c>
      <c r="V10" s="49" t="str">
        <f>C64</f>
        <v>GANDHI NGR</v>
      </c>
      <c r="W10" s="1"/>
      <c r="X10" s="49">
        <f>I71</f>
        <v>46600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1" t="s">
        <v>6</v>
      </c>
      <c r="B11" s="21" t="s">
        <v>7</v>
      </c>
      <c r="C11" s="21" t="s">
        <v>8</v>
      </c>
      <c r="D11" s="21" t="s">
        <v>9</v>
      </c>
      <c r="E11" s="10"/>
      <c r="F11" s="21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48">
        <v>20</v>
      </c>
      <c r="M11" s="45">
        <v>500000</v>
      </c>
      <c r="N11" s="45">
        <v>0</v>
      </c>
      <c r="O11" s="45" t="str">
        <f t="shared" si="0"/>
        <v>20|500000</v>
      </c>
      <c r="P11" s="46">
        <f t="shared" si="1"/>
        <v>0</v>
      </c>
      <c r="Q11" s="45" t="str">
        <f t="shared" si="2"/>
        <v>20|500000</v>
      </c>
      <c r="R11" s="47">
        <f t="shared" si="3"/>
        <v>25000</v>
      </c>
      <c r="S11" s="1"/>
      <c r="T11" s="49">
        <f>D85</f>
        <v>336000</v>
      </c>
      <c r="U11" s="49" t="str">
        <f>B73</f>
        <v>MATAJI</v>
      </c>
      <c r="V11" s="49" t="str">
        <f>C73</f>
        <v>G.R</v>
      </c>
      <c r="W11" s="1"/>
      <c r="X11" s="49">
        <f>I85</f>
        <v>319600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21">
        <v>16</v>
      </c>
      <c r="B12" s="21">
        <v>500000</v>
      </c>
      <c r="C12" s="21">
        <f>VLOOKUP(A12&amp;"|"&amp;B12,$O$3:$P$16,2,FALSE)</f>
        <v>450</v>
      </c>
      <c r="D12" s="21">
        <f>VLOOKUP(A12&amp;"|"&amp;B12,$Q$3:$R$16,2,FALSE)</f>
        <v>24550</v>
      </c>
      <c r="E12" s="10"/>
      <c r="F12" s="21">
        <v>16</v>
      </c>
      <c r="G12" s="21">
        <v>500000</v>
      </c>
      <c r="H12" s="21">
        <f>VLOOKUP(F12&amp;"|"&amp;G12,$O$3:$P$16,2,FALSE)</f>
        <v>450</v>
      </c>
      <c r="I12" s="21">
        <f>VLOOKUP(F12&amp;"|"&amp;G12,$Q$3:$R$16,2,FALSE)</f>
        <v>24550</v>
      </c>
      <c r="J12" s="13"/>
      <c r="K12" s="1"/>
      <c r="L12" s="48">
        <v>20</v>
      </c>
      <c r="M12" s="45">
        <v>1000000</v>
      </c>
      <c r="N12" s="45">
        <v>0</v>
      </c>
      <c r="O12" s="45" t="str">
        <f t="shared" si="0"/>
        <v>20|1000000</v>
      </c>
      <c r="P12" s="46">
        <f t="shared" si="1"/>
        <v>0</v>
      </c>
      <c r="Q12" s="45" t="str">
        <f t="shared" si="2"/>
        <v>20|1000000</v>
      </c>
      <c r="R12" s="47">
        <f t="shared" si="3"/>
        <v>50000</v>
      </c>
      <c r="S12" s="1"/>
      <c r="T12" s="49">
        <f>D94</f>
        <v>277250</v>
      </c>
      <c r="U12" s="49" t="str">
        <f>B87</f>
        <v>MOHANLALJI</v>
      </c>
      <c r="V12" s="49" t="str">
        <f>C87</f>
        <v>SNT.NAGAR</v>
      </c>
      <c r="W12" s="1"/>
      <c r="X12" s="49">
        <f>I94</f>
        <v>24600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1"/>
      <c r="B13" s="21"/>
      <c r="C13" s="21"/>
      <c r="D13" s="21"/>
      <c r="E13" s="10"/>
      <c r="F13" s="21"/>
      <c r="G13" s="21"/>
      <c r="H13" s="21"/>
      <c r="I13" s="21"/>
      <c r="J13" s="13"/>
      <c r="K13" s="1"/>
      <c r="L13" s="48">
        <v>20.100000000000001</v>
      </c>
      <c r="M13" s="1">
        <v>500000</v>
      </c>
      <c r="N13" s="1">
        <v>0</v>
      </c>
      <c r="O13" s="45" t="str">
        <f t="shared" si="0"/>
        <v>20.1|500000</v>
      </c>
      <c r="P13" s="46">
        <f t="shared" si="1"/>
        <v>0</v>
      </c>
      <c r="Q13" s="45" t="str">
        <f t="shared" si="2"/>
        <v>20.1|500000</v>
      </c>
      <c r="R13" s="47">
        <f t="shared" si="3"/>
        <v>25000</v>
      </c>
      <c r="S13" s="1"/>
      <c r="T13" s="49">
        <f>D103</f>
        <v>46550</v>
      </c>
      <c r="U13" s="49" t="str">
        <f>B96</f>
        <v>PRAKASHJI</v>
      </c>
      <c r="V13" s="49" t="str">
        <f>C96</f>
        <v>KONDAPUR</v>
      </c>
      <c r="W13" s="1"/>
      <c r="X13" s="49">
        <f>I103</f>
        <v>148450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1"/>
      <c r="B14" s="21"/>
      <c r="C14" s="21"/>
      <c r="D14" s="21"/>
      <c r="E14" s="10"/>
      <c r="F14" s="21"/>
      <c r="G14" s="21"/>
      <c r="H14" s="21"/>
      <c r="I14" s="21"/>
      <c r="J14" s="13" t="s">
        <v>182</v>
      </c>
      <c r="K14" s="1"/>
      <c r="L14" s="48">
        <v>5</v>
      </c>
      <c r="M14" s="45">
        <v>1000000</v>
      </c>
      <c r="N14" s="45">
        <v>111000</v>
      </c>
      <c r="O14" s="45" t="str">
        <f t="shared" si="0"/>
        <v>5|1000000</v>
      </c>
      <c r="P14" s="46">
        <f t="shared" si="1"/>
        <v>5550</v>
      </c>
      <c r="Q14" s="45" t="str">
        <f t="shared" si="2"/>
        <v>5|1000000</v>
      </c>
      <c r="R14" s="47">
        <f t="shared" si="3"/>
        <v>44450</v>
      </c>
      <c r="S14" s="1"/>
      <c r="T14" s="49">
        <f>D112</f>
        <v>24550</v>
      </c>
      <c r="U14" s="49" t="str">
        <f>B105</f>
        <v>NARAYANJI</v>
      </c>
      <c r="V14" s="49" t="str">
        <f>C105</f>
        <v>SHAPUR</v>
      </c>
      <c r="W14" s="1"/>
      <c r="X14" s="49">
        <f>I112</f>
        <v>162800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1"/>
      <c r="B15" s="21"/>
      <c r="C15" s="21"/>
      <c r="D15" s="21"/>
      <c r="E15" s="10"/>
      <c r="F15" s="21"/>
      <c r="G15" s="21"/>
      <c r="H15" s="21"/>
      <c r="I15" s="21"/>
      <c r="J15" s="13"/>
      <c r="K15" s="1"/>
      <c r="L15" s="75">
        <v>16</v>
      </c>
      <c r="M15" s="45">
        <v>500000</v>
      </c>
      <c r="N15" s="45">
        <v>9000</v>
      </c>
      <c r="O15" s="45" t="str">
        <f t="shared" si="0"/>
        <v>16|500000</v>
      </c>
      <c r="P15" s="46">
        <f t="shared" si="1"/>
        <v>450</v>
      </c>
      <c r="Q15" s="45" t="str">
        <f t="shared" si="2"/>
        <v>16|500000</v>
      </c>
      <c r="R15" s="47">
        <f t="shared" si="3"/>
        <v>24550</v>
      </c>
      <c r="S15" s="1"/>
      <c r="T15" s="49">
        <f>D121</f>
        <v>95950</v>
      </c>
      <c r="U15" s="49" t="str">
        <f>B114</f>
        <v>CHENARAMJI</v>
      </c>
      <c r="V15" s="49" t="str">
        <f>C114</f>
        <v>KOTLAPUR</v>
      </c>
      <c r="W15" s="1"/>
      <c r="X15" s="49">
        <f>I121</f>
        <v>138250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1"/>
      <c r="B16" s="21"/>
      <c r="C16" s="21"/>
      <c r="D16" s="21"/>
      <c r="E16" s="2"/>
      <c r="F16" s="21"/>
      <c r="G16" s="21"/>
      <c r="H16" s="21"/>
      <c r="I16" s="21"/>
      <c r="J16" s="13"/>
      <c r="K16" s="1"/>
      <c r="L16" s="45">
        <v>5.0999999999999996</v>
      </c>
      <c r="M16" s="46">
        <v>1000000</v>
      </c>
      <c r="N16" s="45">
        <v>110000</v>
      </c>
      <c r="O16" s="45" t="str">
        <f t="shared" si="0"/>
        <v>5.1|1000000</v>
      </c>
      <c r="P16" s="46">
        <f t="shared" si="1"/>
        <v>5500</v>
      </c>
      <c r="Q16" s="45" t="str">
        <f t="shared" si="2"/>
        <v>5.1|1000000</v>
      </c>
      <c r="R16" s="47">
        <f t="shared" si="3"/>
        <v>44500</v>
      </c>
      <c r="S16" s="1"/>
      <c r="T16" s="49">
        <f>D130</f>
        <v>113550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120650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84" t="s">
        <v>16</v>
      </c>
      <c r="B17" s="85"/>
      <c r="C17" s="86"/>
      <c r="D17" s="8">
        <f>SUM(D12:D16)</f>
        <v>24550</v>
      </c>
      <c r="E17" s="2"/>
      <c r="F17" s="84" t="s">
        <v>16</v>
      </c>
      <c r="G17" s="85"/>
      <c r="H17" s="86"/>
      <c r="I17" s="21">
        <f>SUM(I12:I13)</f>
        <v>24550</v>
      </c>
      <c r="J17" s="13"/>
      <c r="K17" s="1"/>
      <c r="L17" s="48"/>
      <c r="M17" s="1"/>
      <c r="N17" s="1"/>
      <c r="O17" s="45"/>
      <c r="P17" s="46"/>
      <c r="Q17" s="45"/>
      <c r="R17" s="47"/>
      <c r="S17" s="1"/>
      <c r="T17" s="49">
        <f>D139</f>
        <v>49550</v>
      </c>
      <c r="U17" s="49" t="str">
        <f>B132</f>
        <v>BHUNDARAMJI</v>
      </c>
      <c r="V17" s="49" t="str">
        <f>C132</f>
        <v>MIYAPUR</v>
      </c>
      <c r="W17" s="1"/>
      <c r="X17" s="49">
        <f>I139</f>
        <v>24550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"/>
      <c r="B18" s="3"/>
      <c r="C18" s="3"/>
      <c r="D18" s="3"/>
      <c r="E18" s="3"/>
      <c r="F18" s="42"/>
      <c r="G18" s="42"/>
      <c r="H18" s="42"/>
      <c r="I18" s="42"/>
      <c r="J18" s="13"/>
      <c r="K18" s="1"/>
      <c r="L18" s="48">
        <v>16</v>
      </c>
      <c r="M18" s="1">
        <v>250000</v>
      </c>
      <c r="N18" s="1">
        <v>4000</v>
      </c>
      <c r="O18" s="45" t="str">
        <f t="shared" si="0"/>
        <v>16|250000</v>
      </c>
      <c r="P18" s="46">
        <f t="shared" si="1"/>
        <v>200</v>
      </c>
      <c r="Q18" s="45" t="str">
        <f t="shared" si="2"/>
        <v>16|250000</v>
      </c>
      <c r="R18" s="47">
        <f t="shared" si="3"/>
        <v>12300</v>
      </c>
      <c r="S18" s="1"/>
      <c r="T18" s="49">
        <f>D148</f>
        <v>121600</v>
      </c>
      <c r="U18" s="49" t="str">
        <f>B141</f>
        <v>POKARJI</v>
      </c>
      <c r="V18" s="49" t="str">
        <f>C141</f>
        <v>J GUTTA</v>
      </c>
      <c r="W18" s="1"/>
      <c r="X18" s="49">
        <f>I148</f>
        <v>100000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1" t="s">
        <v>0</v>
      </c>
      <c r="B19" s="21" t="s">
        <v>21</v>
      </c>
      <c r="C19" s="21" t="s">
        <v>22</v>
      </c>
      <c r="D19" s="9">
        <v>45907</v>
      </c>
      <c r="E19" s="2"/>
      <c r="F19" s="21" t="s">
        <v>0</v>
      </c>
      <c r="G19" s="21" t="s">
        <v>23</v>
      </c>
      <c r="H19" s="21" t="s">
        <v>24</v>
      </c>
      <c r="I19" s="9">
        <v>45907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50000</v>
      </c>
      <c r="U19" s="49" t="str">
        <f>B150</f>
        <v>AKASHJI</v>
      </c>
      <c r="V19" s="49" t="str">
        <f>C150</f>
        <v>SNGAREDDY</v>
      </c>
      <c r="W19" s="1"/>
      <c r="X19" s="49">
        <f>I157</f>
        <v>73400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1" t="s">
        <v>6</v>
      </c>
      <c r="B20" s="21" t="s">
        <v>7</v>
      </c>
      <c r="C20" s="21" t="s">
        <v>8</v>
      </c>
      <c r="D20" s="21" t="s">
        <v>9</v>
      </c>
      <c r="E20" s="2"/>
      <c r="F20" s="21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49250</v>
      </c>
      <c r="U20" s="49" t="str">
        <f>B159</f>
        <v>HARISINGHJI</v>
      </c>
      <c r="V20" s="49" t="str">
        <f>C159</f>
        <v>RAMARAM</v>
      </c>
      <c r="W20" s="1"/>
      <c r="X20" s="49">
        <f>I166</f>
        <v>49250</v>
      </c>
      <c r="Y20" s="49" t="str">
        <f>G159</f>
        <v>MANGILALJI</v>
      </c>
      <c r="Z20" s="49" t="str">
        <f>H159</f>
        <v>MALLAPUR</v>
      </c>
    </row>
    <row r="21" spans="1:26" ht="20.25" thickTop="1" thickBot="1">
      <c r="A21" s="21">
        <v>16</v>
      </c>
      <c r="B21" s="21">
        <v>1000000</v>
      </c>
      <c r="C21" s="21">
        <f>VLOOKUP(A21&amp;"|"&amp;B21,$O$3:$P$16,2,FALSE)</f>
        <v>750</v>
      </c>
      <c r="D21" s="21">
        <f>VLOOKUP(A21&amp;"|"&amp;B21,$Q$3:$R$16,2,FALSE)</f>
        <v>49250</v>
      </c>
      <c r="E21" s="2"/>
      <c r="F21" s="21">
        <v>16</v>
      </c>
      <c r="G21" s="21">
        <v>1000000</v>
      </c>
      <c r="H21" s="21">
        <f>VLOOKUP(F21&amp;"|"&amp;G21,$O$3:$P$16,2,FALSE)</f>
        <v>750</v>
      </c>
      <c r="I21" s="21">
        <f>VLOOKUP(F21&amp;"|"&amp;G21,$Q$3:$R$16,2,FALSE)</f>
        <v>49250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536)</f>
        <v>4221800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527,)</f>
        <v>3788800</v>
      </c>
      <c r="S21" s="1"/>
      <c r="T21" s="49">
        <f>D175</f>
        <v>93700</v>
      </c>
      <c r="U21" s="49" t="str">
        <f>B168</f>
        <v>BHORARAMJI</v>
      </c>
      <c r="V21" s="49" t="str">
        <f>C168</f>
        <v>MIYAPUR</v>
      </c>
      <c r="W21" s="1"/>
      <c r="X21" s="49">
        <f>I175</f>
        <v>72450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1">
        <v>5</v>
      </c>
      <c r="B22" s="21">
        <v>2000000</v>
      </c>
      <c r="C22" s="21">
        <f>VLOOKUP(A22&amp;"|"&amp;B22,$O$3:$P$17,2,FALSE)</f>
        <v>11000</v>
      </c>
      <c r="D22" s="21">
        <f>VLOOKUP(A22&amp;"|"&amp;B22,$Q$3:$R$17,2,FALSE)</f>
        <v>89000</v>
      </c>
      <c r="E22" s="2"/>
      <c r="F22" s="21">
        <v>16.100000000000001</v>
      </c>
      <c r="G22" s="21">
        <v>1000000</v>
      </c>
      <c r="H22" s="21">
        <f>VLOOKUP(F22&amp;"|"&amp;G22,$O$3:$P$16,2,FALSE)</f>
        <v>750</v>
      </c>
      <c r="I22" s="21">
        <f>VLOOKUP(F22&amp;"|"&amp;G22,$Q$3:$R$16,2,FALSE)</f>
        <v>49250</v>
      </c>
      <c r="J22" s="1"/>
      <c r="K22" s="1"/>
      <c r="L22" s="1"/>
      <c r="M22" s="1"/>
      <c r="N22" s="1"/>
      <c r="O22" s="76"/>
      <c r="P22" s="1"/>
      <c r="Q22" s="1"/>
      <c r="R22" s="1"/>
      <c r="S22" s="1"/>
      <c r="T22" s="49">
        <f>D184</f>
        <v>112850</v>
      </c>
      <c r="U22" s="49" t="str">
        <f>B177</f>
        <v>MADARAMJI</v>
      </c>
      <c r="V22" s="49" t="str">
        <f>C177</f>
        <v>SHAPUR</v>
      </c>
      <c r="W22" s="1"/>
      <c r="X22" s="49">
        <f>I184</f>
        <v>49250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1"/>
      <c r="B23" s="21"/>
      <c r="C23" s="21"/>
      <c r="D23" s="21"/>
      <c r="E23" s="2"/>
      <c r="F23" s="21">
        <v>16.100000000000001</v>
      </c>
      <c r="G23" s="21">
        <v>1000000</v>
      </c>
      <c r="H23" s="21">
        <f>VLOOKUP(F23&amp;"|"&amp;G23,$O$3:$P$16,2,FALSE)</f>
        <v>750</v>
      </c>
      <c r="I23" s="21">
        <f>VLOOKUP(F23&amp;"|"&amp;G23,$Q$3:$R$16,2,FALSE)</f>
        <v>49250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49">
        <f>D193</f>
        <v>99250</v>
      </c>
      <c r="U23" s="49" t="str">
        <f>B186</f>
        <v>GENARAMJI</v>
      </c>
      <c r="V23" s="49" t="str">
        <f>C186</f>
        <v>J GUTTA</v>
      </c>
      <c r="W23" s="1"/>
      <c r="X23" s="49">
        <f>I193</f>
        <v>24600</v>
      </c>
      <c r="Y23" s="49" t="str">
        <f>G186</f>
        <v>NARENDRAJI</v>
      </c>
      <c r="Z23" s="49" t="str">
        <f>H186</f>
        <v>SACHINJI</v>
      </c>
    </row>
    <row r="24" spans="1:26" ht="20.25" thickTop="1" thickBot="1">
      <c r="A24" s="21"/>
      <c r="B24" s="21"/>
      <c r="C24" s="21"/>
      <c r="D24" s="21"/>
      <c r="E24" s="2"/>
      <c r="F24" s="21"/>
      <c r="G24" s="21"/>
      <c r="H24" s="21"/>
      <c r="I24" s="21"/>
      <c r="J24" s="1"/>
      <c r="K24" s="1"/>
      <c r="L24" s="1"/>
      <c r="M24" s="1"/>
      <c r="N24" s="1" t="s">
        <v>26</v>
      </c>
      <c r="O24" s="49">
        <f>SUM(O21,R21)</f>
        <v>8010600</v>
      </c>
      <c r="P24" s="1"/>
      <c r="Q24" s="1"/>
      <c r="R24" s="1"/>
      <c r="S24" s="1"/>
      <c r="T24" s="49">
        <f>D202</f>
        <v>93700</v>
      </c>
      <c r="U24" s="49" t="str">
        <f>B195</f>
        <v>HONARAMJI</v>
      </c>
      <c r="V24" s="49" t="str">
        <f>C195</f>
        <v>RAMARAM</v>
      </c>
      <c r="W24" s="1"/>
      <c r="X24" s="49">
        <f>I202</f>
        <v>49200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1"/>
      <c r="B25" s="21"/>
      <c r="C25" s="21"/>
      <c r="D25" s="21"/>
      <c r="E25" s="2"/>
      <c r="F25" s="21"/>
      <c r="G25" s="21"/>
      <c r="H25" s="21"/>
      <c r="I25" s="21"/>
      <c r="J25" s="1"/>
      <c r="K25" s="1"/>
      <c r="L25" s="1"/>
      <c r="M25" s="1" t="s">
        <v>182</v>
      </c>
      <c r="N25" s="1"/>
      <c r="O25" s="1"/>
      <c r="P25" s="1"/>
      <c r="Q25" s="1"/>
      <c r="R25" s="1"/>
      <c r="S25" s="1"/>
      <c r="T25" s="49">
        <f>D211</f>
        <v>98500</v>
      </c>
      <c r="U25" s="49" t="str">
        <f>B204</f>
        <v>KAILASHJI</v>
      </c>
      <c r="V25" s="49" t="str">
        <f>C204</f>
        <v>SHIVAMPET</v>
      </c>
      <c r="W25" s="1"/>
      <c r="X25" s="49">
        <f>I211</f>
        <v>69450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84" t="s">
        <v>16</v>
      </c>
      <c r="B26" s="85"/>
      <c r="C26" s="86"/>
      <c r="D26" s="8">
        <f>SUM(D21:D25)</f>
        <v>138250</v>
      </c>
      <c r="E26" s="2"/>
      <c r="F26" s="84" t="s">
        <v>27</v>
      </c>
      <c r="G26" s="85"/>
      <c r="H26" s="86"/>
      <c r="I26" s="21">
        <f>SUM(I21:I25)</f>
        <v>147750</v>
      </c>
      <c r="J26" s="1"/>
      <c r="K26" s="1"/>
      <c r="L26" s="1"/>
      <c r="M26" s="1"/>
      <c r="N26" s="1"/>
      <c r="O26" s="49"/>
      <c r="P26" s="1"/>
      <c r="Q26" s="1"/>
      <c r="R26" s="1"/>
      <c r="S26" s="1"/>
      <c r="T26" s="49">
        <f>D220</f>
        <v>25000</v>
      </c>
      <c r="U26" s="49" t="str">
        <f>B213</f>
        <v>PRAKASHJI</v>
      </c>
      <c r="V26" s="49" t="str">
        <f>C213</f>
        <v>GUTTA</v>
      </c>
      <c r="W26" s="1"/>
      <c r="X26" s="49">
        <f>I220</f>
        <v>48850</v>
      </c>
      <c r="Y26" s="49" t="str">
        <f>G213</f>
        <v>RAMESHJI</v>
      </c>
      <c r="Z26" s="49" t="str">
        <f>H213</f>
        <v>RR NAGAR</v>
      </c>
    </row>
    <row r="27" spans="1:26" ht="16.5" thickTop="1" thickBo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23200</v>
      </c>
      <c r="U27" s="49" t="str">
        <f>B222</f>
        <v>GENARAMJI</v>
      </c>
      <c r="V27" s="49" t="str">
        <f>C222</f>
        <v>RAMARAM</v>
      </c>
      <c r="W27" s="1"/>
      <c r="X27" s="49">
        <f>I229</f>
        <v>23200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1" t="s">
        <v>0</v>
      </c>
      <c r="B28" s="21" t="s">
        <v>187</v>
      </c>
      <c r="C28" s="21" t="s">
        <v>28</v>
      </c>
      <c r="D28" s="9">
        <v>45907</v>
      </c>
      <c r="E28" s="2"/>
      <c r="F28" s="21" t="s">
        <v>0</v>
      </c>
      <c r="G28" s="21" t="s">
        <v>29</v>
      </c>
      <c r="H28" s="21" t="s">
        <v>30</v>
      </c>
      <c r="I28" s="9">
        <v>45907</v>
      </c>
      <c r="J28" s="1"/>
      <c r="K28" s="1"/>
      <c r="L28" s="1"/>
      <c r="M28" s="1"/>
      <c r="O28" s="1"/>
      <c r="P28" s="1"/>
      <c r="Q28" s="1"/>
      <c r="R28" s="1"/>
      <c r="S28" s="1"/>
      <c r="T28" s="49">
        <f>D238</f>
        <v>22000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89000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1" t="s">
        <v>6</v>
      </c>
      <c r="B29" s="21" t="s">
        <v>7</v>
      </c>
      <c r="C29" s="21" t="s">
        <v>8</v>
      </c>
      <c r="D29" s="21" t="s">
        <v>9</v>
      </c>
      <c r="E29" s="2"/>
      <c r="F29" s="21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44450</v>
      </c>
      <c r="U29" s="49" t="str">
        <f>B240</f>
        <v>RUPARAMJI</v>
      </c>
      <c r="V29" s="49" t="str">
        <f>C240</f>
        <v>MIYAPUR</v>
      </c>
      <c r="W29" s="1"/>
      <c r="X29" s="49">
        <f>I247</f>
        <v>186700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21">
        <v>16.100000000000001</v>
      </c>
      <c r="B30" s="21">
        <v>1000000</v>
      </c>
      <c r="C30" s="21">
        <f>VLOOKUP(A30&amp;"|"&amp;B30,$O$3:$P$16,2,FALSE)</f>
        <v>750</v>
      </c>
      <c r="D30" s="21">
        <f>VLOOKUP(A30&amp;"|"&amp;B30,$Q$3:$R$16,2,FALSE)</f>
        <v>49250</v>
      </c>
      <c r="E30" s="2"/>
      <c r="F30" s="21">
        <v>5</v>
      </c>
      <c r="G30" s="21">
        <v>500000</v>
      </c>
      <c r="H30" s="21">
        <f>VLOOKUP(F30&amp;"|"&amp;G30,$O$3:$P$16,2,FALSE)</f>
        <v>3000</v>
      </c>
      <c r="I30" s="21">
        <f>VLOOKUP(F30&amp;"|"&amp;G30,$Q$3:$R$16,2,FALSE)</f>
        <v>22000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49">
        <f>D256</f>
        <v>100000</v>
      </c>
      <c r="U30" s="49" t="str">
        <f>B249</f>
        <v>OMJI</v>
      </c>
      <c r="V30" s="49" t="str">
        <f>C249</f>
        <v>IDPL</v>
      </c>
      <c r="W30" s="1"/>
      <c r="X30" s="49">
        <f>I256</f>
        <v>23200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21">
        <v>13</v>
      </c>
      <c r="B31" s="21">
        <v>500000</v>
      </c>
      <c r="C31" s="21">
        <f>VLOOKUP(A31&amp;"|"&amp;B31,$O$3:$P$16,2,FALSE)</f>
        <v>1150</v>
      </c>
      <c r="D31" s="21">
        <f>VLOOKUP(A31&amp;"|"&amp;B31,$Q$3:$R$16,2,FALSE)</f>
        <v>23850</v>
      </c>
      <c r="E31" s="2"/>
      <c r="F31" s="21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69000</v>
      </c>
      <c r="U31" s="49" t="str">
        <f>B258</f>
        <v>HEMARAMJI</v>
      </c>
      <c r="V31" s="49" t="str">
        <f>C258</f>
        <v>YAMJAL</v>
      </c>
      <c r="W31" s="1"/>
      <c r="X31" s="49">
        <f>I265</f>
        <v>25000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21">
        <v>13</v>
      </c>
      <c r="B32" s="21">
        <v>500000</v>
      </c>
      <c r="C32" s="21">
        <f>VLOOKUP(A32&amp;"|"&amp;B32,$O$3:$P$16,2,FALSE)</f>
        <v>1150</v>
      </c>
      <c r="D32" s="21">
        <f>VLOOKUP(A32&amp;"|"&amp;B32,$Q$3:$R$16,2,FALSE)</f>
        <v>23850</v>
      </c>
      <c r="E32" s="2"/>
      <c r="F32" s="21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22000</v>
      </c>
      <c r="U32" s="49" t="str">
        <f>B267</f>
        <v>DURGARAMJI</v>
      </c>
      <c r="V32" s="49" t="str">
        <f>C267</f>
        <v>RAMARAM</v>
      </c>
      <c r="W32" s="1"/>
      <c r="X32" s="49">
        <f>I274</f>
        <v>22000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21">
        <v>16.100000000000001</v>
      </c>
      <c r="B33" s="21">
        <v>1000000</v>
      </c>
      <c r="C33" s="21">
        <f>VLOOKUP(A33&amp;"|"&amp;B33,$O$3:$P$16,2,FALSE)</f>
        <v>750</v>
      </c>
      <c r="D33" s="21">
        <f>VLOOKUP(A33&amp;"|"&amp;B33,$Q$3:$R$16,2,FALSE)</f>
        <v>49250</v>
      </c>
      <c r="E33" s="2"/>
      <c r="F33" s="21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94450</v>
      </c>
      <c r="U33" s="49" t="str">
        <f>B276</f>
        <v>DHANARAMJI</v>
      </c>
      <c r="V33" s="49" t="str">
        <f>C276</f>
        <v>KAMAN</v>
      </c>
      <c r="W33" s="1"/>
      <c r="X33" s="49">
        <f>I284</f>
        <v>184800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1"/>
      <c r="B34" s="21"/>
      <c r="C34" s="21"/>
      <c r="D34" s="21"/>
      <c r="E34" s="2"/>
      <c r="F34" s="21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161000</v>
      </c>
      <c r="U34" s="49" t="str">
        <f>B286</f>
        <v>KHUSHVIRJI</v>
      </c>
      <c r="V34" s="49" t="str">
        <f>C286</f>
        <v>MEDCHAL</v>
      </c>
      <c r="W34" s="1"/>
      <c r="X34" s="49">
        <f>I293</f>
        <v>115350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84" t="s">
        <v>16</v>
      </c>
      <c r="B35" s="85"/>
      <c r="C35" s="86"/>
      <c r="D35" s="8">
        <f>SUM(D30:D34)</f>
        <v>146200</v>
      </c>
      <c r="E35" s="2"/>
      <c r="F35" s="84" t="s">
        <v>16</v>
      </c>
      <c r="G35" s="85"/>
      <c r="H35" s="86"/>
      <c r="I35" s="21">
        <f>SUM(I30:I34)</f>
        <v>22000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162100</v>
      </c>
      <c r="U35" s="49" t="str">
        <f>B295</f>
        <v>MUNJI</v>
      </c>
      <c r="V35" s="49" t="str">
        <f>C295</f>
        <v>RAMARAM</v>
      </c>
      <c r="W35" s="1"/>
      <c r="X35" s="49">
        <f>I302</f>
        <v>133450</v>
      </c>
      <c r="Y35" s="49" t="str">
        <f>G295</f>
        <v>JAIRUPRAMJI</v>
      </c>
      <c r="Z35" s="49" t="str">
        <f>H295</f>
        <v>RMTPUR</v>
      </c>
    </row>
    <row r="36" spans="1:26" ht="16.5" thickTop="1" thickBo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94450</v>
      </c>
      <c r="U36" s="49" t="str">
        <f>B304</f>
        <v>RAMESHJI</v>
      </c>
      <c r="V36" s="49" t="str">
        <f>C304</f>
        <v>ALWN COL</v>
      </c>
      <c r="W36" s="1"/>
      <c r="X36" s="49">
        <f>I311</f>
        <v>44450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1" t="s">
        <v>0</v>
      </c>
      <c r="B37" s="21" t="s">
        <v>31</v>
      </c>
      <c r="C37" s="21" t="s">
        <v>32</v>
      </c>
      <c r="D37" s="9">
        <v>45907</v>
      </c>
      <c r="E37" s="2"/>
      <c r="F37" s="21" t="s">
        <v>0</v>
      </c>
      <c r="G37" s="21" t="s">
        <v>33</v>
      </c>
      <c r="H37" s="21" t="s">
        <v>34</v>
      </c>
      <c r="I37" s="9">
        <v>45907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45200</v>
      </c>
      <c r="U37" s="49" t="str">
        <f>B313</f>
        <v>OM</v>
      </c>
      <c r="V37" s="49" t="str">
        <f>C313</f>
        <v>J GUTTA</v>
      </c>
      <c r="W37" s="1"/>
      <c r="X37" s="49">
        <f>I320</f>
        <v>24550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1" t="s">
        <v>6</v>
      </c>
      <c r="B38" s="21" t="s">
        <v>7</v>
      </c>
      <c r="C38" s="21" t="s">
        <v>8</v>
      </c>
      <c r="D38" s="21" t="s">
        <v>9</v>
      </c>
      <c r="E38" s="2"/>
      <c r="F38" s="21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25000</v>
      </c>
      <c r="U38" s="49" t="str">
        <f>B322</f>
        <v>BABULALJI</v>
      </c>
      <c r="V38" s="49" t="str">
        <f>C322</f>
        <v>CHILKA NGR</v>
      </c>
      <c r="W38" s="1"/>
      <c r="X38" s="49">
        <f>I329</f>
        <v>23200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21">
        <v>10</v>
      </c>
      <c r="B39" s="21">
        <v>250000</v>
      </c>
      <c r="C39" s="21">
        <f>VLOOKUP(A39&amp;"|"&amp;B39,$O$3:$P$16,2,FALSE)</f>
        <v>900</v>
      </c>
      <c r="D39" s="21">
        <f>VLOOKUP(A39&amp;"|"&amp;B39,$Q$3:$R$16,2,FALSE)</f>
        <v>11600</v>
      </c>
      <c r="E39" s="2"/>
      <c r="F39" s="21">
        <v>16.100000000000001</v>
      </c>
      <c r="G39" s="21">
        <v>1000000</v>
      </c>
      <c r="H39" s="21">
        <f>VLOOKUP(F39&amp;"|"&amp;G39,$O$3:$P$16,2,FALSE)</f>
        <v>750</v>
      </c>
      <c r="I39" s="21">
        <f>VLOOKUP(F39&amp;"|"&amp;G39,$Q$3:$R$16,2,FALSE)</f>
        <v>49250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47050</v>
      </c>
      <c r="U39" s="49" t="str">
        <f>B331</f>
        <v>MUKESHJI</v>
      </c>
      <c r="V39" s="49" t="str">
        <f>C331</f>
        <v>RAMARAM</v>
      </c>
      <c r="W39" s="1"/>
      <c r="X39" s="49">
        <f>I338</f>
        <v>23200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21">
        <v>16</v>
      </c>
      <c r="B40" s="21">
        <v>250000</v>
      </c>
      <c r="C40" s="21">
        <f>VLOOKUP(A40&amp;"|"&amp;B40,$O$3:$P$18,2,FALSE)</f>
        <v>200</v>
      </c>
      <c r="D40" s="21">
        <f>VLOOKUP(A40&amp;"|"&amp;B40,$Q$3:$R$18,2,FALSE)</f>
        <v>12300</v>
      </c>
      <c r="E40" s="2"/>
      <c r="F40" s="21">
        <v>5</v>
      </c>
      <c r="G40" s="21">
        <v>2000000</v>
      </c>
      <c r="H40" s="21">
        <f>VLOOKUP(F40&amp;"|"&amp;G40,$O$3:$P$16,2,FALSE)</f>
        <v>11000</v>
      </c>
      <c r="I40" s="21">
        <f>VLOOKUP(F40&amp;"|"&amp;G40,$Q$3:$R$16,2,FALSE)</f>
        <v>89000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23850</v>
      </c>
      <c r="U40" s="49" t="str">
        <f>B340</f>
        <v>MISRILALJI</v>
      </c>
      <c r="V40" s="49" t="str">
        <f>C340</f>
        <v>MEDCHAL</v>
      </c>
      <c r="W40" s="1"/>
      <c r="X40" s="49">
        <f>I347</f>
        <v>25000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1"/>
      <c r="B41" s="21"/>
      <c r="C41" s="21"/>
      <c r="D41" s="21"/>
      <c r="E41" s="2"/>
      <c r="F41" s="21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24550</v>
      </c>
      <c r="U41" s="49" t="str">
        <f>B349</f>
        <v>GOVIND</v>
      </c>
      <c r="V41" s="49" t="str">
        <f>C349</f>
        <v>PPR NGR</v>
      </c>
      <c r="W41" s="1"/>
      <c r="X41" s="49">
        <f>I356</f>
        <v>0</v>
      </c>
      <c r="Y41" s="49">
        <f>G349</f>
        <v>0</v>
      </c>
      <c r="Z41" s="49">
        <f>H349</f>
        <v>0</v>
      </c>
    </row>
    <row r="42" spans="1:26" ht="20.25" thickTop="1" thickBot="1">
      <c r="A42" s="21"/>
      <c r="B42" s="21"/>
      <c r="C42" s="21"/>
      <c r="D42" s="21"/>
      <c r="E42" s="2"/>
      <c r="F42" s="21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22000</v>
      </c>
      <c r="U42" s="49" t="str">
        <f>B358</f>
        <v>SOHANLALJI</v>
      </c>
      <c r="V42" s="49" t="str">
        <f>C358</f>
        <v>RR NGR</v>
      </c>
      <c r="W42" s="1"/>
      <c r="X42" s="49">
        <f>I365</f>
        <v>23850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1"/>
      <c r="B43" s="21"/>
      <c r="C43" s="21"/>
      <c r="D43" s="21"/>
      <c r="E43" s="2"/>
      <c r="F43" s="21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69450</v>
      </c>
      <c r="U43" s="49" t="str">
        <f>B367</f>
        <v>KISHANJI</v>
      </c>
      <c r="V43" s="49" t="str">
        <f>C367</f>
        <v>KAMAN</v>
      </c>
      <c r="W43" s="1"/>
      <c r="X43" s="49">
        <f>I374</f>
        <v>23850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84" t="s">
        <v>16</v>
      </c>
      <c r="B44" s="85"/>
      <c r="C44" s="86"/>
      <c r="D44" s="8">
        <f>SUM(D39:D43)</f>
        <v>23900</v>
      </c>
      <c r="E44" s="2"/>
      <c r="F44" s="84" t="s">
        <v>16</v>
      </c>
      <c r="G44" s="85"/>
      <c r="H44" s="86"/>
      <c r="I44" s="21">
        <f>SUM(I39:I43)</f>
        <v>138250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22000</v>
      </c>
      <c r="U44" s="49" t="str">
        <f>B376</f>
        <v>RAMESHJI</v>
      </c>
      <c r="V44" s="49" t="str">
        <f>C376</f>
        <v>SHAPUR</v>
      </c>
      <c r="W44" s="1"/>
      <c r="X44" s="49">
        <f>I383</f>
        <v>22000</v>
      </c>
      <c r="Y44" s="49" t="str">
        <f>G376</f>
        <v>OMJI</v>
      </c>
      <c r="Z44" s="49" t="str">
        <f>H376</f>
        <v>SEC</v>
      </c>
    </row>
    <row r="45" spans="1:26" ht="16.5" thickTop="1" thickBo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98500</v>
      </c>
      <c r="U45" s="49" t="str">
        <f>B385</f>
        <v>MISRILALJI</v>
      </c>
      <c r="V45" s="49" t="str">
        <f>C385</f>
        <v>SEC</v>
      </c>
      <c r="W45" s="1"/>
      <c r="X45" s="49">
        <f>I392</f>
        <v>23200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1" t="s">
        <v>0</v>
      </c>
      <c r="B46" s="21" t="s">
        <v>35</v>
      </c>
      <c r="C46" s="21" t="s">
        <v>36</v>
      </c>
      <c r="D46" s="9">
        <v>45907</v>
      </c>
      <c r="E46" s="2"/>
      <c r="F46" s="21" t="s">
        <v>0</v>
      </c>
      <c r="G46" s="21" t="s">
        <v>37</v>
      </c>
      <c r="H46" s="21" t="s">
        <v>38</v>
      </c>
      <c r="I46" s="9">
        <v>45907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49250</v>
      </c>
      <c r="U46" s="49" t="str">
        <f>B394</f>
        <v>BAGDARAMJI</v>
      </c>
      <c r="V46" s="49" t="str">
        <f>C394</f>
        <v>GANDHINGR</v>
      </c>
      <c r="W46" s="1"/>
      <c r="X46" s="49">
        <f>I401</f>
        <v>44450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1" t="s">
        <v>6</v>
      </c>
      <c r="B47" s="21" t="s">
        <v>7</v>
      </c>
      <c r="C47" s="21" t="s">
        <v>8</v>
      </c>
      <c r="D47" s="21" t="s">
        <v>9</v>
      </c>
      <c r="E47" s="2"/>
      <c r="F47" s="21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49250</v>
      </c>
      <c r="U47" s="1" t="str">
        <f>B403</f>
        <v>NEMARANJI</v>
      </c>
      <c r="V47" s="1" t="str">
        <f>C403</f>
        <v>INDERSUM</v>
      </c>
      <c r="W47" s="1"/>
      <c r="X47" s="49">
        <f>I410</f>
        <v>49550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21">
        <v>16.100000000000001</v>
      </c>
      <c r="B48" s="21">
        <v>500000</v>
      </c>
      <c r="C48" s="21">
        <f>VLOOKUP(A48&amp;"|"&amp;B48,$O$3:$P$16,2,FALSE)</f>
        <v>400</v>
      </c>
      <c r="D48" s="21">
        <f>VLOOKUP(A48&amp;"|"&amp;B48,$Q$3:$R$16,2,FALSE)</f>
        <v>24600</v>
      </c>
      <c r="E48" s="2"/>
      <c r="F48" s="21">
        <v>13</v>
      </c>
      <c r="G48" s="21">
        <v>500000</v>
      </c>
      <c r="H48" s="21">
        <f>VLOOKUP(F48&amp;"|"&amp;G48,$O$3:$P$16,2,FALSE)</f>
        <v>1150</v>
      </c>
      <c r="I48" s="21">
        <f>VLOOKUP(F48&amp;"|"&amp;G48,$Q$3:$R$16,2,FALSE)</f>
        <v>23850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22000</v>
      </c>
      <c r="U48" s="1" t="str">
        <f>B412</f>
        <v>HEMANTJI</v>
      </c>
      <c r="V48" s="1" t="str">
        <f>C412</f>
        <v>SURARAM</v>
      </c>
      <c r="W48" s="1"/>
      <c r="X48" s="49">
        <f>I419</f>
        <v>69450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1"/>
      <c r="B49" s="21"/>
      <c r="C49" s="21"/>
      <c r="D49" s="21"/>
      <c r="E49" s="2"/>
      <c r="F49" s="21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44500</v>
      </c>
      <c r="U49" s="1" t="str">
        <f>B421</f>
        <v>RAJUJI</v>
      </c>
      <c r="V49" s="1" t="str">
        <f>C421</f>
        <v>SHAPUR</v>
      </c>
      <c r="W49" s="1"/>
      <c r="X49" s="49">
        <f>I428</f>
        <v>89000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1"/>
      <c r="B50" s="21"/>
      <c r="C50" s="21"/>
      <c r="D50" s="21"/>
      <c r="E50" s="2"/>
      <c r="F50" s="21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44450</v>
      </c>
      <c r="U50" s="1" t="str">
        <f>B430</f>
        <v>GOUTAMJI</v>
      </c>
      <c r="V50" s="1" t="str">
        <f>C430</f>
        <v>RAMARAM</v>
      </c>
      <c r="W50" s="1"/>
      <c r="X50" s="49">
        <f>I437</f>
        <v>44450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1"/>
      <c r="B51" s="21"/>
      <c r="C51" s="21"/>
      <c r="D51" s="21"/>
      <c r="E51" s="2"/>
      <c r="F51" s="21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25000</v>
      </c>
      <c r="U51" s="1" t="str">
        <f>B439</f>
        <v>BHERARAMJI</v>
      </c>
      <c r="V51" s="1" t="str">
        <f>C439</f>
        <v>SURARAM</v>
      </c>
      <c r="W51" s="1"/>
      <c r="X51" s="49">
        <f>I446</f>
        <v>89000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1"/>
      <c r="B52" s="21"/>
      <c r="C52" s="21"/>
      <c r="D52" s="21"/>
      <c r="E52" s="2"/>
      <c r="F52" s="21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25000</v>
      </c>
      <c r="U52" s="1" t="str">
        <f>B448</f>
        <v>MISRILALJI</v>
      </c>
      <c r="V52" s="1" t="str">
        <f>C448</f>
        <v>GUTTA</v>
      </c>
      <c r="W52" s="1"/>
      <c r="X52" s="49">
        <f>I455</f>
        <v>25000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84" t="s">
        <v>16</v>
      </c>
      <c r="B53" s="85"/>
      <c r="C53" s="86"/>
      <c r="D53" s="8">
        <f>SUM(D48:D52)</f>
        <v>24600</v>
      </c>
      <c r="E53" s="2"/>
      <c r="F53" s="84" t="s">
        <v>16</v>
      </c>
      <c r="G53" s="85"/>
      <c r="H53" s="86"/>
      <c r="I53" s="21">
        <f>SUM(I48:I52)</f>
        <v>23850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69000</v>
      </c>
      <c r="U53" s="1" t="str">
        <f>B457</f>
        <v>RAMESHJI</v>
      </c>
      <c r="V53" s="1" t="str">
        <f>C457</f>
        <v>BOOK GUTA</v>
      </c>
      <c r="W53" s="1"/>
      <c r="X53" s="49">
        <f>I464</f>
        <v>44450</v>
      </c>
      <c r="Y53" s="1" t="str">
        <f>G457</f>
        <v>HEERJI</v>
      </c>
      <c r="Z53" s="1" t="str">
        <f>H457</f>
        <v>HANUMAN NG</v>
      </c>
    </row>
    <row r="54" spans="1:26" ht="16.5" thickTop="1" thickBo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99250</v>
      </c>
      <c r="U54" s="1" t="str">
        <f>B466</f>
        <v>VALARAMJI</v>
      </c>
      <c r="V54" s="1" t="str">
        <f>C466</f>
        <v>CHINTAL</v>
      </c>
      <c r="W54" s="1"/>
      <c r="X54" s="49">
        <f>I473</f>
        <v>49250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1" t="s">
        <v>0</v>
      </c>
      <c r="B55" s="21" t="s">
        <v>1</v>
      </c>
      <c r="C55" s="21" t="s">
        <v>39</v>
      </c>
      <c r="D55" s="9">
        <v>45907</v>
      </c>
      <c r="E55" s="2"/>
      <c r="F55" s="21" t="s">
        <v>0</v>
      </c>
      <c r="G55" s="21" t="s">
        <v>40</v>
      </c>
      <c r="H55" s="21" t="s">
        <v>41</v>
      </c>
      <c r="I55" s="9">
        <v>45907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24550</v>
      </c>
      <c r="U55" s="1" t="str">
        <f>B475</f>
        <v>NARAYANLALJI</v>
      </c>
      <c r="V55" s="1" t="str">
        <f>C475</f>
        <v>SURARAM</v>
      </c>
      <c r="W55" s="49"/>
      <c r="X55" s="49">
        <f>I482</f>
        <v>25000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1" t="s">
        <v>6</v>
      </c>
      <c r="B56" s="21" t="s">
        <v>7</v>
      </c>
      <c r="C56" s="21" t="s">
        <v>8</v>
      </c>
      <c r="D56" s="21" t="s">
        <v>9</v>
      </c>
      <c r="E56" s="2"/>
      <c r="F56" s="21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47700</v>
      </c>
      <c r="U56" s="1" t="s">
        <v>42</v>
      </c>
      <c r="V56" s="1" t="s">
        <v>43</v>
      </c>
      <c r="W56" s="1"/>
      <c r="X56" s="49">
        <f>I491</f>
        <v>22000</v>
      </c>
      <c r="Y56" s="1" t="s">
        <v>44</v>
      </c>
      <c r="Z56" s="1" t="s">
        <v>43</v>
      </c>
    </row>
    <row r="57" spans="1:26" ht="20.25" thickTop="1" thickBot="1">
      <c r="A57" s="21">
        <v>16.100000000000001</v>
      </c>
      <c r="B57" s="21">
        <v>1000000</v>
      </c>
      <c r="C57" s="21">
        <f>VLOOKUP(A57&amp;"|"&amp;B57,$O$3:$P$16,2,FALSE)</f>
        <v>750</v>
      </c>
      <c r="D57" s="21">
        <f>VLOOKUP(A57&amp;"|"&amp;B57,$Q$3:$R$16,2,FALSE)</f>
        <v>49250</v>
      </c>
      <c r="E57" s="2"/>
      <c r="F57" s="21">
        <v>20.100000000000001</v>
      </c>
      <c r="G57" s="21">
        <v>500000</v>
      </c>
      <c r="H57" s="21">
        <f>VLOOKUP(F57&amp;"|"&amp;G57,$O$3:$P$19,2,FALSE)</f>
        <v>0</v>
      </c>
      <c r="I57" s="21">
        <f>VLOOKUP(F57&amp;"|"&amp;G57,$Q$3:$R$19,2,FALSE)</f>
        <v>25000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23200</v>
      </c>
      <c r="U57" s="1" t="str">
        <f>B493</f>
        <v>CHANDARAMJI</v>
      </c>
      <c r="V57" s="1" t="str">
        <f>C493</f>
        <v>SURARAM</v>
      </c>
      <c r="W57" s="1"/>
      <c r="X57" s="49">
        <f>I500</f>
        <v>118400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21">
        <v>20</v>
      </c>
      <c r="B58" s="21">
        <v>500000</v>
      </c>
      <c r="C58" s="21">
        <f>VLOOKUP(A58&amp;"|"&amp;B58,$O$3:$P$16,2,FALSE)</f>
        <v>0</v>
      </c>
      <c r="D58" s="21">
        <f>VLOOKUP(A58&amp;"|"&amp;B58,$Q$3:$R$16,2,FALSE)</f>
        <v>25000</v>
      </c>
      <c r="E58" s="2"/>
      <c r="F58" s="21">
        <v>5</v>
      </c>
      <c r="G58" s="21">
        <v>500000</v>
      </c>
      <c r="H58" s="21">
        <f>VLOOKUP(F58&amp;"|"&amp;G58,$O$3:$P$19,2,FALSE)</f>
        <v>3000</v>
      </c>
      <c r="I58" s="21">
        <f>VLOOKUP(F58&amp;"|"&amp;G58,$Q$3:$R$19,2,FALSE)</f>
        <v>22000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89000</v>
      </c>
      <c r="U58" s="49" t="str">
        <f>B502</f>
        <v>CHAMPALALJI</v>
      </c>
      <c r="V58" s="1" t="str">
        <f>C502</f>
        <v>RNGRD</v>
      </c>
      <c r="W58" s="1"/>
      <c r="X58" s="49">
        <f>I509</f>
        <v>22000</v>
      </c>
      <c r="Y58" s="1" t="str">
        <f>G502</f>
        <v>VENKTESHVAR</v>
      </c>
      <c r="Z58" s="1" t="str">
        <f>H502</f>
        <v>AB CO</v>
      </c>
    </row>
    <row r="59" spans="1:26" ht="20.25" thickTop="1" thickBot="1">
      <c r="A59" s="21"/>
      <c r="B59" s="21"/>
      <c r="C59" s="21"/>
      <c r="D59" s="21"/>
      <c r="E59" s="2"/>
      <c r="F59" s="21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22000</v>
      </c>
      <c r="U59" s="1" t="str">
        <f>B511</f>
        <v>KEWALJI</v>
      </c>
      <c r="V59" s="1" t="str">
        <f>C511</f>
        <v>KAMMAN</v>
      </c>
      <c r="W59" s="49"/>
      <c r="X59" s="49">
        <f>I518</f>
        <v>22000</v>
      </c>
      <c r="Y59" s="1" t="str">
        <f>G511</f>
        <v>PRAKASHJI</v>
      </c>
      <c r="Z59" s="1" t="str">
        <f>H511</f>
        <v>AMEENPUR</v>
      </c>
    </row>
    <row r="60" spans="1:26" ht="20.25" thickTop="1" thickBot="1">
      <c r="A60" s="21"/>
      <c r="B60" s="21"/>
      <c r="C60" s="21"/>
      <c r="D60" s="21"/>
      <c r="E60" s="2"/>
      <c r="F60" s="21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24550</v>
      </c>
      <c r="U60" s="1" t="str">
        <f>B520</f>
        <v>NIRMALJI</v>
      </c>
      <c r="V60" s="1" t="str">
        <f>C520</f>
        <v>KKPALLY</v>
      </c>
      <c r="W60" s="1"/>
      <c r="X60" s="49">
        <f>I527</f>
        <v>88900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1"/>
      <c r="B61" s="21"/>
      <c r="C61" s="21"/>
      <c r="D61" s="21"/>
      <c r="E61" s="2"/>
      <c r="F61" s="21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89000</v>
      </c>
      <c r="U61" s="1" t="str">
        <f>B529</f>
        <v>NARAYANJI</v>
      </c>
      <c r="V61" s="1" t="str">
        <f>C529</f>
        <v>RR ROAD</v>
      </c>
      <c r="W61" s="1"/>
      <c r="X61" s="49"/>
      <c r="Y61" s="1"/>
      <c r="Z61" s="1"/>
    </row>
    <row r="62" spans="1:26" ht="20.25" thickTop="1" thickBot="1">
      <c r="A62" s="84" t="s">
        <v>16</v>
      </c>
      <c r="B62" s="85"/>
      <c r="C62" s="86"/>
      <c r="D62" s="8">
        <f>SUM(D57:D61)</f>
        <v>74250</v>
      </c>
      <c r="E62" s="2"/>
      <c r="F62" s="84" t="s">
        <v>16</v>
      </c>
      <c r="G62" s="85"/>
      <c r="H62" s="86"/>
      <c r="I62" s="21">
        <f>SUM(I57:I61)</f>
        <v>47000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49"/>
      <c r="U62" s="1"/>
      <c r="V62" s="1"/>
      <c r="W62" s="49"/>
      <c r="X62" s="1"/>
      <c r="Y62" s="1"/>
      <c r="Z62" s="1"/>
    </row>
    <row r="63" spans="1:26" ht="20.25" thickTop="1" thickBot="1">
      <c r="A63" s="10"/>
      <c r="B63" s="10"/>
      <c r="C63" s="10"/>
      <c r="D63" s="10"/>
      <c r="E63" s="2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49">
        <f>SUM(T3:T62)</f>
        <v>4221800</v>
      </c>
      <c r="U63" s="1"/>
      <c r="V63" s="1"/>
      <c r="W63" s="1"/>
      <c r="X63" s="49">
        <f>SUM(X3:X62)</f>
        <v>3788800</v>
      </c>
      <c r="Y63" s="1"/>
      <c r="Z63" s="1"/>
    </row>
    <row r="64" spans="1:26" ht="20.25" thickTop="1" thickBot="1">
      <c r="A64" s="12" t="s">
        <v>3</v>
      </c>
      <c r="B64" s="12" t="s">
        <v>45</v>
      </c>
      <c r="C64" s="12" t="s">
        <v>46</v>
      </c>
      <c r="D64" s="9">
        <v>45907</v>
      </c>
      <c r="E64" s="2"/>
      <c r="F64" s="21" t="s">
        <v>0</v>
      </c>
      <c r="G64" s="21" t="s">
        <v>47</v>
      </c>
      <c r="H64" s="21" t="s">
        <v>48</v>
      </c>
      <c r="I64" s="9">
        <v>45907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0.25" thickTop="1" thickBot="1">
      <c r="A65" s="21" t="s">
        <v>6</v>
      </c>
      <c r="B65" s="21" t="s">
        <v>7</v>
      </c>
      <c r="C65" s="21" t="s">
        <v>8</v>
      </c>
      <c r="D65" s="21" t="s">
        <v>9</v>
      </c>
      <c r="E65" s="2"/>
      <c r="F65" s="21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0.25" thickTop="1" thickBot="1">
      <c r="A66" s="21">
        <v>16.100000000000001</v>
      </c>
      <c r="B66" s="21">
        <v>500000</v>
      </c>
      <c r="C66" s="21">
        <f>VLOOKUP(A66&amp;"|"&amp;B66,$O$3:$P$17,2,FALSE)</f>
        <v>400</v>
      </c>
      <c r="D66" s="21">
        <f>VLOOKUP(A66&amp;"|"&amp;B66,$Q$3:$R$17,2,FALSE)</f>
        <v>24600</v>
      </c>
      <c r="E66" s="2"/>
      <c r="F66" s="21">
        <v>16.100000000000001</v>
      </c>
      <c r="G66" s="21">
        <v>500000</v>
      </c>
      <c r="H66" s="21">
        <f>VLOOKUP(F66&amp;"|"&amp;G66,$O$3:$P$16,2,FALSE)</f>
        <v>400</v>
      </c>
      <c r="I66" s="21">
        <f>VLOOKUP(F66&amp;"|"&amp;G66,$Q$3:$R$16,2,FALSE)</f>
        <v>24600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 t="s">
        <v>25</v>
      </c>
      <c r="W66" s="49">
        <f>SUM(T63,X63)</f>
        <v>8010600</v>
      </c>
      <c r="X66" s="1"/>
      <c r="Y66" s="1"/>
      <c r="Z66" s="1"/>
    </row>
    <row r="67" spans="1:26" ht="20.25" thickTop="1" thickBot="1">
      <c r="A67" s="21">
        <v>5</v>
      </c>
      <c r="B67" s="21">
        <v>2000000</v>
      </c>
      <c r="C67" s="21">
        <f>VLOOKUP(A67&amp;"|"&amp;B67,$O$3:$P$17,2,FALSE)</f>
        <v>11000</v>
      </c>
      <c r="D67" s="21">
        <f>VLOOKUP(A67&amp;"|"&amp;B67,$Q$3:$R$17,2,FALSE)</f>
        <v>89000</v>
      </c>
      <c r="E67" s="2"/>
      <c r="F67" s="21">
        <v>5</v>
      </c>
      <c r="G67" s="21">
        <v>500000</v>
      </c>
      <c r="H67" s="21">
        <f>VLOOKUP(F67&amp;"|"&amp;G67,$O$3:$P$16,2,FALSE)</f>
        <v>3000</v>
      </c>
      <c r="I67" s="21">
        <f>VLOOKUP(F67&amp;"|"&amp;G67,$Q$3:$R$16,2,FALSE)</f>
        <v>22000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0.25" thickTop="1" thickBot="1">
      <c r="A68" s="21"/>
      <c r="B68" s="21"/>
      <c r="C68" s="21"/>
      <c r="D68" s="21"/>
      <c r="E68" s="2"/>
      <c r="F68" s="21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1"/>
      <c r="B69" s="21"/>
      <c r="C69" s="21"/>
      <c r="D69" s="21"/>
      <c r="E69" s="2"/>
      <c r="F69" s="21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0.25" thickTop="1" thickBot="1">
      <c r="A70" s="21"/>
      <c r="B70" s="21"/>
      <c r="C70" s="21"/>
      <c r="D70" s="21"/>
      <c r="E70" s="2"/>
      <c r="F70" s="52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59" t="s">
        <v>49</v>
      </c>
      <c r="B71" s="53"/>
      <c r="C71" s="54"/>
      <c r="D71" s="21">
        <f>SUM(D66:D70)</f>
        <v>113600</v>
      </c>
      <c r="E71" s="2"/>
      <c r="F71" s="84" t="s">
        <v>16</v>
      </c>
      <c r="G71" s="85"/>
      <c r="H71" s="86"/>
      <c r="I71" s="21">
        <f>SUM(I66:I70)</f>
        <v>46600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0.25" thickTop="1" thickBot="1">
      <c r="A72" s="10"/>
      <c r="B72" s="10"/>
      <c r="C72" s="10"/>
      <c r="D72" s="10"/>
      <c r="E72" s="2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1" t="s">
        <v>0</v>
      </c>
      <c r="B73" s="21" t="s">
        <v>50</v>
      </c>
      <c r="C73" s="21" t="s">
        <v>51</v>
      </c>
      <c r="D73" s="9">
        <v>45907</v>
      </c>
      <c r="E73" s="2"/>
      <c r="F73" s="21" t="s">
        <v>0</v>
      </c>
      <c r="G73" s="21" t="s">
        <v>50</v>
      </c>
      <c r="H73" s="21" t="s">
        <v>52</v>
      </c>
      <c r="I73" s="9">
        <v>45907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1" t="s">
        <v>6</v>
      </c>
      <c r="B74" s="21" t="s">
        <v>7</v>
      </c>
      <c r="C74" s="21" t="s">
        <v>8</v>
      </c>
      <c r="D74" s="21" t="s">
        <v>9</v>
      </c>
      <c r="E74" s="2"/>
      <c r="F74" s="21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21">
        <v>16</v>
      </c>
      <c r="B75" s="21">
        <v>1000000</v>
      </c>
      <c r="C75" s="21">
        <f t="shared" ref="C75:C81" si="4">VLOOKUP(A75&amp;"|"&amp;B75,$O$3:$P$16,2,FALSE)</f>
        <v>750</v>
      </c>
      <c r="D75" s="21">
        <f t="shared" ref="D75:D81" si="5">VLOOKUP(A75&amp;"|"&amp;B75,$Q$3:$R$16,2,FALSE)</f>
        <v>49250</v>
      </c>
      <c r="E75" s="2"/>
      <c r="F75" s="21">
        <v>20</v>
      </c>
      <c r="G75" s="21">
        <v>1000000</v>
      </c>
      <c r="H75" s="21">
        <f t="shared" ref="H75:H83" si="6">VLOOKUP(F75&amp;"|"&amp;G75,$O$3:$P$16,2,FALSE)</f>
        <v>0</v>
      </c>
      <c r="I75" s="21">
        <f t="shared" ref="I75:I83" si="7">VLOOKUP(F75&amp;"|"&amp;G75,$Q$3:$R$16,2,FALSE)</f>
        <v>50000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21">
        <v>16.100000000000001</v>
      </c>
      <c r="B76" s="21">
        <v>1000000</v>
      </c>
      <c r="C76" s="21">
        <f t="shared" si="4"/>
        <v>750</v>
      </c>
      <c r="D76" s="21">
        <f t="shared" si="5"/>
        <v>49250</v>
      </c>
      <c r="E76" s="2"/>
      <c r="F76" s="21">
        <v>20</v>
      </c>
      <c r="G76" s="21">
        <v>1000000</v>
      </c>
      <c r="H76" s="21">
        <f t="shared" si="6"/>
        <v>0</v>
      </c>
      <c r="I76" s="21">
        <f t="shared" si="7"/>
        <v>50000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21">
        <v>20</v>
      </c>
      <c r="B77" s="21">
        <v>1000000</v>
      </c>
      <c r="C77" s="21">
        <f t="shared" si="4"/>
        <v>0</v>
      </c>
      <c r="D77" s="21">
        <f t="shared" si="5"/>
        <v>50000</v>
      </c>
      <c r="E77" s="2"/>
      <c r="F77" s="21">
        <v>20</v>
      </c>
      <c r="G77" s="21">
        <v>500000</v>
      </c>
      <c r="H77" s="21">
        <f t="shared" si="6"/>
        <v>0</v>
      </c>
      <c r="I77" s="21">
        <f t="shared" si="7"/>
        <v>25000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21">
        <v>20</v>
      </c>
      <c r="B78" s="21">
        <v>1000000</v>
      </c>
      <c r="C78" s="21">
        <f t="shared" si="4"/>
        <v>0</v>
      </c>
      <c r="D78" s="21">
        <f t="shared" si="5"/>
        <v>50000</v>
      </c>
      <c r="E78" s="2"/>
      <c r="F78" s="21">
        <v>16.100000000000001</v>
      </c>
      <c r="G78" s="21">
        <v>1000000</v>
      </c>
      <c r="H78" s="21">
        <f t="shared" si="6"/>
        <v>750</v>
      </c>
      <c r="I78" s="21">
        <f t="shared" si="7"/>
        <v>49250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21">
        <v>5</v>
      </c>
      <c r="B79" s="21">
        <v>2000000</v>
      </c>
      <c r="C79" s="21">
        <f t="shared" si="4"/>
        <v>11000</v>
      </c>
      <c r="D79" s="21">
        <f t="shared" si="5"/>
        <v>89000</v>
      </c>
      <c r="E79" s="2"/>
      <c r="F79" s="21">
        <v>5</v>
      </c>
      <c r="G79" s="21">
        <v>500000</v>
      </c>
      <c r="H79" s="21">
        <f t="shared" si="6"/>
        <v>3000</v>
      </c>
      <c r="I79" s="21">
        <f t="shared" si="7"/>
        <v>22000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21">
        <v>10</v>
      </c>
      <c r="B80" s="21">
        <v>250000</v>
      </c>
      <c r="C80" s="21">
        <f t="shared" si="4"/>
        <v>900</v>
      </c>
      <c r="D80" s="21">
        <f t="shared" si="5"/>
        <v>11600</v>
      </c>
      <c r="E80" s="2"/>
      <c r="F80" s="21">
        <v>16</v>
      </c>
      <c r="G80" s="21">
        <v>500000</v>
      </c>
      <c r="H80" s="21">
        <f t="shared" si="6"/>
        <v>450</v>
      </c>
      <c r="I80" s="21">
        <f t="shared" si="7"/>
        <v>24550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21">
        <v>16.100000000000001</v>
      </c>
      <c r="B81" s="21">
        <v>500000</v>
      </c>
      <c r="C81" s="21">
        <f t="shared" si="4"/>
        <v>400</v>
      </c>
      <c r="D81" s="21">
        <f t="shared" si="5"/>
        <v>24600</v>
      </c>
      <c r="E81" s="2"/>
      <c r="F81" s="21">
        <v>20</v>
      </c>
      <c r="G81" s="21">
        <v>500000</v>
      </c>
      <c r="H81" s="21">
        <f t="shared" si="6"/>
        <v>0</v>
      </c>
      <c r="I81" s="21">
        <f t="shared" si="7"/>
        <v>25000</v>
      </c>
      <c r="J81" s="1"/>
      <c r="K81" s="1"/>
      <c r="L81" s="56"/>
      <c r="M81" s="56"/>
      <c r="N81" s="56"/>
      <c r="O81" s="56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21">
        <v>16</v>
      </c>
      <c r="B82" s="21">
        <v>250000</v>
      </c>
      <c r="C82" s="21">
        <f>VLOOKUP(A82&amp;"|"&amp;B82,$O$3:$P$18,2,FALSE)</f>
        <v>200</v>
      </c>
      <c r="D82" s="21">
        <f>VLOOKUP(A82&amp;"|"&amp;B82,$Q$3:$R$18,2,FALSE)</f>
        <v>12300</v>
      </c>
      <c r="E82" s="2"/>
      <c r="F82" s="21">
        <v>16</v>
      </c>
      <c r="G82" s="21">
        <v>500000</v>
      </c>
      <c r="H82" s="21">
        <f t="shared" si="6"/>
        <v>450</v>
      </c>
      <c r="I82" s="21">
        <f t="shared" si="7"/>
        <v>24550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21"/>
      <c r="B83" s="21"/>
      <c r="C83" s="21"/>
      <c r="D83" s="21"/>
      <c r="E83" s="2"/>
      <c r="F83" s="21">
        <v>16.100000000000001</v>
      </c>
      <c r="G83" s="21">
        <v>1000000</v>
      </c>
      <c r="H83" s="21">
        <f t="shared" si="6"/>
        <v>750</v>
      </c>
      <c r="I83" s="21">
        <f t="shared" si="7"/>
        <v>49250</v>
      </c>
      <c r="J83" s="1"/>
      <c r="K83" s="1"/>
      <c r="L83" s="44"/>
      <c r="M83" s="44"/>
      <c r="N83" s="44"/>
      <c r="O83" s="44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1"/>
      <c r="B84" s="21"/>
      <c r="C84" s="21"/>
      <c r="D84" s="21"/>
      <c r="E84" s="2"/>
      <c r="F84" s="21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21" t="s">
        <v>16</v>
      </c>
      <c r="B85" s="21"/>
      <c r="C85" s="21" t="s">
        <v>182</v>
      </c>
      <c r="D85" s="21">
        <f>SUM(D75:D84)</f>
        <v>336000</v>
      </c>
      <c r="E85" s="2"/>
      <c r="F85" s="84" t="s">
        <v>16</v>
      </c>
      <c r="G85" s="85"/>
      <c r="H85" s="86"/>
      <c r="I85" s="21">
        <f>SUM(I75:I84)</f>
        <v>319600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thickTop="1" thickBo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21" t="s">
        <v>0</v>
      </c>
      <c r="B87" s="21" t="s">
        <v>53</v>
      </c>
      <c r="C87" s="21" t="s">
        <v>54</v>
      </c>
      <c r="D87" s="9">
        <v>45907</v>
      </c>
      <c r="E87" s="2"/>
      <c r="F87" s="21" t="s">
        <v>0</v>
      </c>
      <c r="G87" s="21" t="s">
        <v>55</v>
      </c>
      <c r="H87" s="21" t="s">
        <v>56</v>
      </c>
      <c r="I87" s="9">
        <v>45907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21" t="s">
        <v>6</v>
      </c>
      <c r="B88" s="21" t="s">
        <v>7</v>
      </c>
      <c r="C88" s="21" t="s">
        <v>8</v>
      </c>
      <c r="D88" s="21" t="s">
        <v>9</v>
      </c>
      <c r="E88" s="2"/>
      <c r="F88" s="21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21">
        <v>16.100000000000001</v>
      </c>
      <c r="B89" s="21">
        <v>1000000</v>
      </c>
      <c r="C89" s="21">
        <f>VLOOKUP(A89&amp;"|"&amp;B89,$O$3:$P$18,2,FALSE)</f>
        <v>750</v>
      </c>
      <c r="D89" s="21">
        <f>VLOOKUP(A89&amp;"|"&amp;B89,$Q$3:$R$18,2,FALSE)</f>
        <v>49250</v>
      </c>
      <c r="E89" s="2"/>
      <c r="F89" s="21">
        <v>16.100000000000001</v>
      </c>
      <c r="G89" s="21">
        <v>500000</v>
      </c>
      <c r="H89" s="21">
        <f>VLOOKUP(F89&amp;"|"&amp;G89,$O$3:$P$16,2,FALSE)</f>
        <v>400</v>
      </c>
      <c r="I89" s="21">
        <f>VLOOKUP(F89&amp;"|"&amp;G89,$Q$3:$R$16,2,FALSE)</f>
        <v>24600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21">
        <v>20</v>
      </c>
      <c r="B90" s="21">
        <v>1000000</v>
      </c>
      <c r="C90" s="21">
        <f>VLOOKUP(A90&amp;"|"&amp;B90,$O$3:$P$18,2,FALSE)</f>
        <v>0</v>
      </c>
      <c r="D90" s="21">
        <f>VLOOKUP(A90&amp;"|"&amp;B90,$Q$3:$R$18,2,FALSE)</f>
        <v>50000</v>
      </c>
      <c r="E90" s="2"/>
      <c r="F90" s="21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21">
        <v>5</v>
      </c>
      <c r="B91" s="21">
        <v>2000000</v>
      </c>
      <c r="C91" s="21">
        <f>VLOOKUP(A91&amp;"|"&amp;B91,$O$3:$P$18,2,FALSE)</f>
        <v>11000</v>
      </c>
      <c r="D91" s="21">
        <f>VLOOKUP(A91&amp;"|"&amp;B91,$Q$3:$R$18,2,FALSE)</f>
        <v>89000</v>
      </c>
      <c r="E91" s="2"/>
      <c r="F91" s="21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21">
        <v>5</v>
      </c>
      <c r="B92" s="21">
        <v>2000000</v>
      </c>
      <c r="C92" s="21">
        <f>VLOOKUP(A92&amp;"|"&amp;B92,$O$3:$P$18,2,FALSE)</f>
        <v>11000</v>
      </c>
      <c r="D92" s="21">
        <f>VLOOKUP(A92&amp;"|"&amp;B92,$Q$3:$R$18,2,FALSE)</f>
        <v>89000</v>
      </c>
      <c r="E92" s="2"/>
      <c r="F92" s="21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1"/>
      <c r="B93" s="21"/>
      <c r="C93" s="21"/>
      <c r="D93" s="21"/>
      <c r="E93" s="2"/>
      <c r="F93" s="21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1" t="s">
        <v>16</v>
      </c>
      <c r="B94" s="21"/>
      <c r="C94" s="21"/>
      <c r="D94" s="21">
        <f>SUM(D89:D93)</f>
        <v>277250</v>
      </c>
      <c r="E94" s="2"/>
      <c r="F94" s="84" t="s">
        <v>16</v>
      </c>
      <c r="G94" s="85"/>
      <c r="H94" s="86"/>
      <c r="I94" s="21">
        <f>SUM(I89:I93)</f>
        <v>24600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thickTop="1" thickBo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1" t="s">
        <v>0</v>
      </c>
      <c r="B96" s="21" t="s">
        <v>57</v>
      </c>
      <c r="C96" s="21" t="s">
        <v>58</v>
      </c>
      <c r="D96" s="9">
        <v>45907</v>
      </c>
      <c r="E96" s="2"/>
      <c r="F96" s="21" t="s">
        <v>0</v>
      </c>
      <c r="G96" s="21" t="s">
        <v>59</v>
      </c>
      <c r="H96" s="21" t="s">
        <v>60</v>
      </c>
      <c r="I96" s="9">
        <v>45907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1" t="s">
        <v>6</v>
      </c>
      <c r="B97" s="21" t="s">
        <v>7</v>
      </c>
      <c r="C97" s="21" t="s">
        <v>8</v>
      </c>
      <c r="D97" s="21" t="s">
        <v>9</v>
      </c>
      <c r="E97" s="2"/>
      <c r="F97" s="21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21">
        <v>16</v>
      </c>
      <c r="B98" s="21">
        <v>500000</v>
      </c>
      <c r="C98" s="21">
        <f>VLOOKUP(A98&amp;"|"&amp;B98,$O$3:$P$16,2,FALSE)</f>
        <v>450</v>
      </c>
      <c r="D98" s="21">
        <f>VLOOKUP(A98&amp;"|"&amp;B98,$Q$3:$R$16,2,FALSE)</f>
        <v>24550</v>
      </c>
      <c r="E98" s="2"/>
      <c r="F98" s="21">
        <v>16</v>
      </c>
      <c r="G98" s="21">
        <v>1000000</v>
      </c>
      <c r="H98" s="21">
        <v>700</v>
      </c>
      <c r="I98" s="21">
        <v>49200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21">
        <v>5</v>
      </c>
      <c r="B99" s="21">
        <v>500000</v>
      </c>
      <c r="C99" s="21">
        <f>VLOOKUP(A99&amp;"|"&amp;B99,$O$3:$P$16,2,FALSE)</f>
        <v>3000</v>
      </c>
      <c r="D99" s="21">
        <f>VLOOKUP(A99&amp;"|"&amp;B99,$Q$3:$R$16,2,FALSE)</f>
        <v>22000</v>
      </c>
      <c r="E99" s="2"/>
      <c r="F99" s="21">
        <v>16.100000000000001</v>
      </c>
      <c r="G99" s="21">
        <v>1000000</v>
      </c>
      <c r="H99" s="21">
        <f>VLOOKUP(F99&amp;"|"&amp;G99,$O$3:$P$16,2,FALSE)</f>
        <v>750</v>
      </c>
      <c r="I99" s="21">
        <f>VLOOKUP(F99&amp;"|"&amp;G99,$Q$3:$R$16,2,FALSE)</f>
        <v>49250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1"/>
      <c r="B100" s="21"/>
      <c r="C100" s="21"/>
      <c r="D100" s="21"/>
      <c r="E100" s="2"/>
      <c r="F100" s="21">
        <v>20</v>
      </c>
      <c r="G100" s="21">
        <v>1000000</v>
      </c>
      <c r="H100" s="21">
        <f>VLOOKUP(F100&amp;"|"&amp;G100,$O$3:$P$16,2,FALSE)</f>
        <v>0</v>
      </c>
      <c r="I100" s="21">
        <f>VLOOKUP(F100&amp;"|"&amp;G100,$Q$3:$R$16,2,FALSE)</f>
        <v>50000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1"/>
      <c r="B101" s="21"/>
      <c r="C101" s="21"/>
      <c r="D101" s="21"/>
      <c r="E101" s="2"/>
      <c r="F101" s="21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1"/>
      <c r="B102" s="21"/>
      <c r="C102" s="21"/>
      <c r="D102" s="21"/>
      <c r="E102" s="2"/>
      <c r="F102" s="21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1" t="s">
        <v>16</v>
      </c>
      <c r="B103" s="21"/>
      <c r="C103" s="21"/>
      <c r="D103" s="21">
        <f>SUM(D98:D102)</f>
        <v>46550</v>
      </c>
      <c r="E103" s="2"/>
      <c r="F103" s="84" t="s">
        <v>16</v>
      </c>
      <c r="G103" s="85"/>
      <c r="H103" s="86"/>
      <c r="I103" s="21">
        <f>SUM(I98:I102)</f>
        <v>148450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thickTop="1" thickBo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1" t="s">
        <v>0</v>
      </c>
      <c r="B105" s="21" t="s">
        <v>61</v>
      </c>
      <c r="C105" s="21" t="s">
        <v>62</v>
      </c>
      <c r="D105" s="9">
        <v>45907</v>
      </c>
      <c r="E105" s="2"/>
      <c r="F105" s="21" t="s">
        <v>0</v>
      </c>
      <c r="G105" s="21" t="s">
        <v>63</v>
      </c>
      <c r="H105" s="21" t="s">
        <v>34</v>
      </c>
      <c r="I105" s="9">
        <v>45907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1" t="s">
        <v>6</v>
      </c>
      <c r="B106" s="21" t="s">
        <v>7</v>
      </c>
      <c r="C106" s="21" t="s">
        <v>8</v>
      </c>
      <c r="D106" s="21" t="s">
        <v>9</v>
      </c>
      <c r="E106" s="2"/>
      <c r="F106" s="21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21">
        <v>16</v>
      </c>
      <c r="B107" s="21">
        <v>500000</v>
      </c>
      <c r="C107" s="21">
        <f>VLOOKUP(A107&amp;"|"&amp;B107,$O$3:$P$16,2,FALSE)</f>
        <v>450</v>
      </c>
      <c r="D107" s="21">
        <f>VLOOKUP(A107&amp;"|"&amp;B107,$Q$3:$R$16,2,FALSE)</f>
        <v>24550</v>
      </c>
      <c r="E107" s="2"/>
      <c r="F107" s="21">
        <v>16</v>
      </c>
      <c r="G107" s="21">
        <v>500000</v>
      </c>
      <c r="H107" s="21">
        <f>VLOOKUP(F107&amp;"|"&amp;G107,$O$3:$P$16,2,FALSE)</f>
        <v>450</v>
      </c>
      <c r="I107" s="21">
        <f>VLOOKUP(F107&amp;"|"&amp;G107,$Q$3:$R$16,2,FALSE)</f>
        <v>24550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1"/>
      <c r="B108" s="21"/>
      <c r="C108" s="21"/>
      <c r="D108" s="21"/>
      <c r="E108" s="2"/>
      <c r="F108" s="21">
        <v>16</v>
      </c>
      <c r="G108" s="21">
        <v>1000000</v>
      </c>
      <c r="H108" s="21">
        <f>VLOOKUP(F108&amp;"|"&amp;G108,$O$3:$P$16,2,FALSE)</f>
        <v>750</v>
      </c>
      <c r="I108" s="21">
        <f>VLOOKUP(F108&amp;"|"&amp;G108,$Q$3:$R$16,2,FALSE)</f>
        <v>49250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1"/>
      <c r="B109" s="21"/>
      <c r="C109" s="21"/>
      <c r="D109" s="21"/>
      <c r="E109" s="2"/>
      <c r="F109" s="21">
        <v>5</v>
      </c>
      <c r="G109" s="21">
        <v>2000000</v>
      </c>
      <c r="H109" s="21">
        <f>VLOOKUP(F109&amp;"|"&amp;G109,$O$3:$P$16,2,FALSE)</f>
        <v>11000</v>
      </c>
      <c r="I109" s="21">
        <f>VLOOKUP(F109&amp;"|"&amp;G109,$Q$3:$R$16,2,FALSE)</f>
        <v>89000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1"/>
      <c r="B110" s="21"/>
      <c r="C110" s="21"/>
      <c r="D110" s="21"/>
      <c r="E110" s="2"/>
      <c r="F110" s="21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1"/>
      <c r="B111" s="21"/>
      <c r="C111" s="21"/>
      <c r="D111" s="21"/>
      <c r="E111" s="2"/>
      <c r="F111" s="21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1" t="s">
        <v>16</v>
      </c>
      <c r="B112" s="21"/>
      <c r="C112" s="21"/>
      <c r="D112" s="21">
        <f>SUM(D107:D111)</f>
        <v>24550</v>
      </c>
      <c r="E112" s="2"/>
      <c r="F112" s="84" t="s">
        <v>16</v>
      </c>
      <c r="G112" s="85"/>
      <c r="H112" s="86"/>
      <c r="I112" s="21">
        <f>SUM(I107:I111)</f>
        <v>162800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thickTop="1" thickBo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1" t="s">
        <v>0</v>
      </c>
      <c r="B114" s="21" t="s">
        <v>47</v>
      </c>
      <c r="C114" s="21" t="s">
        <v>39</v>
      </c>
      <c r="D114" s="9">
        <v>45907</v>
      </c>
      <c r="E114" s="2"/>
      <c r="F114" s="21" t="s">
        <v>0</v>
      </c>
      <c r="G114" s="21" t="s">
        <v>64</v>
      </c>
      <c r="H114" s="21" t="s">
        <v>65</v>
      </c>
      <c r="I114" s="9">
        <v>45907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1" t="s">
        <v>6</v>
      </c>
      <c r="B115" s="21" t="s">
        <v>7</v>
      </c>
      <c r="C115" s="21" t="s">
        <v>8</v>
      </c>
      <c r="D115" s="21" t="s">
        <v>9</v>
      </c>
      <c r="E115" s="2"/>
      <c r="F115" s="21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21">
        <v>16</v>
      </c>
      <c r="B116" s="21">
        <v>500000</v>
      </c>
      <c r="C116" s="21">
        <f>VLOOKUP(A116&amp;"|"&amp;B116,$O$3:$P$16,2,FALSE)</f>
        <v>450</v>
      </c>
      <c r="D116" s="21">
        <f>VLOOKUP(A116&amp;"|"&amp;B116,$Q$3:$R$16,2,FALSE)</f>
        <v>24550</v>
      </c>
      <c r="E116" s="2"/>
      <c r="F116" s="21">
        <v>16</v>
      </c>
      <c r="G116" s="21">
        <v>1000000</v>
      </c>
      <c r="H116" s="21">
        <f>VLOOKUP(F116&amp;"|"&amp;G116,$O$3:$P$16,2,FALSE)</f>
        <v>750</v>
      </c>
      <c r="I116" s="21">
        <f>VLOOKUP(F116&amp;"|"&amp;G116,$Q$3:$R$16,2,FALSE)</f>
        <v>49250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21">
        <v>20</v>
      </c>
      <c r="B117" s="21">
        <v>500000</v>
      </c>
      <c r="C117" s="21">
        <f>VLOOKUP(A117&amp;"|"&amp;B117,$O$3:$P$16,2,FALSE)</f>
        <v>0</v>
      </c>
      <c r="D117" s="21">
        <f>VLOOKUP(A117&amp;"|"&amp;B117,$Q$3:$R$16,2,FALSE)</f>
        <v>25000</v>
      </c>
      <c r="E117" s="2"/>
      <c r="F117" s="21">
        <v>5</v>
      </c>
      <c r="G117" s="21">
        <v>2000000</v>
      </c>
      <c r="H117" s="21">
        <f>VLOOKUP(F117&amp;"|"&amp;G117,$O$3:$P$17,2,FALSE)</f>
        <v>11000</v>
      </c>
      <c r="I117" s="21">
        <f>VLOOKUP(F117&amp;"|"&amp;G117,$Q$3:$R$17,2,FALSE)</f>
        <v>89000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21">
        <v>10</v>
      </c>
      <c r="B118" s="21">
        <v>500000</v>
      </c>
      <c r="C118" s="21">
        <f>VLOOKUP(A118&amp;"|"&amp;B118,$O$3:$P$16,2,FALSE)</f>
        <v>1800</v>
      </c>
      <c r="D118" s="21">
        <f>VLOOKUP(A118&amp;"|"&amp;B118,$Q$3:$R$16,2,FALSE)</f>
        <v>23200</v>
      </c>
      <c r="E118" s="2"/>
      <c r="F118" s="21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21">
        <v>10</v>
      </c>
      <c r="B119" s="21">
        <v>500000</v>
      </c>
      <c r="C119" s="21">
        <f>VLOOKUP(A119&amp;"|"&amp;B119,$O$3:$P$16,2,FALSE)</f>
        <v>1800</v>
      </c>
      <c r="D119" s="21">
        <f>VLOOKUP(A119&amp;"|"&amp;B119,$Q$3:$R$16,2,FALSE)</f>
        <v>23200</v>
      </c>
      <c r="E119" s="2"/>
      <c r="F119" s="21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1"/>
      <c r="B120" s="21"/>
      <c r="C120" s="21"/>
      <c r="D120" s="21"/>
      <c r="E120" s="2"/>
      <c r="F120" s="21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1" t="s">
        <v>16</v>
      </c>
      <c r="B121" s="21"/>
      <c r="C121" s="21"/>
      <c r="D121" s="21">
        <f>SUM(D116:D120)</f>
        <v>95950</v>
      </c>
      <c r="E121" s="2"/>
      <c r="F121" s="84" t="s">
        <v>16</v>
      </c>
      <c r="G121" s="85"/>
      <c r="H121" s="86"/>
      <c r="I121" s="21">
        <f>SUM(I116:I120)</f>
        <v>138250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thickTop="1" thickBo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1" t="s">
        <v>0</v>
      </c>
      <c r="B123" s="21" t="s">
        <v>66</v>
      </c>
      <c r="C123" s="21" t="s">
        <v>67</v>
      </c>
      <c r="D123" s="9">
        <v>45907</v>
      </c>
      <c r="E123" s="2"/>
      <c r="F123" s="21" t="s">
        <v>0</v>
      </c>
      <c r="G123" s="21" t="s">
        <v>68</v>
      </c>
      <c r="H123" s="21" t="s">
        <v>69</v>
      </c>
      <c r="I123" s="9">
        <v>45907</v>
      </c>
      <c r="J123" s="1"/>
      <c r="K123" s="1"/>
      <c r="L123" s="1"/>
      <c r="M123" s="1" t="s">
        <v>70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1" t="s">
        <v>6</v>
      </c>
      <c r="B124" s="21" t="s">
        <v>7</v>
      </c>
      <c r="C124" s="21" t="s">
        <v>8</v>
      </c>
      <c r="D124" s="21" t="s">
        <v>9</v>
      </c>
      <c r="E124" s="2"/>
      <c r="F124" s="21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21">
        <v>16</v>
      </c>
      <c r="B125" s="21">
        <v>500000</v>
      </c>
      <c r="C125" s="21">
        <f>VLOOKUP(A125&amp;"|"&amp;B125,$O$3:$P$16,2,FALSE)</f>
        <v>450</v>
      </c>
      <c r="D125" s="21">
        <f>VLOOKUP(A125&amp;"|"&amp;B125,$Q$3:$R$16,2,FALSE)</f>
        <v>24550</v>
      </c>
      <c r="E125" s="2"/>
      <c r="F125" s="21">
        <v>16</v>
      </c>
      <c r="G125" s="21">
        <v>1000000</v>
      </c>
      <c r="H125" s="21">
        <f>VLOOKUP(F125&amp;"|"&amp;G125,$O$3:$P$16,2,FALSE)</f>
        <v>750</v>
      </c>
      <c r="I125" s="21">
        <f>VLOOKUP(F125&amp;"|"&amp;G125,$Q$3:$R$16,2,FALSE)</f>
        <v>49250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21">
        <v>5</v>
      </c>
      <c r="B126" s="21">
        <v>2000000</v>
      </c>
      <c r="C126" s="21">
        <f>VLOOKUP(A126&amp;"|"&amp;B126,$O$3:$P$16,2,FALSE)</f>
        <v>11000</v>
      </c>
      <c r="D126" s="21">
        <f>VLOOKUP(A126&amp;"|"&amp;B126,$Q$3:$R$16,2,FALSE)</f>
        <v>89000</v>
      </c>
      <c r="E126" s="2"/>
      <c r="F126" s="21">
        <v>10</v>
      </c>
      <c r="G126" s="21">
        <v>500000</v>
      </c>
      <c r="H126" s="21">
        <f>VLOOKUP(F126&amp;"|"&amp;G126,$O$3:$P$16,2,FALSE)</f>
        <v>1800</v>
      </c>
      <c r="I126" s="21">
        <f>VLOOKUP(F126&amp;"|"&amp;G126,$Q$3:$R$16,2,FALSE)</f>
        <v>23200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1"/>
      <c r="B127" s="21"/>
      <c r="C127" s="21"/>
      <c r="D127" s="21"/>
      <c r="E127" s="2"/>
      <c r="F127" s="21">
        <v>10</v>
      </c>
      <c r="G127" s="21">
        <v>500000</v>
      </c>
      <c r="H127" s="21">
        <f>VLOOKUP(F127&amp;"|"&amp;G127,$O$3:$P$16,2,FALSE)</f>
        <v>1800</v>
      </c>
      <c r="I127" s="21">
        <f>VLOOKUP(F127&amp;"|"&amp;G127,$Q$3:$R$16,2,FALSE)</f>
        <v>23200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1"/>
      <c r="B128" s="21"/>
      <c r="C128" s="21"/>
      <c r="D128" s="21"/>
      <c r="E128" s="2"/>
      <c r="F128" s="21">
        <v>20</v>
      </c>
      <c r="G128" s="21">
        <v>500000</v>
      </c>
      <c r="H128" s="21">
        <f>VLOOKUP(F128&amp;"|"&amp;G128,$O$3:$P$16,2,FALSE)</f>
        <v>0</v>
      </c>
      <c r="I128" s="21">
        <f>VLOOKUP(F128&amp;"|"&amp;G128,$Q$3:$R$16,2,FALSE)</f>
        <v>25000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1"/>
      <c r="B129" s="21"/>
      <c r="C129" s="21"/>
      <c r="D129" s="21"/>
      <c r="E129" s="2"/>
      <c r="F129" s="21"/>
      <c r="G129" s="21"/>
      <c r="H129" s="21"/>
      <c r="I129" s="2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1" t="s">
        <v>16</v>
      </c>
      <c r="B130" s="21"/>
      <c r="C130" s="21"/>
      <c r="D130" s="21">
        <f>SUM(D125:D129)</f>
        <v>113550</v>
      </c>
      <c r="E130" s="2"/>
      <c r="F130" s="84" t="s">
        <v>16</v>
      </c>
      <c r="G130" s="85"/>
      <c r="H130" s="86"/>
      <c r="I130" s="21">
        <f>SUM(I125:I129)</f>
        <v>120650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thickTop="1" thickBo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1" t="s">
        <v>0</v>
      </c>
      <c r="B132" s="21" t="s">
        <v>71</v>
      </c>
      <c r="C132" s="21" t="s">
        <v>72</v>
      </c>
      <c r="D132" s="9">
        <v>45907</v>
      </c>
      <c r="E132" s="2"/>
      <c r="F132" s="21" t="s">
        <v>0</v>
      </c>
      <c r="G132" s="21" t="s">
        <v>73</v>
      </c>
      <c r="H132" s="21" t="s">
        <v>74</v>
      </c>
      <c r="I132" s="9">
        <v>45907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1" t="s">
        <v>6</v>
      </c>
      <c r="B133" s="21" t="s">
        <v>7</v>
      </c>
      <c r="C133" s="21" t="s">
        <v>8</v>
      </c>
      <c r="D133" s="21" t="s">
        <v>9</v>
      </c>
      <c r="E133" s="2"/>
      <c r="F133" s="21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21">
        <v>16</v>
      </c>
      <c r="B134" s="21">
        <v>500000</v>
      </c>
      <c r="C134" s="21">
        <f>VLOOKUP(A134&amp;"|"&amp;B134,$O$3:$P$16,2,FALSE)</f>
        <v>450</v>
      </c>
      <c r="D134" s="21">
        <f>VLOOKUP(A134&amp;"|"&amp;B134,$Q$3:$R$16,2,FALSE)</f>
        <v>24550</v>
      </c>
      <c r="E134" s="2"/>
      <c r="F134" s="21">
        <v>16</v>
      </c>
      <c r="G134" s="21">
        <v>500000</v>
      </c>
      <c r="H134" s="21">
        <f>VLOOKUP(F134&amp;"|"&amp;G134,$O$3:$P$16,2,FALSE)</f>
        <v>450</v>
      </c>
      <c r="I134" s="21">
        <f>VLOOKUP(F134&amp;"|"&amp;G134,$Q$3:$R$16,2,FALSE)</f>
        <v>24550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21">
        <v>20</v>
      </c>
      <c r="B135" s="21">
        <v>500000</v>
      </c>
      <c r="C135" s="21">
        <f>VLOOKUP(A135&amp;"|"&amp;B135,$O$3:$P$16,2,FALSE)</f>
        <v>0</v>
      </c>
      <c r="D135" s="21">
        <f>VLOOKUP(A135&amp;"|"&amp;B135,$Q$3:$R$16,2,FALSE)</f>
        <v>25000</v>
      </c>
      <c r="E135" s="2"/>
      <c r="F135" s="21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1"/>
      <c r="B136" s="21"/>
      <c r="C136" s="21"/>
      <c r="D136" s="21"/>
      <c r="E136" s="2"/>
      <c r="F136" s="21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1"/>
      <c r="B137" s="21"/>
      <c r="C137" s="21"/>
      <c r="D137" s="21"/>
      <c r="E137" s="2"/>
      <c r="F137" s="21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1"/>
      <c r="B138" s="21"/>
      <c r="C138" s="21"/>
      <c r="D138" s="21"/>
      <c r="E138" s="2"/>
      <c r="F138" s="21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1" t="s">
        <v>16</v>
      </c>
      <c r="B139" s="21"/>
      <c r="C139" s="21"/>
      <c r="D139" s="21">
        <f>SUM(D134:D138)</f>
        <v>49550</v>
      </c>
      <c r="E139" s="2"/>
      <c r="F139" s="84" t="s">
        <v>16</v>
      </c>
      <c r="G139" s="85"/>
      <c r="H139" s="86"/>
      <c r="I139" s="21">
        <f>SUM(I134:I138)</f>
        <v>24550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thickTop="1" thickBo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1" t="s">
        <v>0</v>
      </c>
      <c r="B141" s="21" t="s">
        <v>75</v>
      </c>
      <c r="C141" s="21" t="s">
        <v>76</v>
      </c>
      <c r="D141" s="9">
        <v>45907</v>
      </c>
      <c r="E141" s="2"/>
      <c r="F141" s="12" t="s">
        <v>3</v>
      </c>
      <c r="G141" s="12" t="s">
        <v>77</v>
      </c>
      <c r="H141" s="12" t="s">
        <v>78</v>
      </c>
      <c r="I141" s="9">
        <v>45907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1" t="s">
        <v>6</v>
      </c>
      <c r="B142" s="21" t="s">
        <v>7</v>
      </c>
      <c r="C142" s="21" t="s">
        <v>8</v>
      </c>
      <c r="D142" s="21" t="s">
        <v>9</v>
      </c>
      <c r="E142" s="2"/>
      <c r="F142" s="21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21">
        <v>16</v>
      </c>
      <c r="B143" s="21">
        <v>500000</v>
      </c>
      <c r="C143" s="21">
        <f>VLOOKUP(A143&amp;"|"&amp;B143,$O$3:$P$16,2,FALSE)</f>
        <v>450</v>
      </c>
      <c r="D143" s="21">
        <f>VLOOKUP(A143&amp;"|"&amp;B143,$Q$3:$R$16,2,FALSE)</f>
        <v>24550</v>
      </c>
      <c r="E143" s="2"/>
      <c r="F143" s="21">
        <v>20</v>
      </c>
      <c r="G143" s="21">
        <v>1000000</v>
      </c>
      <c r="H143" s="21">
        <f>VLOOKUP(F143&amp;"|"&amp;G143,$O$3:$P$18,2,FALSE)</f>
        <v>0</v>
      </c>
      <c r="I143" s="21">
        <f>VLOOKUP(F143&amp;"|"&amp;G143,$Q$3:$R$17,2,FALSE)</f>
        <v>50000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21">
        <v>10</v>
      </c>
      <c r="B144" s="21">
        <v>500000</v>
      </c>
      <c r="C144" s="21">
        <f>VLOOKUP(A144&amp;"|"&amp;B144,$O$3:$P$16,2,FALSE)</f>
        <v>1800</v>
      </c>
      <c r="D144" s="21">
        <f>VLOOKUP(A144&amp;"|"&amp;B144,$Q$3:$R$16,2,FALSE)</f>
        <v>23200</v>
      </c>
      <c r="E144" s="2"/>
      <c r="F144" s="21">
        <v>20</v>
      </c>
      <c r="G144" s="21">
        <v>1000000</v>
      </c>
      <c r="H144" s="21">
        <f>VLOOKUP(F144&amp;"|"&amp;G144,$O$3:$P$17,2,FALSE)</f>
        <v>0</v>
      </c>
      <c r="I144" s="21">
        <f>VLOOKUP(F144&amp;"|"&amp;G144,$Q$3:$R$17,2,FALSE)</f>
        <v>50000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21">
        <v>13</v>
      </c>
      <c r="B145" s="21">
        <v>500000</v>
      </c>
      <c r="C145" s="21">
        <f>VLOOKUP(A145&amp;"|"&amp;B145,$O$3:$P$16,2,FALSE)</f>
        <v>1150</v>
      </c>
      <c r="D145" s="21">
        <f>VLOOKUP(A145&amp;"|"&amp;B145,$Q$3:$R$16,2,FALSE)</f>
        <v>23850</v>
      </c>
      <c r="E145" s="2"/>
      <c r="F145" s="21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21">
        <v>20</v>
      </c>
      <c r="B146" s="21">
        <v>1000000</v>
      </c>
      <c r="C146" s="21">
        <f>VLOOKUP(A146&amp;"|"&amp;B146,$O$3:$P$16,2,FALSE)</f>
        <v>0</v>
      </c>
      <c r="D146" s="21">
        <f>VLOOKUP(A146&amp;"|"&amp;B146,$Q$3:$R$16,2,FALSE)</f>
        <v>50000</v>
      </c>
      <c r="E146" s="2"/>
      <c r="F146" s="21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1"/>
      <c r="B147" s="21"/>
      <c r="C147" s="21"/>
      <c r="D147" s="21"/>
      <c r="E147" s="2"/>
      <c r="F147" s="21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1" t="s">
        <v>16</v>
      </c>
      <c r="B148" s="21"/>
      <c r="C148" s="21"/>
      <c r="D148" s="21">
        <f>SUM(D143:D147)</f>
        <v>121600</v>
      </c>
      <c r="E148" s="2"/>
      <c r="F148" s="84" t="s">
        <v>16</v>
      </c>
      <c r="G148" s="85"/>
      <c r="H148" s="86"/>
      <c r="I148" s="21">
        <f>SUM(I143:I147)</f>
        <v>100000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2"/>
      <c r="B149" s="2"/>
      <c r="C149" s="2"/>
      <c r="D149" s="2"/>
      <c r="E149" s="2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1" t="s">
        <v>0</v>
      </c>
      <c r="B150" s="21" t="s">
        <v>192</v>
      </c>
      <c r="C150" s="21" t="s">
        <v>193</v>
      </c>
      <c r="D150" s="9">
        <v>45907</v>
      </c>
      <c r="E150" s="2"/>
      <c r="F150" s="21" t="s">
        <v>0</v>
      </c>
      <c r="G150" s="21" t="s">
        <v>80</v>
      </c>
      <c r="H150" s="21" t="s">
        <v>81</v>
      </c>
      <c r="I150" s="9">
        <v>45907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1" t="s">
        <v>6</v>
      </c>
      <c r="B151" s="21" t="s">
        <v>7</v>
      </c>
      <c r="C151" s="21" t="s">
        <v>8</v>
      </c>
      <c r="D151" s="21" t="s">
        <v>9</v>
      </c>
      <c r="E151" s="2"/>
      <c r="F151" s="21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21">
        <v>20</v>
      </c>
      <c r="B152" s="21">
        <v>1000000</v>
      </c>
      <c r="C152" s="21">
        <f>VLOOKUP(A152&amp;"|"&amp;B152,$O$3:$P$16,2,FALSE)</f>
        <v>0</v>
      </c>
      <c r="D152" s="21">
        <f>VLOOKUP(A152&amp;"|"&amp;B152,$Q$3:$R$16,2,FALSE)</f>
        <v>50000</v>
      </c>
      <c r="E152" s="10"/>
      <c r="F152" s="21">
        <v>16</v>
      </c>
      <c r="G152" s="21">
        <v>500000</v>
      </c>
      <c r="H152" s="21">
        <f>VLOOKUP(F152&amp;"|"&amp;G152,$O$3:$P$16,2,FALSE)</f>
        <v>450</v>
      </c>
      <c r="I152" s="21">
        <f>VLOOKUP(F152&amp;"|"&amp;G152,$Q$3:$R$16,2,FALSE)</f>
        <v>24550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1"/>
      <c r="B153" s="21"/>
      <c r="C153" s="21"/>
      <c r="D153" s="21"/>
      <c r="E153" s="2"/>
      <c r="F153" s="21">
        <v>13</v>
      </c>
      <c r="G153" s="21">
        <v>500000</v>
      </c>
      <c r="H153" s="21">
        <f>VLOOKUP(F153&amp;"|"&amp;G153,$O$3:$P$16,2,FALSE)</f>
        <v>1150</v>
      </c>
      <c r="I153" s="21">
        <f>VLOOKUP(F153&amp;"|"&amp;G153,$Q$3:$R$16,2,FALSE)</f>
        <v>23850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1"/>
      <c r="B154" s="21"/>
      <c r="C154" s="21"/>
      <c r="D154" s="21"/>
      <c r="E154" s="2"/>
      <c r="F154" s="21">
        <v>20</v>
      </c>
      <c r="G154" s="21">
        <v>500000</v>
      </c>
      <c r="H154" s="21">
        <f>VLOOKUP(F154&amp;"|"&amp;G154,$O$3:$P$16,2,FALSE)</f>
        <v>0</v>
      </c>
      <c r="I154" s="21">
        <f>VLOOKUP(F154&amp;"|"&amp;G154,$Q$3:$R$16,2,FALSE)</f>
        <v>25000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1"/>
      <c r="B155" s="21"/>
      <c r="C155" s="21"/>
      <c r="D155" s="21"/>
      <c r="E155" s="2"/>
      <c r="F155" s="21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1"/>
      <c r="B156" s="21"/>
      <c r="C156" s="21"/>
      <c r="D156" s="21"/>
      <c r="E156" s="2"/>
      <c r="F156" s="21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1" t="s">
        <v>16</v>
      </c>
      <c r="B157" s="21"/>
      <c r="C157" s="21"/>
      <c r="D157" s="21">
        <f>SUM(D152:D156)</f>
        <v>50000</v>
      </c>
      <c r="E157" s="2"/>
      <c r="F157" s="84" t="s">
        <v>16</v>
      </c>
      <c r="G157" s="85"/>
      <c r="H157" s="86"/>
      <c r="I157" s="21">
        <f>SUM(I152:I156)</f>
        <v>73400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thickTop="1" thickBo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1" t="s">
        <v>0</v>
      </c>
      <c r="B159" s="21" t="s">
        <v>82</v>
      </c>
      <c r="C159" s="21" t="s">
        <v>24</v>
      </c>
      <c r="D159" s="9">
        <v>45907</v>
      </c>
      <c r="E159" s="2"/>
      <c r="F159" s="21" t="s">
        <v>0</v>
      </c>
      <c r="G159" s="21" t="s">
        <v>21</v>
      </c>
      <c r="H159" s="21" t="s">
        <v>83</v>
      </c>
      <c r="I159" s="9">
        <v>45907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1" t="s">
        <v>6</v>
      </c>
      <c r="B160" s="21" t="s">
        <v>7</v>
      </c>
      <c r="C160" s="21" t="s">
        <v>8</v>
      </c>
      <c r="D160" s="21" t="s">
        <v>9</v>
      </c>
      <c r="E160" s="2"/>
      <c r="F160" s="21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21">
        <v>16.100000000000001</v>
      </c>
      <c r="B161" s="21">
        <v>1000000</v>
      </c>
      <c r="C161" s="21">
        <f>VLOOKUP(A161&amp;"|"&amp;B161,$O$3:$P$16,2,FALSE)</f>
        <v>750</v>
      </c>
      <c r="D161" s="21">
        <f>VLOOKUP(A161&amp;"|"&amp;B161,$Q$3:$R$16,2,FALSE)</f>
        <v>49250</v>
      </c>
      <c r="E161" s="2"/>
      <c r="F161" s="21">
        <v>16.100000000000001</v>
      </c>
      <c r="G161" s="21">
        <v>1000000</v>
      </c>
      <c r="H161" s="21">
        <f>VLOOKUP(F161&amp;"|"&amp;G161,$O$3:$P$16,2,FALSE)</f>
        <v>750</v>
      </c>
      <c r="I161" s="21">
        <f>VLOOKUP(F161&amp;"|"&amp;G161,$Q$3:$R$16,2,FALSE)</f>
        <v>49250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1"/>
      <c r="B162" s="21"/>
      <c r="C162" s="21"/>
      <c r="D162" s="21"/>
      <c r="E162" s="2"/>
      <c r="F162" s="21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1"/>
      <c r="B163" s="21"/>
      <c r="C163" s="21"/>
      <c r="D163" s="21"/>
      <c r="E163" s="2"/>
      <c r="F163" s="21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1"/>
      <c r="B164" s="21"/>
      <c r="C164" s="21"/>
      <c r="D164" s="21"/>
      <c r="E164" s="2"/>
      <c r="F164" s="21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1"/>
      <c r="B165" s="21"/>
      <c r="C165" s="21"/>
      <c r="D165" s="21"/>
      <c r="E165" s="2"/>
      <c r="F165" s="21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1" t="s">
        <v>16</v>
      </c>
      <c r="B166" s="21"/>
      <c r="C166" s="21"/>
      <c r="D166" s="21">
        <f>SUM(D161:D165)</f>
        <v>49250</v>
      </c>
      <c r="E166" s="2"/>
      <c r="F166" s="84" t="s">
        <v>16</v>
      </c>
      <c r="G166" s="85"/>
      <c r="H166" s="86"/>
      <c r="I166" s="21">
        <f>SUM(I161:I165)</f>
        <v>49250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thickTop="1" thickBo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1" t="s">
        <v>0</v>
      </c>
      <c r="B168" s="21" t="s">
        <v>84</v>
      </c>
      <c r="C168" s="21" t="s">
        <v>72</v>
      </c>
      <c r="D168" s="9">
        <v>45907</v>
      </c>
      <c r="E168" s="2"/>
      <c r="F168" s="21" t="s">
        <v>0</v>
      </c>
      <c r="G168" s="21" t="s">
        <v>29</v>
      </c>
      <c r="H168" s="21" t="s">
        <v>43</v>
      </c>
      <c r="I168" s="9">
        <v>45907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1" t="s">
        <v>6</v>
      </c>
      <c r="B169" s="21" t="s">
        <v>7</v>
      </c>
      <c r="C169" s="21" t="s">
        <v>8</v>
      </c>
      <c r="D169" s="21" t="s">
        <v>9</v>
      </c>
      <c r="E169" s="2"/>
      <c r="F169" s="21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21">
        <v>16.100000000000001</v>
      </c>
      <c r="B170" s="21">
        <v>1000000</v>
      </c>
      <c r="C170" s="21">
        <f>VLOOKUP(A170&amp;"|"&amp;B170,$O$3:$P$16,2,FALSE)</f>
        <v>750</v>
      </c>
      <c r="D170" s="21">
        <f>VLOOKUP(A170&amp;"|"&amp;B170,$Q$3:$R$16,2,FALSE)</f>
        <v>49250</v>
      </c>
      <c r="E170" s="2" t="s">
        <v>85</v>
      </c>
      <c r="F170" s="21">
        <v>16</v>
      </c>
      <c r="G170" s="21">
        <v>1000000</v>
      </c>
      <c r="H170" s="21">
        <f>VLOOKUP(F170&amp;"|"&amp;G170,$O$3:$P$16,2,FALSE)</f>
        <v>750</v>
      </c>
      <c r="I170" s="21">
        <f>VLOOKUP(F170&amp;"|"&amp;G170,$Q$3:$R$16,2,FALSE)</f>
        <v>49250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21">
        <v>5</v>
      </c>
      <c r="B171" s="21">
        <v>1000000</v>
      </c>
      <c r="C171" s="21">
        <f>VLOOKUP(A171&amp;"|"&amp;B171,$O$3:$P$16,2,FALSE)</f>
        <v>5550</v>
      </c>
      <c r="D171" s="21">
        <f>VLOOKUP(A171&amp;"|"&amp;B171,$Q$3:$R$16,2,FALSE)</f>
        <v>44450</v>
      </c>
      <c r="E171" s="2"/>
      <c r="F171" s="21">
        <v>10</v>
      </c>
      <c r="G171" s="21">
        <v>500000</v>
      </c>
      <c r="H171" s="21">
        <f>VLOOKUP(F171&amp;"|"&amp;G171,$O$3:$P$16,2,FALSE)</f>
        <v>1800</v>
      </c>
      <c r="I171" s="21">
        <f>VLOOKUP(F171&amp;"|"&amp;G171,$Q$3:$R$16,2,FALSE)</f>
        <v>23200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21"/>
      <c r="B172" s="21"/>
      <c r="C172" s="21"/>
      <c r="D172" s="21"/>
      <c r="E172" s="2"/>
      <c r="F172" s="21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1"/>
      <c r="B173" s="21"/>
      <c r="C173" s="21"/>
      <c r="D173" s="21"/>
      <c r="E173" s="2"/>
      <c r="F173" s="21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1"/>
      <c r="B174" s="21"/>
      <c r="C174" s="21"/>
      <c r="D174" s="21"/>
      <c r="E174" s="2"/>
      <c r="F174" s="21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1" t="s">
        <v>16</v>
      </c>
      <c r="B175" s="21"/>
      <c r="C175" s="21"/>
      <c r="D175" s="21">
        <f>SUM(D170:D174)</f>
        <v>93700</v>
      </c>
      <c r="E175" s="2"/>
      <c r="F175" s="84" t="s">
        <v>16</v>
      </c>
      <c r="G175" s="85"/>
      <c r="H175" s="86"/>
      <c r="I175" s="21">
        <f>SUM(I170:I174)</f>
        <v>72450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thickTop="1" thickBo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1" t="s">
        <v>0</v>
      </c>
      <c r="B177" s="21" t="s">
        <v>86</v>
      </c>
      <c r="C177" s="21" t="s">
        <v>62</v>
      </c>
      <c r="D177" s="9">
        <v>45907</v>
      </c>
      <c r="E177" s="2"/>
      <c r="F177" s="21" t="s">
        <v>0</v>
      </c>
      <c r="G177" s="21" t="s">
        <v>87</v>
      </c>
      <c r="H177" s="21" t="s">
        <v>76</v>
      </c>
      <c r="I177" s="9">
        <v>45907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1" t="s">
        <v>6</v>
      </c>
      <c r="B178" s="21" t="s">
        <v>7</v>
      </c>
      <c r="C178" s="21" t="s">
        <v>8</v>
      </c>
      <c r="D178" s="21" t="s">
        <v>9</v>
      </c>
      <c r="E178" s="2"/>
      <c r="F178" s="21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21">
        <v>5</v>
      </c>
      <c r="B179" s="21">
        <v>2000000</v>
      </c>
      <c r="C179" s="21">
        <f>VLOOKUP(A179&amp;"|"&amp;B179,$O$3:$P$16,2,FALSE)</f>
        <v>11000</v>
      </c>
      <c r="D179" s="21">
        <f>VLOOKUP(A179&amp;"|"&amp;B179,$Q$3:$R$16,2,FALSE)</f>
        <v>89000</v>
      </c>
      <c r="E179" s="2"/>
      <c r="F179" s="21">
        <v>16.100000000000001</v>
      </c>
      <c r="G179" s="21">
        <v>1000000</v>
      </c>
      <c r="H179" s="21">
        <f>VLOOKUP(F179&amp;"|"&amp;G179,$O$3:$P$16,2,FALSE)</f>
        <v>750</v>
      </c>
      <c r="I179" s="21">
        <f>VLOOKUP(F179&amp;"|"&amp;G179,$Q$3:$R$16,2,FALSE)</f>
        <v>49250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21">
        <v>13</v>
      </c>
      <c r="B180" s="21">
        <v>500000</v>
      </c>
      <c r="C180" s="21">
        <f>VLOOKUP(A180&amp;"|"&amp;B180,$O$3:$P$16,2,FALSE)</f>
        <v>1150</v>
      </c>
      <c r="D180" s="21">
        <f>VLOOKUP(A180&amp;"|"&amp;B180,$Q$3:$R$16,2,FALSE)</f>
        <v>23850</v>
      </c>
      <c r="E180" s="2"/>
      <c r="F180" s="21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1"/>
      <c r="B181" s="21"/>
      <c r="C181" s="21"/>
      <c r="D181" s="21"/>
      <c r="E181" s="2"/>
      <c r="F181" s="21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1"/>
      <c r="B182" s="21"/>
      <c r="C182" s="21"/>
      <c r="D182" s="21"/>
      <c r="E182" s="2"/>
      <c r="F182" s="21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1"/>
      <c r="B183" s="21"/>
      <c r="C183" s="21"/>
      <c r="D183" s="21"/>
      <c r="E183" s="2"/>
      <c r="F183" s="21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1" t="s">
        <v>16</v>
      </c>
      <c r="B184" s="21"/>
      <c r="C184" s="21"/>
      <c r="D184" s="21">
        <f>SUM(D179:D183)</f>
        <v>112850</v>
      </c>
      <c r="E184" s="2"/>
      <c r="F184" s="84" t="s">
        <v>16</v>
      </c>
      <c r="G184" s="85"/>
      <c r="H184" s="86"/>
      <c r="I184" s="21">
        <f>SUM(I179:I183)</f>
        <v>49250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thickTop="1" thickBot="1">
      <c r="A185" s="2" t="s">
        <v>182</v>
      </c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2" t="s">
        <v>3</v>
      </c>
      <c r="B186" s="12" t="s">
        <v>88</v>
      </c>
      <c r="C186" s="12" t="s">
        <v>76</v>
      </c>
      <c r="D186" s="9">
        <v>45907</v>
      </c>
      <c r="E186" s="2"/>
      <c r="F186" s="21" t="s">
        <v>0</v>
      </c>
      <c r="G186" s="21" t="s">
        <v>89</v>
      </c>
      <c r="H186" s="21" t="s">
        <v>90</v>
      </c>
      <c r="I186" s="9">
        <v>45907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1" t="s">
        <v>91</v>
      </c>
      <c r="B187" s="21" t="s">
        <v>92</v>
      </c>
      <c r="C187" s="21" t="s">
        <v>93</v>
      </c>
      <c r="D187" s="21" t="s">
        <v>9</v>
      </c>
      <c r="E187" s="2"/>
      <c r="F187" s="21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21">
        <v>20</v>
      </c>
      <c r="B188" s="21">
        <v>1000000</v>
      </c>
      <c r="C188" s="21">
        <f>VLOOKUP(A188&amp;"|"&amp;B188,$O$3:$P$17,2,FALSE)</f>
        <v>0</v>
      </c>
      <c r="D188" s="21">
        <f>VLOOKUP(A188&amp;"|"&amp;B188,$Q$3:$R$17,2,FALSE)</f>
        <v>50000</v>
      </c>
      <c r="E188" s="2"/>
      <c r="F188" s="21">
        <v>16.100000000000001</v>
      </c>
      <c r="G188" s="21">
        <v>500000</v>
      </c>
      <c r="H188" s="21">
        <f>VLOOKUP(F188&amp;"|"&amp;G188,$O$3:$P$16,2,FALSE)</f>
        <v>400</v>
      </c>
      <c r="I188" s="21">
        <f>VLOOKUP(F188&amp;"|"&amp;G188,$Q$3:$R$16,2,FALSE)</f>
        <v>24600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21">
        <v>16.100000000000001</v>
      </c>
      <c r="B189" s="21">
        <v>1000000</v>
      </c>
      <c r="C189" s="21">
        <f>VLOOKUP(A189&amp;"|"&amp;B189,$O$3:$P$17,2,FALSE)</f>
        <v>750</v>
      </c>
      <c r="D189" s="21">
        <f>VLOOKUP(A189&amp;"|"&amp;B189,$Q$3:$R$17,2,FALSE)</f>
        <v>49250</v>
      </c>
      <c r="E189" s="2"/>
      <c r="F189" s="21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21"/>
      <c r="B190" s="21"/>
      <c r="C190" s="21"/>
      <c r="D190" s="21"/>
      <c r="E190" s="2"/>
      <c r="F190" s="21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1"/>
      <c r="B191" s="21"/>
      <c r="C191" s="21"/>
      <c r="D191" s="21"/>
      <c r="E191" s="2"/>
      <c r="F191" s="21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1"/>
      <c r="B192" s="21"/>
      <c r="C192" s="21"/>
      <c r="D192" s="21"/>
      <c r="E192" s="2"/>
      <c r="F192" s="21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1" t="s">
        <v>16</v>
      </c>
      <c r="B193" s="21"/>
      <c r="C193" s="21"/>
      <c r="D193" s="21">
        <f>SUM(D188:D192)</f>
        <v>99250</v>
      </c>
      <c r="E193" s="2"/>
      <c r="F193" s="84" t="s">
        <v>16</v>
      </c>
      <c r="G193" s="85"/>
      <c r="H193" s="86"/>
      <c r="I193" s="21">
        <f>SUM(I188:I192)</f>
        <v>24600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thickTop="1" thickBo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1" t="s">
        <v>0</v>
      </c>
      <c r="B195" s="21" t="s">
        <v>94</v>
      </c>
      <c r="C195" s="21" t="s">
        <v>24</v>
      </c>
      <c r="D195" s="9">
        <v>45907</v>
      </c>
      <c r="E195" s="2"/>
      <c r="F195" s="21" t="s">
        <v>0</v>
      </c>
      <c r="G195" s="21" t="s">
        <v>95</v>
      </c>
      <c r="H195" s="21" t="s">
        <v>96</v>
      </c>
      <c r="I195" s="9">
        <v>45907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1" t="s">
        <v>6</v>
      </c>
      <c r="B196" s="21" t="s">
        <v>7</v>
      </c>
      <c r="C196" s="21" t="s">
        <v>8</v>
      </c>
      <c r="D196" s="21" t="s">
        <v>9</v>
      </c>
      <c r="E196" s="2"/>
      <c r="F196" s="21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21">
        <v>16.100000000000001</v>
      </c>
      <c r="B197" s="21">
        <v>1000000</v>
      </c>
      <c r="C197" s="21">
        <f>VLOOKUP(A197&amp;"|"&amp;B197,$O$3:$P$16,2,FALSE)</f>
        <v>750</v>
      </c>
      <c r="D197" s="21">
        <f>VLOOKUP(A197&amp;"|"&amp;B197,$Q$3:$R$16,2,FALSE)</f>
        <v>49250</v>
      </c>
      <c r="E197" s="2"/>
      <c r="F197" s="21">
        <v>16</v>
      </c>
      <c r="G197" s="21">
        <v>1000000</v>
      </c>
      <c r="H197" s="21">
        <v>700</v>
      </c>
      <c r="I197" s="21">
        <v>49200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21">
        <v>5</v>
      </c>
      <c r="B198" s="21">
        <v>1000000</v>
      </c>
      <c r="C198" s="21">
        <f>VLOOKUP(A198&amp;"|"&amp;B198,$O$3:$P$16,2,FALSE)</f>
        <v>5550</v>
      </c>
      <c r="D198" s="21">
        <f>VLOOKUP(A198&amp;"|"&amp;B198,$Q$3:$R$16,2,FALSE)</f>
        <v>44450</v>
      </c>
      <c r="E198" s="2"/>
      <c r="F198" s="21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1"/>
      <c r="B199" s="21"/>
      <c r="C199" s="21"/>
      <c r="D199" s="21"/>
      <c r="E199" s="2"/>
      <c r="F199" s="21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1"/>
      <c r="B200" s="21"/>
      <c r="C200" s="21"/>
      <c r="D200" s="21"/>
      <c r="E200" s="2"/>
      <c r="F200" s="21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1"/>
      <c r="B201" s="21"/>
      <c r="C201" s="21"/>
      <c r="D201" s="21"/>
      <c r="E201" s="2"/>
      <c r="F201" s="21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1" t="s">
        <v>16</v>
      </c>
      <c r="B202" s="21"/>
      <c r="C202" s="21"/>
      <c r="D202" s="21">
        <f>SUM(D197:D201)</f>
        <v>93700</v>
      </c>
      <c r="E202" s="2"/>
      <c r="F202" s="84" t="s">
        <v>16</v>
      </c>
      <c r="G202" s="85"/>
      <c r="H202" s="86"/>
      <c r="I202" s="21">
        <f>SUM(I197:I201)</f>
        <v>49200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thickTop="1" thickBo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2" t="s">
        <v>3</v>
      </c>
      <c r="B204" s="12" t="s">
        <v>97</v>
      </c>
      <c r="C204" s="12" t="s">
        <v>98</v>
      </c>
      <c r="D204" s="9">
        <v>45907</v>
      </c>
      <c r="F204" s="12" t="s">
        <v>3</v>
      </c>
      <c r="G204" s="12" t="s">
        <v>99</v>
      </c>
      <c r="H204" s="12" t="s">
        <v>100</v>
      </c>
      <c r="I204" s="9">
        <v>45907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1" t="s">
        <v>6</v>
      </c>
      <c r="B205" s="21" t="s">
        <v>7</v>
      </c>
      <c r="C205" s="21" t="s">
        <v>8</v>
      </c>
      <c r="D205" s="21" t="s">
        <v>9</v>
      </c>
      <c r="F205" s="21" t="s">
        <v>91</v>
      </c>
      <c r="G205" s="21" t="s">
        <v>92</v>
      </c>
      <c r="H205" s="21" t="s">
        <v>93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21">
        <v>16</v>
      </c>
      <c r="B206" s="21">
        <v>1000000</v>
      </c>
      <c r="C206" s="21">
        <f>VLOOKUP(A206&amp;"|"&amp;B206,$O$3:$P$18,2,FALSE)</f>
        <v>750</v>
      </c>
      <c r="D206" s="21">
        <f>VLOOKUP(A206&amp;"|"&amp;B206,$Q$3:$R$17,2,FALSE)</f>
        <v>49250</v>
      </c>
      <c r="F206" s="21">
        <v>20</v>
      </c>
      <c r="G206" s="21">
        <v>500000</v>
      </c>
      <c r="H206" s="21">
        <f>VLOOKUP(F206&amp;"|"&amp;G206,$O$3:$P$17,2,FALSE)</f>
        <v>0</v>
      </c>
      <c r="I206" s="21">
        <f>VLOOKUP(F206&amp;"|"&amp;G206,$Q$3:$R$17,2,FALSE)</f>
        <v>25000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21">
        <v>16.100000000000001</v>
      </c>
      <c r="B207" s="21">
        <v>1000000</v>
      </c>
      <c r="C207" s="21">
        <f>VLOOKUP(A207&amp;"|"&amp;B207,$O$3:$P$17,2,FALSE)</f>
        <v>750</v>
      </c>
      <c r="D207" s="21">
        <f>VLOOKUP(A207&amp;"|"&amp;B207,$Q$3:$R$17,2,FALSE)</f>
        <v>49250</v>
      </c>
      <c r="F207" s="21">
        <v>5</v>
      </c>
      <c r="G207" s="21">
        <v>1000000</v>
      </c>
      <c r="H207" s="21">
        <f>VLOOKUP(F207&amp;"|"&amp;G207,$O$3:$P$17,2,FALSE)</f>
        <v>5550</v>
      </c>
      <c r="I207" s="21">
        <f>VLOOKUP(F207&amp;"|"&amp;G207,$Q$3:$R$17,2,FALSE)</f>
        <v>44450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1"/>
      <c r="B208" s="21"/>
      <c r="C208" s="21"/>
      <c r="D208" s="21"/>
      <c r="E208" s="2"/>
      <c r="F208" s="21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1"/>
      <c r="B209" s="21"/>
      <c r="C209" s="21"/>
      <c r="D209" s="21"/>
      <c r="E209" s="2"/>
      <c r="F209" s="21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1"/>
      <c r="B210" s="21"/>
      <c r="C210" s="21"/>
      <c r="D210" s="21"/>
      <c r="E210" s="2"/>
      <c r="F210" s="21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1" t="s">
        <v>16</v>
      </c>
      <c r="B211" s="21"/>
      <c r="C211" s="21"/>
      <c r="D211" s="21">
        <f>SUM(D206:D210)</f>
        <v>98500</v>
      </c>
      <c r="E211" s="2"/>
      <c r="F211" s="84" t="s">
        <v>16</v>
      </c>
      <c r="G211" s="85"/>
      <c r="H211" s="86"/>
      <c r="I211" s="21">
        <f>SUM(I206:I210)</f>
        <v>69450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thickTop="1" thickBo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1" t="s">
        <v>0</v>
      </c>
      <c r="B213" s="21" t="s">
        <v>57</v>
      </c>
      <c r="C213" s="21" t="s">
        <v>101</v>
      </c>
      <c r="D213" s="9">
        <v>45907</v>
      </c>
      <c r="E213" s="2"/>
      <c r="F213" s="21" t="s">
        <v>0</v>
      </c>
      <c r="G213" s="21" t="s">
        <v>35</v>
      </c>
      <c r="H213" s="21" t="s">
        <v>102</v>
      </c>
      <c r="I213" s="9">
        <v>45907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1" t="s">
        <v>6</v>
      </c>
      <c r="B214" s="21" t="s">
        <v>7</v>
      </c>
      <c r="C214" s="21" t="s">
        <v>8</v>
      </c>
      <c r="D214" s="21" t="s">
        <v>9</v>
      </c>
      <c r="E214" s="2"/>
      <c r="F214" s="21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21">
        <v>20</v>
      </c>
      <c r="B215" s="21">
        <v>500000</v>
      </c>
      <c r="C215" s="21">
        <f>VLOOKUP(A215&amp;"|"&amp;B215,$O$3:$P$16,2,FALSE)</f>
        <v>0</v>
      </c>
      <c r="D215" s="21">
        <f>VLOOKUP(A215&amp;"|"&amp;B215,$Q$3:$R$16,2,FALSE)</f>
        <v>25000</v>
      </c>
      <c r="E215" s="2"/>
      <c r="F215" s="21">
        <v>20</v>
      </c>
      <c r="G215" s="21">
        <v>500000</v>
      </c>
      <c r="H215" s="21">
        <f>VLOOKUP(F215&amp;"|"&amp;G215,$O$3:$P$16,2,FALSE)</f>
        <v>0</v>
      </c>
      <c r="I215" s="21">
        <f>VLOOKUP(F215&amp;"|"&amp;G215,$Q$3:$R$16,2,FALSE)</f>
        <v>25000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1"/>
      <c r="B216" s="21"/>
      <c r="C216" s="21"/>
      <c r="D216" s="21"/>
      <c r="E216" s="2"/>
      <c r="F216" s="21">
        <v>13</v>
      </c>
      <c r="G216" s="21">
        <v>500000</v>
      </c>
      <c r="H216" s="21">
        <f>VLOOKUP(F216&amp;"|"&amp;G216,$O$3:$P$16,2,FALSE)</f>
        <v>1150</v>
      </c>
      <c r="I216" s="21">
        <f>VLOOKUP(F216&amp;"|"&amp;G216,$Q$3:$R$16,2,FALSE)</f>
        <v>23850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1"/>
      <c r="B217" s="21"/>
      <c r="C217" s="21"/>
      <c r="D217" s="21"/>
      <c r="E217" s="2"/>
      <c r="F217" s="21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1"/>
      <c r="B218" s="21"/>
      <c r="C218" s="21"/>
      <c r="D218" s="21"/>
      <c r="E218" s="2"/>
      <c r="F218" s="21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1"/>
      <c r="B219" s="21"/>
      <c r="C219" s="21"/>
      <c r="D219" s="21"/>
      <c r="E219" s="2"/>
      <c r="F219" s="21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1" t="s">
        <v>16</v>
      </c>
      <c r="B220" s="21"/>
      <c r="C220" s="21"/>
      <c r="D220" s="21">
        <f>SUM(D215:D219)</f>
        <v>25000</v>
      </c>
      <c r="E220" s="2"/>
      <c r="F220" s="84" t="s">
        <v>16</v>
      </c>
      <c r="G220" s="85"/>
      <c r="H220" s="86"/>
      <c r="I220" s="21">
        <f>SUM(I215:I219)</f>
        <v>48850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thickTop="1" thickBo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1" t="s">
        <v>0</v>
      </c>
      <c r="B222" s="21" t="s">
        <v>88</v>
      </c>
      <c r="C222" s="21" t="s">
        <v>24</v>
      </c>
      <c r="D222" s="9">
        <v>45907</v>
      </c>
      <c r="E222" s="2"/>
      <c r="F222" s="21" t="s">
        <v>0</v>
      </c>
      <c r="G222" s="21" t="s">
        <v>103</v>
      </c>
      <c r="H222" s="21" t="s">
        <v>104</v>
      </c>
      <c r="I222" s="9">
        <v>45907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1" t="s">
        <v>6</v>
      </c>
      <c r="B223" s="21" t="s">
        <v>7</v>
      </c>
      <c r="C223" s="21" t="s">
        <v>8</v>
      </c>
      <c r="D223" s="21" t="s">
        <v>9</v>
      </c>
      <c r="E223" s="2"/>
      <c r="F223" s="21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21">
        <v>10</v>
      </c>
      <c r="B224" s="21">
        <v>500000</v>
      </c>
      <c r="C224" s="21">
        <f>VLOOKUP(A224&amp;"|"&amp;B224,$O$3:$P$16,2,FALSE)</f>
        <v>1800</v>
      </c>
      <c r="D224" s="21">
        <f>VLOOKUP(A224&amp;"|"&amp;B224,$Q$3:$R$16,2,FALSE)</f>
        <v>23200</v>
      </c>
      <c r="E224" s="2"/>
      <c r="F224" s="21">
        <v>10</v>
      </c>
      <c r="G224" s="21">
        <v>500000</v>
      </c>
      <c r="H224" s="21">
        <f>VLOOKUP(F224&amp;"|"&amp;G224,$O$3:$P$16,2,FALSE)</f>
        <v>1800</v>
      </c>
      <c r="I224" s="21">
        <f>VLOOKUP(F224&amp;"|"&amp;G224,$Q$3:$R$16,2,FALSE)</f>
        <v>23200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1"/>
      <c r="B225" s="21"/>
      <c r="C225" s="21"/>
      <c r="D225" s="21"/>
      <c r="E225" s="2"/>
      <c r="F225" s="21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1"/>
      <c r="B226" s="21"/>
      <c r="C226" s="21"/>
      <c r="D226" s="21"/>
      <c r="E226" s="2"/>
      <c r="F226" s="21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1"/>
      <c r="B227" s="21"/>
      <c r="C227" s="21"/>
      <c r="D227" s="21"/>
      <c r="E227" s="2"/>
      <c r="F227" s="21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1"/>
      <c r="B228" s="21"/>
      <c r="C228" s="21"/>
      <c r="D228" s="21"/>
      <c r="E228" s="2"/>
      <c r="F228" s="21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1" t="s">
        <v>16</v>
      </c>
      <c r="B229" s="21"/>
      <c r="C229" s="21"/>
      <c r="D229" s="21">
        <f>SUM(D224:D228)</f>
        <v>23200</v>
      </c>
      <c r="E229" s="2"/>
      <c r="F229" s="84" t="s">
        <v>16</v>
      </c>
      <c r="G229" s="85"/>
      <c r="H229" s="86"/>
      <c r="I229" s="21">
        <f>SUM(I224:I228)</f>
        <v>23200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thickTop="1" thickBo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1" t="s">
        <v>0</v>
      </c>
      <c r="B231" s="21" t="s">
        <v>71</v>
      </c>
      <c r="C231" s="21" t="s">
        <v>105</v>
      </c>
      <c r="D231" s="9">
        <v>45907</v>
      </c>
      <c r="E231" s="2"/>
      <c r="F231" s="21" t="s">
        <v>0</v>
      </c>
      <c r="G231" s="21" t="s">
        <v>106</v>
      </c>
      <c r="H231" s="21" t="s">
        <v>81</v>
      </c>
      <c r="I231" s="9">
        <v>45907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1" t="s">
        <v>6</v>
      </c>
      <c r="B232" s="21" t="s">
        <v>7</v>
      </c>
      <c r="C232" s="21" t="s">
        <v>8</v>
      </c>
      <c r="D232" s="21" t="s">
        <v>9</v>
      </c>
      <c r="E232" s="2"/>
      <c r="F232" s="21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21">
        <v>5</v>
      </c>
      <c r="B233" s="21">
        <v>500000</v>
      </c>
      <c r="C233" s="21">
        <f>VLOOKUP(A233&amp;"|"&amp;B233,$O$3:$P$16,2,FALSE)</f>
        <v>3000</v>
      </c>
      <c r="D233" s="21">
        <f>VLOOKUP(A233&amp;"|"&amp;B233,$Q$3:$R$16,2,FALSE)</f>
        <v>22000</v>
      </c>
      <c r="E233" s="2"/>
      <c r="F233" s="21">
        <v>5</v>
      </c>
      <c r="G233" s="21">
        <v>2000000</v>
      </c>
      <c r="H233" s="21">
        <f>VLOOKUP(F233&amp;"|"&amp;G233,$O$3:$P$19,2,FALSE)</f>
        <v>11000</v>
      </c>
      <c r="I233" s="21">
        <f>VLOOKUP(F233&amp;"|"&amp;G233,$Q$3:$R$19,2,FALSE)</f>
        <v>89000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1"/>
      <c r="B234" s="21"/>
      <c r="C234" s="21"/>
      <c r="D234" s="21"/>
      <c r="E234" s="2"/>
      <c r="F234" s="21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1"/>
      <c r="B235" s="21"/>
      <c r="C235" s="21"/>
      <c r="D235" s="21"/>
      <c r="E235" s="2"/>
      <c r="F235" s="21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1"/>
      <c r="B236" s="21"/>
      <c r="C236" s="21"/>
      <c r="D236" s="21"/>
      <c r="E236" s="2"/>
      <c r="F236" s="21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1"/>
      <c r="B237" s="21"/>
      <c r="C237" s="21"/>
      <c r="D237" s="21"/>
      <c r="E237" s="2"/>
      <c r="F237" s="21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1" t="s">
        <v>16</v>
      </c>
      <c r="B238" s="21"/>
      <c r="C238" s="21"/>
      <c r="D238" s="21">
        <f>SUM(D233:D237)</f>
        <v>22000</v>
      </c>
      <c r="E238" s="2"/>
      <c r="F238" s="84" t="s">
        <v>16</v>
      </c>
      <c r="G238" s="85"/>
      <c r="H238" s="86"/>
      <c r="I238" s="21">
        <f>SUM(I233:I237)</f>
        <v>89000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thickTop="1" thickBo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1" t="s">
        <v>0</v>
      </c>
      <c r="B240" s="21" t="s">
        <v>194</v>
      </c>
      <c r="C240" s="21" t="s">
        <v>72</v>
      </c>
      <c r="D240" s="9">
        <v>45907</v>
      </c>
      <c r="E240" s="2"/>
      <c r="F240" s="21" t="s">
        <v>0</v>
      </c>
      <c r="G240" s="21" t="s">
        <v>107</v>
      </c>
      <c r="H240" s="21" t="s">
        <v>108</v>
      </c>
      <c r="I240" s="9">
        <v>45907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1" t="s">
        <v>6</v>
      </c>
      <c r="B241" s="21" t="s">
        <v>7</v>
      </c>
      <c r="C241" s="21" t="s">
        <v>8</v>
      </c>
      <c r="D241" s="21" t="s">
        <v>9</v>
      </c>
      <c r="E241" s="2"/>
      <c r="F241" s="21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21">
        <v>5</v>
      </c>
      <c r="B242" s="21">
        <v>1000000</v>
      </c>
      <c r="C242" s="21">
        <f>VLOOKUP(A242&amp;"|"&amp;B242,$O$3:$P$19,2,FALSE)</f>
        <v>5550</v>
      </c>
      <c r="D242" s="21">
        <f>VLOOKUP(A242&amp;"|"&amp;B242,$Q$3:$R$19,2,FALSE)</f>
        <v>44450</v>
      </c>
      <c r="E242" s="2"/>
      <c r="F242" s="21">
        <v>20</v>
      </c>
      <c r="G242" s="21">
        <v>1000000</v>
      </c>
      <c r="H242" s="21">
        <f>VLOOKUP(F242&amp;"|"&amp;G242,$O$3:$P$16,2,FALSE)</f>
        <v>0</v>
      </c>
      <c r="I242" s="21">
        <f>VLOOKUP(F242&amp;"|"&amp;G242,$Q$3:$R$16,2,FALSE)</f>
        <v>50000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21"/>
      <c r="B243" s="21"/>
      <c r="C243" s="21"/>
      <c r="D243" s="21"/>
      <c r="E243" s="2"/>
      <c r="F243" s="21">
        <v>5</v>
      </c>
      <c r="G243" s="21">
        <v>2000000</v>
      </c>
      <c r="H243" s="21">
        <f>VLOOKUP(F243&amp;"|"&amp;G243,$O$3:$P$16,2,FALSE)</f>
        <v>11000</v>
      </c>
      <c r="I243" s="21">
        <f>VLOOKUP(F243&amp;"|"&amp;G243,$Q$3:$R$16,2,FALSE)</f>
        <v>89000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1"/>
      <c r="B244" s="21"/>
      <c r="C244" s="21"/>
      <c r="D244" s="21"/>
      <c r="E244" s="2"/>
      <c r="F244" s="21">
        <v>13</v>
      </c>
      <c r="G244" s="21">
        <v>500000</v>
      </c>
      <c r="H244" s="21">
        <f>VLOOKUP(F244&amp;"|"&amp;G244,$O$3:$P$16,2,FALSE)</f>
        <v>1150</v>
      </c>
      <c r="I244" s="21">
        <f>VLOOKUP(F244&amp;"|"&amp;G244,$Q$3:$R$16,2,FALSE)</f>
        <v>23850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1"/>
      <c r="B245" s="21"/>
      <c r="C245" s="21"/>
      <c r="D245" s="21"/>
      <c r="E245" s="2"/>
      <c r="F245" s="21">
        <v>13</v>
      </c>
      <c r="G245" s="21">
        <v>500000</v>
      </c>
      <c r="H245" s="21">
        <f>VLOOKUP(F245&amp;"|"&amp;G245,$O$3:$P$16,2,FALSE)</f>
        <v>1150</v>
      </c>
      <c r="I245" s="21">
        <f>VLOOKUP(F245&amp;"|"&amp;G245,$Q$3:$R$16,2,FALSE)</f>
        <v>23850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1"/>
      <c r="B246" s="21"/>
      <c r="C246" s="21"/>
      <c r="D246" s="21"/>
      <c r="E246" s="2"/>
      <c r="F246" s="21"/>
      <c r="G246" s="21"/>
      <c r="H246" s="21"/>
      <c r="I246" s="2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1" t="s">
        <v>16</v>
      </c>
      <c r="B247" s="21"/>
      <c r="C247" s="21"/>
      <c r="D247" s="21">
        <f>SUM(D242:D246)</f>
        <v>44450</v>
      </c>
      <c r="E247" s="2"/>
      <c r="F247" s="84" t="s">
        <v>16</v>
      </c>
      <c r="G247" s="85"/>
      <c r="H247" s="86"/>
      <c r="I247" s="21">
        <f>SUM(I242:I246)</f>
        <v>186700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thickTop="1" thickBo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1" t="s">
        <v>0</v>
      </c>
      <c r="B249" s="21" t="s">
        <v>109</v>
      </c>
      <c r="C249" s="21" t="s">
        <v>110</v>
      </c>
      <c r="D249" s="9">
        <v>45907</v>
      </c>
      <c r="E249" s="2"/>
      <c r="F249" s="21" t="s">
        <v>0</v>
      </c>
      <c r="G249" s="21" t="s">
        <v>187</v>
      </c>
      <c r="H249" s="21" t="s">
        <v>38</v>
      </c>
      <c r="I249" s="9">
        <v>45907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1" t="s">
        <v>6</v>
      </c>
      <c r="B250" s="21" t="s">
        <v>7</v>
      </c>
      <c r="C250" s="21" t="s">
        <v>8</v>
      </c>
      <c r="D250" s="21" t="s">
        <v>9</v>
      </c>
      <c r="E250" s="2"/>
      <c r="F250" s="21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21">
        <v>20</v>
      </c>
      <c r="B251" s="21">
        <v>1000000</v>
      </c>
      <c r="C251" s="21">
        <f>VLOOKUP(A251&amp;"|"&amp;B251,$O$3:$P$16,2,FALSE)</f>
        <v>0</v>
      </c>
      <c r="D251" s="21">
        <f>VLOOKUP(A251&amp;"|"&amp;B251,$Q$3:$R$16,2,FALSE)</f>
        <v>50000</v>
      </c>
      <c r="E251" s="2"/>
      <c r="F251" s="21">
        <v>10</v>
      </c>
      <c r="G251" s="21">
        <v>500000</v>
      </c>
      <c r="H251" s="21">
        <f>VLOOKUP(F251&amp;"|"&amp;G251,$O$3:$P$16,2,FALSE)</f>
        <v>1800</v>
      </c>
      <c r="I251" s="21">
        <f>VLOOKUP(F251&amp;"|"&amp;G251,$Q$3:$R$16,2,FALSE)</f>
        <v>23200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21">
        <v>20</v>
      </c>
      <c r="B252" s="21">
        <v>1000000</v>
      </c>
      <c r="C252" s="21">
        <f>VLOOKUP(A252&amp;"|"&amp;B252,$O$3:$P$16,2,FALSE)</f>
        <v>0</v>
      </c>
      <c r="D252" s="21">
        <f>VLOOKUP(A252&amp;"|"&amp;B252,$Q$3:$R$16,2,FALSE)</f>
        <v>50000</v>
      </c>
      <c r="E252" s="2"/>
      <c r="F252" s="21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1"/>
      <c r="B253" s="21"/>
      <c r="C253" s="21"/>
      <c r="D253" s="21"/>
      <c r="E253" s="2"/>
      <c r="F253" s="21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1"/>
      <c r="B254" s="21"/>
      <c r="C254" s="21"/>
      <c r="D254" s="21"/>
      <c r="E254" s="2"/>
      <c r="F254" s="21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1"/>
      <c r="B255" s="21"/>
      <c r="C255" s="21"/>
      <c r="D255" s="21"/>
      <c r="E255" s="2"/>
      <c r="F255" s="21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1" t="s">
        <v>16</v>
      </c>
      <c r="B256" s="21"/>
      <c r="C256" s="21"/>
      <c r="D256" s="21">
        <f>SUM(D251:D255)</f>
        <v>100000</v>
      </c>
      <c r="E256" s="2"/>
      <c r="F256" s="84" t="s">
        <v>16</v>
      </c>
      <c r="G256" s="85"/>
      <c r="H256" s="86"/>
      <c r="I256" s="21">
        <f>SUM(I251:I255)</f>
        <v>23200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thickTop="1" thickBo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1" t="s">
        <v>0</v>
      </c>
      <c r="B258" s="21" t="s">
        <v>111</v>
      </c>
      <c r="C258" s="21" t="s">
        <v>18</v>
      </c>
      <c r="D258" s="9">
        <v>45907</v>
      </c>
      <c r="E258" s="2"/>
      <c r="F258" s="21" t="s">
        <v>0</v>
      </c>
      <c r="G258" s="21" t="s">
        <v>112</v>
      </c>
      <c r="H258" s="21" t="s">
        <v>113</v>
      </c>
      <c r="I258" s="9">
        <v>45907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1" t="s">
        <v>6</v>
      </c>
      <c r="B259" s="21" t="s">
        <v>7</v>
      </c>
      <c r="C259" s="21" t="s">
        <v>8</v>
      </c>
      <c r="D259" s="21" t="s">
        <v>9</v>
      </c>
      <c r="E259" s="2"/>
      <c r="F259" s="21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21">
        <v>16</v>
      </c>
      <c r="B260" s="21">
        <v>500000</v>
      </c>
      <c r="C260" s="21">
        <f>VLOOKUP(A260&amp;"|"&amp;B260,$O$3:$P$18,2,FALSE)</f>
        <v>450</v>
      </c>
      <c r="D260" s="21">
        <f>VLOOKUP(A260&amp;"|"&amp;B260,$Q$3:$R$18,2,FALSE)</f>
        <v>24550</v>
      </c>
      <c r="E260" s="2"/>
      <c r="F260" s="21">
        <v>20</v>
      </c>
      <c r="G260" s="21">
        <v>500000</v>
      </c>
      <c r="H260" s="21">
        <f>VLOOKUP(F260&amp;"|"&amp;G260,$O$3:$P$16,2,FALSE)</f>
        <v>0</v>
      </c>
      <c r="I260" s="21">
        <f>VLOOKUP(F260&amp;"|"&amp;G260,$Q$3:$R$16,2,FALSE)</f>
        <v>25000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21">
        <v>5</v>
      </c>
      <c r="B261" s="21">
        <v>1000000</v>
      </c>
      <c r="C261" s="21">
        <f>VLOOKUP(A261&amp;"|"&amp;B261,$O$3:$P$18,2,FALSE)</f>
        <v>5550</v>
      </c>
      <c r="D261" s="21">
        <f>VLOOKUP(A261&amp;"|"&amp;B261,$Q$3:$R$18,2,FALSE)</f>
        <v>44450</v>
      </c>
      <c r="E261" s="2"/>
      <c r="F261" s="21"/>
      <c r="G261" s="21"/>
      <c r="H261" s="21"/>
      <c r="I261" s="2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1"/>
      <c r="B262" s="21"/>
      <c r="C262" s="21"/>
      <c r="D262" s="21"/>
      <c r="E262" s="2"/>
      <c r="F262" s="21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1"/>
      <c r="B263" s="21"/>
      <c r="C263" s="21"/>
      <c r="D263" s="21"/>
      <c r="E263" s="2"/>
      <c r="F263" s="21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1"/>
      <c r="B264" s="21"/>
      <c r="C264" s="21"/>
      <c r="D264" s="21"/>
      <c r="E264" s="2"/>
      <c r="F264" s="21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1" t="s">
        <v>16</v>
      </c>
      <c r="B265" s="21"/>
      <c r="C265" s="21"/>
      <c r="D265" s="21">
        <f>SUM(D260:D264)</f>
        <v>69000</v>
      </c>
      <c r="E265" s="2"/>
      <c r="F265" s="84" t="s">
        <v>16</v>
      </c>
      <c r="G265" s="85"/>
      <c r="H265" s="86"/>
      <c r="I265" s="21">
        <f>SUM(I260:I264)</f>
        <v>25000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thickTop="1" thickBo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1" t="s">
        <v>0</v>
      </c>
      <c r="B267" s="21" t="s">
        <v>114</v>
      </c>
      <c r="C267" s="21" t="s">
        <v>24</v>
      </c>
      <c r="D267" s="9">
        <v>45907</v>
      </c>
      <c r="E267" s="2"/>
      <c r="F267" s="21" t="s">
        <v>0</v>
      </c>
      <c r="G267" s="21" t="s">
        <v>21</v>
      </c>
      <c r="H267" s="21" t="s">
        <v>43</v>
      </c>
      <c r="I267" s="9">
        <v>45907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1" t="s">
        <v>6</v>
      </c>
      <c r="B268" s="21" t="s">
        <v>7</v>
      </c>
      <c r="C268" s="21" t="s">
        <v>8</v>
      </c>
      <c r="D268" s="21" t="s">
        <v>9</v>
      </c>
      <c r="E268" s="2"/>
      <c r="F268" s="21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21">
        <v>5</v>
      </c>
      <c r="B269" s="21">
        <v>500000</v>
      </c>
      <c r="C269" s="21">
        <f>VLOOKUP(A269&amp;"|"&amp;B269,$O$3:$P$17,2,FALSE)</f>
        <v>3000</v>
      </c>
      <c r="D269" s="21">
        <f>VLOOKUP(A269&amp;"|"&amp;B269,$Q$3:$R$16,2,FALSE)</f>
        <v>22000</v>
      </c>
      <c r="E269" s="2"/>
      <c r="F269" s="21">
        <v>5</v>
      </c>
      <c r="G269" s="21">
        <v>500000</v>
      </c>
      <c r="H269" s="21">
        <f>VLOOKUP(F269&amp;"|"&amp;G269,$O$3:$P$16,2,FALSE)</f>
        <v>3000</v>
      </c>
      <c r="I269" s="21">
        <f>VLOOKUP(F269&amp;"|"&amp;G269,$Q$3:$R$16,2,FALSE)</f>
        <v>22000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1"/>
      <c r="B270" s="21"/>
      <c r="C270" s="21"/>
      <c r="D270" s="21"/>
      <c r="E270" s="2"/>
      <c r="F270" s="21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1"/>
      <c r="B271" s="21"/>
      <c r="C271" s="21"/>
      <c r="D271" s="21"/>
      <c r="E271" s="2"/>
      <c r="F271" s="21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1"/>
      <c r="B272" s="21"/>
      <c r="C272" s="21"/>
      <c r="D272" s="21"/>
      <c r="E272" s="2"/>
      <c r="F272" s="21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1"/>
      <c r="B273" s="21"/>
      <c r="C273" s="21"/>
      <c r="D273" s="21"/>
      <c r="E273" s="2"/>
      <c r="F273" s="21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1" t="s">
        <v>16</v>
      </c>
      <c r="B274" s="21"/>
      <c r="C274" s="21"/>
      <c r="D274" s="21">
        <f>SUM(D269:D273)</f>
        <v>22000</v>
      </c>
      <c r="E274" s="2"/>
      <c r="F274" s="84" t="s">
        <v>16</v>
      </c>
      <c r="G274" s="85"/>
      <c r="H274" s="86"/>
      <c r="I274" s="21">
        <f>SUM(I269:I273)</f>
        <v>22000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thickTop="1" thickBo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1" t="s">
        <v>0</v>
      </c>
      <c r="B276" s="21" t="s">
        <v>115</v>
      </c>
      <c r="C276" s="21" t="s">
        <v>28</v>
      </c>
      <c r="D276" s="9">
        <v>45907</v>
      </c>
      <c r="E276" s="2"/>
      <c r="F276" s="21" t="s">
        <v>0</v>
      </c>
      <c r="G276" s="21" t="s">
        <v>61</v>
      </c>
      <c r="H276" s="21" t="s">
        <v>28</v>
      </c>
      <c r="I276" s="9">
        <v>45907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1" t="s">
        <v>6</v>
      </c>
      <c r="B277" s="21" t="s">
        <v>7</v>
      </c>
      <c r="C277" s="21" t="s">
        <v>8</v>
      </c>
      <c r="D277" s="21" t="s">
        <v>9</v>
      </c>
      <c r="E277" s="2"/>
      <c r="F277" s="21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21">
        <v>5</v>
      </c>
      <c r="B278" s="21">
        <v>1000000</v>
      </c>
      <c r="C278" s="21">
        <f>VLOOKUP(A278&amp;"|"&amp;B278,$O$3:$P$16,2,FALSE)</f>
        <v>5550</v>
      </c>
      <c r="D278" s="21">
        <f>VLOOKUP(A278&amp;"|"&amp;B278,$Q$3:$R$16,2,FALSE)</f>
        <v>44450</v>
      </c>
      <c r="E278" s="2"/>
      <c r="F278" s="21">
        <v>5</v>
      </c>
      <c r="G278" s="21">
        <v>1000000</v>
      </c>
      <c r="H278" s="21">
        <f>VLOOKUP(F278&amp;"|"&amp;G278,$O$3:$P$18,2,FALSE)</f>
        <v>5550</v>
      </c>
      <c r="I278" s="21">
        <f>VLOOKUP(F278&amp;"|"&amp;G278,$Q$3:$R$18,2,FALSE)</f>
        <v>44450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21">
        <v>20</v>
      </c>
      <c r="B279" s="21">
        <v>1000000</v>
      </c>
      <c r="C279" s="21">
        <f>VLOOKUP(A279&amp;"|"&amp;B279,$O$3:$P$16,2,FALSE)</f>
        <v>0</v>
      </c>
      <c r="D279" s="21">
        <f>VLOOKUP(A279&amp;"|"&amp;B279,$Q$3:$R$16,2,FALSE)</f>
        <v>50000</v>
      </c>
      <c r="E279" s="2"/>
      <c r="F279" s="21">
        <v>20</v>
      </c>
      <c r="G279" s="21">
        <v>500000</v>
      </c>
      <c r="H279" s="21">
        <f>VLOOKUP(F279&amp;"|"&amp;G279,$O$3:$P$16,2,FALSE)</f>
        <v>0</v>
      </c>
      <c r="I279" s="21">
        <f>VLOOKUP(F279&amp;"|"&amp;G279,$Q$3:$R$16,2,FALSE)</f>
        <v>25000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1"/>
      <c r="B280" s="21"/>
      <c r="C280" s="21"/>
      <c r="D280" s="21"/>
      <c r="E280" s="2"/>
      <c r="F280" s="21">
        <v>13</v>
      </c>
      <c r="G280" s="21">
        <v>500000</v>
      </c>
      <c r="H280" s="21">
        <f>VLOOKUP(F280&amp;"|"&amp;G280,$O$3:$P$16,2,FALSE)</f>
        <v>1150</v>
      </c>
      <c r="I280" s="21">
        <f>VLOOKUP(F280&amp;"|"&amp;G280,$Q$3:$R$16,2,FALSE)</f>
        <v>23850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1"/>
      <c r="B281" s="21"/>
      <c r="C281" s="21"/>
      <c r="D281" s="21"/>
      <c r="E281" s="2"/>
      <c r="F281" s="21">
        <v>13</v>
      </c>
      <c r="G281" s="21">
        <v>500000</v>
      </c>
      <c r="H281" s="21">
        <f>VLOOKUP(F281&amp;"|"&amp;G281,$O$3:$P$16,2,FALSE)</f>
        <v>1150</v>
      </c>
      <c r="I281" s="21">
        <f>VLOOKUP(F281&amp;"|"&amp;G281,$Q$3:$R$16,2,FALSE)</f>
        <v>23850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1"/>
      <c r="B282" s="21"/>
      <c r="C282" s="21"/>
      <c r="D282" s="21"/>
      <c r="E282" s="2"/>
      <c r="F282" s="21">
        <v>5</v>
      </c>
      <c r="G282" s="21">
        <v>1000000</v>
      </c>
      <c r="H282" s="21">
        <f>VLOOKUP(F282&amp;"|"&amp;G282,$O$3:$P$16,2,FALSE)</f>
        <v>5550</v>
      </c>
      <c r="I282" s="21">
        <f>VLOOKUP(F282&amp;"|"&amp;G282,$Q$3:$R$16,2,FALSE)</f>
        <v>44450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1"/>
      <c r="B283" s="21"/>
      <c r="C283" s="21"/>
      <c r="D283" s="21"/>
      <c r="E283" s="2"/>
      <c r="F283" s="21">
        <v>10</v>
      </c>
      <c r="G283" s="21">
        <v>500000</v>
      </c>
      <c r="H283" s="21">
        <f>VLOOKUP(F283&amp;"|"&amp;G283,$O$3:$P$16,2,FALSE)</f>
        <v>1800</v>
      </c>
      <c r="I283" s="21">
        <f>VLOOKUP(F283&amp;"|"&amp;G283,$Q$3:$R$16,2,FALSE)</f>
        <v>23200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1" t="s">
        <v>16</v>
      </c>
      <c r="B284" s="21"/>
      <c r="C284" s="21"/>
      <c r="D284" s="21">
        <f>SUM(D278:D283)</f>
        <v>94450</v>
      </c>
      <c r="E284" s="2"/>
      <c r="F284" s="84" t="s">
        <v>16</v>
      </c>
      <c r="G284" s="85"/>
      <c r="H284" s="86"/>
      <c r="I284" s="21">
        <f>SUM(I278:I283)</f>
        <v>184800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10"/>
      <c r="B285" s="10"/>
      <c r="C285" s="10"/>
      <c r="D285" s="10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2" t="s">
        <v>0</v>
      </c>
      <c r="B286" s="12" t="s">
        <v>116</v>
      </c>
      <c r="C286" s="12" t="s">
        <v>34</v>
      </c>
      <c r="D286" s="9">
        <v>45907</v>
      </c>
      <c r="E286" s="2"/>
      <c r="F286" s="21" t="s">
        <v>0</v>
      </c>
      <c r="G286" s="21" t="s">
        <v>73</v>
      </c>
      <c r="H286" s="21" t="s">
        <v>76</v>
      </c>
      <c r="I286" s="9">
        <v>45907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1" t="s">
        <v>6</v>
      </c>
      <c r="B287" s="21" t="s">
        <v>7</v>
      </c>
      <c r="C287" s="21" t="s">
        <v>8</v>
      </c>
      <c r="D287" s="21" t="s">
        <v>9</v>
      </c>
      <c r="E287" s="2"/>
      <c r="F287" s="21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21">
        <v>5</v>
      </c>
      <c r="B288" s="21">
        <v>2000000</v>
      </c>
      <c r="C288" s="21">
        <f>VLOOKUP(A288&amp;"|"&amp;B288,$O$3:$P$17,2,FALSE)</f>
        <v>11000</v>
      </c>
      <c r="D288" s="21">
        <f>VLOOKUP(A288&amp;"|"&amp;B288,$Q$3:$R$17,2,FALSE)</f>
        <v>89000</v>
      </c>
      <c r="E288" s="2"/>
      <c r="F288" s="21">
        <v>5</v>
      </c>
      <c r="G288" s="21">
        <v>1000000</v>
      </c>
      <c r="H288" s="21">
        <f>VLOOKUP(F288&amp;"|"&amp;G288,$O$3:$P$16,2,FALSE)</f>
        <v>5550</v>
      </c>
      <c r="I288" s="21">
        <f>VLOOKUP(F288&amp;"|"&amp;G288,$Q$3:$R$16,2,FALSE)</f>
        <v>44450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21">
        <v>5</v>
      </c>
      <c r="B289" s="21">
        <v>500000</v>
      </c>
      <c r="C289" s="21">
        <f>VLOOKUP(A289&amp;"|"&amp;B289,$O$3:$P$17,2,FALSE)</f>
        <v>3000</v>
      </c>
      <c r="D289" s="21">
        <f>VLOOKUP(A289&amp;"|"&amp;B289,$Q$3:$R$17,2,FALSE)</f>
        <v>22000</v>
      </c>
      <c r="E289" s="2"/>
      <c r="F289" s="21">
        <v>10</v>
      </c>
      <c r="G289" s="21">
        <v>500000</v>
      </c>
      <c r="H289" s="21">
        <f>VLOOKUP(F289&amp;"|"&amp;G289,$O$3:$P$16,2,FALSE)</f>
        <v>1800</v>
      </c>
      <c r="I289" s="21">
        <f>VLOOKUP(F289&amp;"|"&amp;G289,$Q$3:$R$16,2,FALSE)</f>
        <v>23200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1">
        <v>20</v>
      </c>
      <c r="B290" s="21">
        <v>1000000</v>
      </c>
      <c r="C290" s="21">
        <f>VLOOKUP(A290&amp;"|"&amp;B290,$O$3:$P$17,2,FALSE)</f>
        <v>0</v>
      </c>
      <c r="D290" s="21">
        <f>VLOOKUP(A290&amp;"|"&amp;B290,$Q$3:$R$17,2,FALSE)</f>
        <v>50000</v>
      </c>
      <c r="E290" s="2"/>
      <c r="F290" s="21">
        <v>13</v>
      </c>
      <c r="G290" s="21">
        <v>500000</v>
      </c>
      <c r="H290" s="21">
        <f>VLOOKUP(F290&amp;"|"&amp;G290,$O$3:$P$16,2,FALSE)</f>
        <v>1150</v>
      </c>
      <c r="I290" s="21">
        <f>VLOOKUP(F290&amp;"|"&amp;G290,$Q$3:$R$16,2,FALSE)</f>
        <v>23850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1"/>
      <c r="B291" s="21"/>
      <c r="C291" s="21"/>
      <c r="D291" s="21"/>
      <c r="E291" s="2"/>
      <c r="F291" s="21">
        <v>13</v>
      </c>
      <c r="G291" s="21">
        <v>500000</v>
      </c>
      <c r="H291" s="21">
        <f>VLOOKUP(F291&amp;"|"&amp;G291,$O$3:$P$16,2,FALSE)</f>
        <v>1150</v>
      </c>
      <c r="I291" s="21">
        <f>VLOOKUP(F291&amp;"|"&amp;G291,$Q$3:$R$16,2,FALSE)</f>
        <v>23850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1"/>
      <c r="B292" s="21"/>
      <c r="C292" s="21"/>
      <c r="D292" s="21"/>
      <c r="E292" s="2"/>
      <c r="F292" s="21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59" t="s">
        <v>49</v>
      </c>
      <c r="B293" s="53"/>
      <c r="C293" s="54"/>
      <c r="D293" s="21">
        <f>SUM(D288:D292)</f>
        <v>161000</v>
      </c>
      <c r="E293" s="2"/>
      <c r="F293" s="84" t="s">
        <v>16</v>
      </c>
      <c r="G293" s="85"/>
      <c r="H293" s="86"/>
      <c r="I293" s="21">
        <f>SUM(I288:I292)</f>
        <v>115350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thickTop="1" thickBo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1" t="s">
        <v>0</v>
      </c>
      <c r="B295" s="21" t="s">
        <v>117</v>
      </c>
      <c r="C295" s="21" t="s">
        <v>24</v>
      </c>
      <c r="D295" s="9">
        <v>45907</v>
      </c>
      <c r="E295" s="2"/>
      <c r="F295" s="21" t="s">
        <v>0</v>
      </c>
      <c r="G295" s="21" t="s">
        <v>118</v>
      </c>
      <c r="H295" s="21" t="s">
        <v>119</v>
      </c>
      <c r="I295" s="9">
        <v>45907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1" t="s">
        <v>6</v>
      </c>
      <c r="B296" s="21" t="s">
        <v>7</v>
      </c>
      <c r="C296" s="21" t="s">
        <v>8</v>
      </c>
      <c r="D296" s="21" t="s">
        <v>9</v>
      </c>
      <c r="E296" s="2"/>
      <c r="F296" s="21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21">
        <v>5</v>
      </c>
      <c r="B297" s="21">
        <v>2000000</v>
      </c>
      <c r="C297" s="21">
        <f>VLOOKUP(A297&amp;"|"&amp;B297,$O$3:$P$16,2,FALSE)</f>
        <v>11000</v>
      </c>
      <c r="D297" s="21">
        <f>VLOOKUP(A297&amp;"|"&amp;B297,$Q$3:$R$16,2,FALSE)</f>
        <v>89000</v>
      </c>
      <c r="E297" s="2"/>
      <c r="F297" s="21">
        <v>5</v>
      </c>
      <c r="G297" s="21">
        <v>2000000</v>
      </c>
      <c r="H297" s="21">
        <f>VLOOKUP(F297&amp;"|"&amp;G297,$O$3:$P$16,2,FALSE)</f>
        <v>11000</v>
      </c>
      <c r="I297" s="21">
        <f>VLOOKUP(F297&amp;"|"&amp;G297,$Q$3:$R$16,2,FALSE)</f>
        <v>89000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21">
        <v>13</v>
      </c>
      <c r="B298" s="21">
        <v>500000</v>
      </c>
      <c r="C298" s="21">
        <f>VLOOKUP(A298&amp;"|"&amp;B298,$O$3:$P$16,2,FALSE)</f>
        <v>1150</v>
      </c>
      <c r="D298" s="21">
        <f>VLOOKUP(A298&amp;"|"&amp;B298,$Q$3:$R$16,2,FALSE)</f>
        <v>23850</v>
      </c>
      <c r="E298" s="2"/>
      <c r="F298" s="21">
        <v>5</v>
      </c>
      <c r="G298" s="21">
        <v>1000000</v>
      </c>
      <c r="H298" s="21">
        <f>VLOOKUP(F298&amp;"|"&amp;G298,$O$3:$P$16,2,FALSE)</f>
        <v>5550</v>
      </c>
      <c r="I298" s="21">
        <f>VLOOKUP(F298&amp;"|"&amp;G298,$Q$3:$R$16,2,FALSE)</f>
        <v>44450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21">
        <v>16</v>
      </c>
      <c r="B299" s="21">
        <v>1000000</v>
      </c>
      <c r="C299" s="21">
        <f>VLOOKUP(A299&amp;"|"&amp;B299,$O$3:$P$17,2,FALSE)</f>
        <v>750</v>
      </c>
      <c r="D299" s="21">
        <f>VLOOKUP(A299&amp;"|"&amp;B299,$Q$3:$R$17,2,FALSE)</f>
        <v>49250</v>
      </c>
      <c r="E299" s="2"/>
      <c r="F299" s="21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1"/>
      <c r="B300" s="21"/>
      <c r="C300" s="21"/>
      <c r="D300" s="21"/>
      <c r="E300" s="2"/>
      <c r="F300" s="21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1"/>
      <c r="B301" s="21"/>
      <c r="C301" s="21"/>
      <c r="D301" s="21"/>
      <c r="E301" s="2"/>
      <c r="F301" s="21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1" t="s">
        <v>16</v>
      </c>
      <c r="B302" s="21"/>
      <c r="C302" s="21"/>
      <c r="D302" s="21">
        <f>SUM(D297:D301)</f>
        <v>162100</v>
      </c>
      <c r="E302" s="2"/>
      <c r="F302" s="84" t="s">
        <v>16</v>
      </c>
      <c r="G302" s="85"/>
      <c r="H302" s="86"/>
      <c r="I302" s="21">
        <f>SUM(I297:I301)</f>
        <v>133450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thickTop="1" thickBot="1">
      <c r="A303" s="2"/>
      <c r="B303" s="2"/>
      <c r="C303" s="2" t="s">
        <v>191</v>
      </c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1" t="s">
        <v>0</v>
      </c>
      <c r="B304" s="21" t="s">
        <v>35</v>
      </c>
      <c r="C304" s="21" t="s">
        <v>120</v>
      </c>
      <c r="D304" s="9">
        <v>45907</v>
      </c>
      <c r="E304" s="2"/>
      <c r="F304" s="21" t="s">
        <v>0</v>
      </c>
      <c r="G304" s="21" t="s">
        <v>121</v>
      </c>
      <c r="H304" s="21" t="s">
        <v>28</v>
      </c>
      <c r="I304" s="9">
        <v>45907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1" t="s">
        <v>6</v>
      </c>
      <c r="B305" s="21" t="s">
        <v>7</v>
      </c>
      <c r="C305" s="21" t="s">
        <v>8</v>
      </c>
      <c r="D305" s="21" t="s">
        <v>9</v>
      </c>
      <c r="E305" s="2"/>
      <c r="F305" s="21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21">
        <v>5</v>
      </c>
      <c r="B306" s="21">
        <v>1000000</v>
      </c>
      <c r="C306" s="21">
        <f>VLOOKUP(A306&amp;"|"&amp;B306,$O$3:$P$17,2,FALSE)</f>
        <v>5550</v>
      </c>
      <c r="D306" s="21">
        <f>VLOOKUP(A306&amp;"|"&amp;B306,$Q$3:$R$17,2,FALSE)</f>
        <v>44450</v>
      </c>
      <c r="E306" s="2"/>
      <c r="F306" s="21">
        <v>5</v>
      </c>
      <c r="G306" s="21">
        <v>1000000</v>
      </c>
      <c r="H306" s="21">
        <f>VLOOKUP(F306&amp;"|"&amp;G306,$O$3:$P$18,2,FALSE)</f>
        <v>5550</v>
      </c>
      <c r="I306" s="21">
        <f>VLOOKUP(F306&amp;"|"&amp;G306,$Q$3:$R$17,2,FALSE)</f>
        <v>44450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21">
        <v>20</v>
      </c>
      <c r="B307" s="21">
        <v>1000000</v>
      </c>
      <c r="C307" s="21">
        <f>VLOOKUP(A307&amp;"|"&amp;B307,$O$3:$P$16,2,FALSE)</f>
        <v>0</v>
      </c>
      <c r="D307" s="21">
        <f>VLOOKUP(A307&amp;"|"&amp;B307,$Q$3:$R$16,2,FALSE)</f>
        <v>50000</v>
      </c>
      <c r="E307" s="2"/>
      <c r="F307" s="21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1"/>
      <c r="B308" s="21"/>
      <c r="C308" s="21"/>
      <c r="D308" s="21"/>
      <c r="E308" s="2"/>
      <c r="F308" s="21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1"/>
      <c r="B309" s="21"/>
      <c r="C309" s="21"/>
      <c r="D309" s="21"/>
      <c r="E309" s="2"/>
      <c r="F309" s="21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1"/>
      <c r="B310" s="21"/>
      <c r="C310" s="21"/>
      <c r="D310" s="21"/>
      <c r="E310" s="2"/>
      <c r="F310" s="21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1" t="s">
        <v>16</v>
      </c>
      <c r="B311" s="21"/>
      <c r="C311" s="21"/>
      <c r="D311" s="21">
        <f>SUM(D306:D310)</f>
        <v>94450</v>
      </c>
      <c r="E311" s="2"/>
      <c r="F311" s="84" t="s">
        <v>16</v>
      </c>
      <c r="G311" s="85"/>
      <c r="H311" s="86"/>
      <c r="I311" s="21">
        <f>SUM(I306:I310)</f>
        <v>44450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thickTop="1" thickBo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1" t="s">
        <v>0</v>
      </c>
      <c r="B313" s="21" t="s">
        <v>122</v>
      </c>
      <c r="C313" s="21" t="s">
        <v>76</v>
      </c>
      <c r="D313" s="9">
        <v>45907</v>
      </c>
      <c r="E313" s="2"/>
      <c r="F313" s="21" t="s">
        <v>0</v>
      </c>
      <c r="G313" s="21" t="s">
        <v>61</v>
      </c>
      <c r="H313" s="21" t="s">
        <v>123</v>
      </c>
      <c r="I313" s="9">
        <v>45907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1" t="s">
        <v>6</v>
      </c>
      <c r="B314" s="21" t="s">
        <v>7</v>
      </c>
      <c r="C314" s="21" t="s">
        <v>8</v>
      </c>
      <c r="D314" s="21" t="s">
        <v>9</v>
      </c>
      <c r="E314" s="2"/>
      <c r="F314" s="21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21">
        <v>5</v>
      </c>
      <c r="B315" s="21">
        <v>500000</v>
      </c>
      <c r="C315" s="21">
        <f>VLOOKUP(A315&amp;"|"&amp;B315,$O$3:$P$16,2,FALSE)</f>
        <v>3000</v>
      </c>
      <c r="D315" s="21">
        <f>VLOOKUP(A315&amp;"|"&amp;B315,$Q$3:$R$16,2,FALSE)</f>
        <v>22000</v>
      </c>
      <c r="E315" s="2"/>
      <c r="F315" s="21">
        <v>16</v>
      </c>
      <c r="G315" s="21">
        <v>500000</v>
      </c>
      <c r="H315" s="21">
        <f>VLOOKUP(F315&amp;"|"&amp;G315,$O$3:$P$16,2,FALSE)</f>
        <v>450</v>
      </c>
      <c r="I315" s="21">
        <f>VLOOKUP(F315&amp;"|"&amp;G315,$Q$3:$R$16,2,FALSE)</f>
        <v>24550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21">
        <v>10</v>
      </c>
      <c r="B316" s="21">
        <v>500000</v>
      </c>
      <c r="C316" s="21">
        <f>VLOOKUP(A316&amp;"|"&amp;B316,$O$3:$P$16,2,FALSE)</f>
        <v>1800</v>
      </c>
      <c r="D316" s="21">
        <f>VLOOKUP(A316&amp;"|"&amp;B316,$Q$3:$R$16,2,FALSE)</f>
        <v>23200</v>
      </c>
      <c r="E316" s="2"/>
      <c r="F316" s="21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1"/>
      <c r="B317" s="21"/>
      <c r="C317" s="21"/>
      <c r="D317" s="21"/>
      <c r="E317" s="2"/>
      <c r="F317" s="21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1"/>
      <c r="B318" s="21"/>
      <c r="C318" s="21"/>
      <c r="D318" s="21"/>
      <c r="E318" s="2"/>
      <c r="F318" s="21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1"/>
      <c r="B319" s="21"/>
      <c r="C319" s="21"/>
      <c r="D319" s="21"/>
      <c r="E319" s="2"/>
      <c r="F319" s="21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1" t="s">
        <v>16</v>
      </c>
      <c r="B320" s="21"/>
      <c r="C320" s="21"/>
      <c r="D320" s="21">
        <f>SUM(D315:D319)</f>
        <v>45200</v>
      </c>
      <c r="E320" s="2"/>
      <c r="F320" s="84" t="s">
        <v>16</v>
      </c>
      <c r="G320" s="85"/>
      <c r="H320" s="86"/>
      <c r="I320" s="21">
        <f>SUM(I315:I319)</f>
        <v>24550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thickTop="1" thickBo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1" t="s">
        <v>0</v>
      </c>
      <c r="B322" s="21" t="s">
        <v>124</v>
      </c>
      <c r="C322" s="21" t="s">
        <v>125</v>
      </c>
      <c r="D322" s="9">
        <v>45907</v>
      </c>
      <c r="E322" s="2"/>
      <c r="F322" s="21" t="s">
        <v>0</v>
      </c>
      <c r="G322" s="21" t="s">
        <v>126</v>
      </c>
      <c r="H322" s="21" t="s">
        <v>22</v>
      </c>
      <c r="I322" s="9">
        <v>45907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1" t="s">
        <v>6</v>
      </c>
      <c r="B323" s="21" t="s">
        <v>7</v>
      </c>
      <c r="C323" s="21" t="s">
        <v>8</v>
      </c>
      <c r="D323" s="21" t="s">
        <v>9</v>
      </c>
      <c r="E323" s="2"/>
      <c r="F323" s="21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21">
        <v>20</v>
      </c>
      <c r="B324" s="21">
        <v>500000</v>
      </c>
      <c r="C324" s="21">
        <f>VLOOKUP(A324&amp;"|"&amp;B324,$O$3:$P$16,2,FALSE)</f>
        <v>0</v>
      </c>
      <c r="D324" s="21">
        <f>VLOOKUP(A324&amp;"|"&amp;B324,$Q$3:$R$16,2,FALSE)</f>
        <v>25000</v>
      </c>
      <c r="E324" s="2"/>
      <c r="F324" s="21">
        <v>10</v>
      </c>
      <c r="G324" s="21">
        <v>500000</v>
      </c>
      <c r="H324" s="21">
        <f>VLOOKUP(F324&amp;"|"&amp;G324,$O$3:$P$16,2,FALSE)</f>
        <v>1800</v>
      </c>
      <c r="I324" s="21">
        <f>VLOOKUP(F324&amp;"|"&amp;G324,$Q$3:$R$16,2,FALSE)</f>
        <v>23200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1"/>
      <c r="B325" s="21"/>
      <c r="C325" s="21"/>
      <c r="D325" s="21"/>
      <c r="E325" s="2"/>
      <c r="F325" s="21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1"/>
      <c r="B326" s="21"/>
      <c r="C326" s="21"/>
      <c r="D326" s="21"/>
      <c r="E326" s="2"/>
      <c r="F326" s="21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1"/>
      <c r="B327" s="21"/>
      <c r="C327" s="21"/>
      <c r="D327" s="21"/>
      <c r="E327" s="10"/>
      <c r="F327" s="21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1"/>
      <c r="B328" s="21"/>
      <c r="C328" s="21"/>
      <c r="D328" s="21"/>
      <c r="E328" s="2"/>
      <c r="F328" s="21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1" t="s">
        <v>16</v>
      </c>
      <c r="B329" s="21"/>
      <c r="C329" s="21"/>
      <c r="D329" s="21">
        <f>SUM(D324:D328)</f>
        <v>25000</v>
      </c>
      <c r="E329" s="2"/>
      <c r="F329" s="84" t="s">
        <v>16</v>
      </c>
      <c r="G329" s="85"/>
      <c r="H329" s="86"/>
      <c r="I329" s="21">
        <f>SUM(I324:I328)</f>
        <v>23200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thickTop="1" thickBo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1" t="s">
        <v>0</v>
      </c>
      <c r="B331" s="21" t="s">
        <v>127</v>
      </c>
      <c r="C331" s="21" t="s">
        <v>24</v>
      </c>
      <c r="D331" s="9">
        <v>45907</v>
      </c>
      <c r="E331" s="2"/>
      <c r="F331" s="21" t="s">
        <v>0</v>
      </c>
      <c r="G331" s="21" t="s">
        <v>73</v>
      </c>
      <c r="H331" s="21" t="s">
        <v>18</v>
      </c>
      <c r="I331" s="9">
        <v>45907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1" t="s">
        <v>6</v>
      </c>
      <c r="B332" s="21" t="s">
        <v>7</v>
      </c>
      <c r="C332" s="21" t="s">
        <v>8</v>
      </c>
      <c r="D332" s="21" t="s">
        <v>9</v>
      </c>
      <c r="E332" s="2"/>
      <c r="F332" s="21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21">
        <v>10</v>
      </c>
      <c r="B333" s="21">
        <v>500000</v>
      </c>
      <c r="C333" s="21">
        <f>VLOOKUP(A333&amp;"|"&amp;B333,$O$3:$P$16,2,FALSE)</f>
        <v>1800</v>
      </c>
      <c r="D333" s="21">
        <f>VLOOKUP(A333&amp;"|"&amp;B333,$Q$3:$R$16,2,FALSE)</f>
        <v>23200</v>
      </c>
      <c r="E333" s="2"/>
      <c r="F333" s="21">
        <v>10</v>
      </c>
      <c r="G333" s="21">
        <v>500000</v>
      </c>
      <c r="H333" s="21">
        <f>VLOOKUP(F333&amp;"|"&amp;G333,$O$3:$P$16,2,FALSE)</f>
        <v>1800</v>
      </c>
      <c r="I333" s="21">
        <f>VLOOKUP(F333&amp;"|"&amp;G333,$Q$3:$R$16,2,FALSE)</f>
        <v>23200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21">
        <v>13</v>
      </c>
      <c r="B334" s="21">
        <v>500000</v>
      </c>
      <c r="C334" s="21">
        <f>VLOOKUP(A334&amp;"|"&amp;B334,$O$3:$P$16,2,FALSE)</f>
        <v>1150</v>
      </c>
      <c r="D334" s="21">
        <f>VLOOKUP(A334&amp;"|"&amp;B334,$Q$3:$R$16,2,FALSE)</f>
        <v>23850</v>
      </c>
      <c r="E334" s="2"/>
      <c r="F334" s="21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1"/>
      <c r="B335" s="21"/>
      <c r="C335" s="21"/>
      <c r="D335" s="21"/>
      <c r="E335" s="2"/>
      <c r="F335" s="21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1"/>
      <c r="B336" s="21"/>
      <c r="C336" s="21"/>
      <c r="D336" s="21"/>
      <c r="E336" s="2"/>
      <c r="F336" s="21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1"/>
      <c r="B337" s="21"/>
      <c r="C337" s="21"/>
      <c r="D337" s="21"/>
      <c r="E337" s="2"/>
      <c r="F337" s="21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1" t="s">
        <v>16</v>
      </c>
      <c r="B338" s="21"/>
      <c r="C338" s="21"/>
      <c r="D338" s="21">
        <f>SUM(D333:D337)</f>
        <v>47050</v>
      </c>
      <c r="E338" s="10"/>
      <c r="F338" s="84" t="s">
        <v>16</v>
      </c>
      <c r="G338" s="85"/>
      <c r="H338" s="86"/>
      <c r="I338" s="21">
        <f>SUM(I333:I337)</f>
        <v>23200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thickTop="1" thickBo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1" t="s">
        <v>0</v>
      </c>
      <c r="B340" s="21" t="s">
        <v>128</v>
      </c>
      <c r="C340" s="21" t="s">
        <v>34</v>
      </c>
      <c r="D340" s="9">
        <v>45907</v>
      </c>
      <c r="E340" s="2"/>
      <c r="F340" s="21" t="s">
        <v>0</v>
      </c>
      <c r="G340" s="21" t="s">
        <v>129</v>
      </c>
      <c r="H340" s="21" t="s">
        <v>39</v>
      </c>
      <c r="I340" s="9">
        <v>45907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1" t="s">
        <v>6</v>
      </c>
      <c r="B341" s="21" t="s">
        <v>7</v>
      </c>
      <c r="C341" s="21" t="s">
        <v>8</v>
      </c>
      <c r="D341" s="21" t="s">
        <v>9</v>
      </c>
      <c r="E341" s="2"/>
      <c r="F341" s="21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21">
        <v>13</v>
      </c>
      <c r="B342" s="21">
        <v>500000</v>
      </c>
      <c r="C342" s="21">
        <f>VLOOKUP(A342&amp;"|"&amp;B342,$O$3:$P$16,2,FALSE)</f>
        <v>1150</v>
      </c>
      <c r="D342" s="21">
        <f>VLOOKUP(A342&amp;"|"&amp;B342,$Q$3:$R$16,2,FALSE)</f>
        <v>23850</v>
      </c>
      <c r="E342" s="2"/>
      <c r="F342" s="21">
        <v>20</v>
      </c>
      <c r="G342" s="21">
        <v>500000</v>
      </c>
      <c r="H342" s="21">
        <f>VLOOKUP(F342&amp;"|"&amp;G342,$O$3:$P$16,2,FALSE)</f>
        <v>0</v>
      </c>
      <c r="I342" s="21">
        <f>VLOOKUP(F342&amp;"|"&amp;G342,$Q$3:$R$16,2,FALSE)</f>
        <v>25000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1"/>
      <c r="B343" s="21"/>
      <c r="C343" s="21"/>
      <c r="D343" s="21"/>
      <c r="E343" s="2"/>
      <c r="F343" s="21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1"/>
      <c r="B344" s="21"/>
      <c r="C344" s="21"/>
      <c r="D344" s="21"/>
      <c r="E344" s="2"/>
      <c r="F344" s="21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1"/>
      <c r="B345" s="21"/>
      <c r="C345" s="21"/>
      <c r="D345" s="21"/>
      <c r="E345" s="2"/>
      <c r="F345" s="21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1"/>
      <c r="B346" s="21"/>
      <c r="C346" s="21"/>
      <c r="D346" s="21"/>
      <c r="E346" s="2"/>
      <c r="F346" s="21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1" t="s">
        <v>16</v>
      </c>
      <c r="B347" s="21"/>
      <c r="C347" s="21"/>
      <c r="D347" s="21">
        <f>SUM(D342:D346)</f>
        <v>23850</v>
      </c>
      <c r="E347" s="2"/>
      <c r="F347" s="84" t="s">
        <v>16</v>
      </c>
      <c r="G347" s="85"/>
      <c r="H347" s="86"/>
      <c r="I347" s="21">
        <f>SUM(I342:I346)</f>
        <v>25000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10"/>
      <c r="B348" s="10"/>
      <c r="C348" s="10"/>
      <c r="D348" s="10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1" t="s">
        <v>0</v>
      </c>
      <c r="B349" s="21" t="s">
        <v>130</v>
      </c>
      <c r="C349" s="21" t="s">
        <v>104</v>
      </c>
      <c r="D349" s="9">
        <v>45907</v>
      </c>
      <c r="E349" s="2"/>
      <c r="F349" s="21" t="s">
        <v>0</v>
      </c>
      <c r="G349" s="21"/>
      <c r="H349" s="21"/>
      <c r="I349" s="9">
        <v>45907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1" t="s">
        <v>6</v>
      </c>
      <c r="B350" s="21" t="s">
        <v>7</v>
      </c>
      <c r="C350" s="21" t="s">
        <v>8</v>
      </c>
      <c r="D350" s="21" t="s">
        <v>9</v>
      </c>
      <c r="E350" s="2"/>
      <c r="F350" s="21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21">
        <v>16</v>
      </c>
      <c r="B351" s="21">
        <v>500000</v>
      </c>
      <c r="C351" s="21">
        <f>VLOOKUP(A351&amp;"|"&amp;B351,$O$3:$P$16,2,FALSE)</f>
        <v>450</v>
      </c>
      <c r="D351" s="21">
        <f>VLOOKUP(A351&amp;"|"&amp;B351,$Q$3:$R$16,2,FALSE)</f>
        <v>24550</v>
      </c>
      <c r="E351" s="2"/>
      <c r="F351" s="21"/>
      <c r="G351" s="21"/>
      <c r="H351" s="21"/>
      <c r="I351" s="2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1"/>
      <c r="B352" s="21"/>
      <c r="C352" s="21"/>
      <c r="D352" s="21"/>
      <c r="E352" s="2"/>
      <c r="F352" s="21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1"/>
      <c r="B353" s="21"/>
      <c r="C353" s="21"/>
      <c r="D353" s="21"/>
      <c r="E353" s="2"/>
      <c r="F353" s="21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1"/>
      <c r="B354" s="21"/>
      <c r="C354" s="21"/>
      <c r="D354" s="21"/>
      <c r="E354" s="2"/>
      <c r="F354" s="21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1"/>
      <c r="B355" s="21"/>
      <c r="C355" s="21"/>
      <c r="D355" s="21"/>
      <c r="E355" s="2"/>
      <c r="F355" s="21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1" t="s">
        <v>16</v>
      </c>
      <c r="B356" s="21"/>
      <c r="C356" s="21"/>
      <c r="D356" s="21">
        <f>SUM(D351:D355)</f>
        <v>24550</v>
      </c>
      <c r="E356" s="2"/>
      <c r="F356" s="84" t="s">
        <v>16</v>
      </c>
      <c r="G356" s="85"/>
      <c r="H356" s="86"/>
      <c r="I356" s="21">
        <f>SUM(I351:I355)</f>
        <v>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10"/>
      <c r="B357" s="10"/>
      <c r="C357" s="10"/>
      <c r="D357" s="10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1" t="s">
        <v>0</v>
      </c>
      <c r="B358" s="21" t="s">
        <v>132</v>
      </c>
      <c r="C358" s="21" t="s">
        <v>133</v>
      </c>
      <c r="D358" s="9">
        <v>45907</v>
      </c>
      <c r="E358" s="2"/>
      <c r="F358" s="21" t="s">
        <v>0</v>
      </c>
      <c r="G358" s="21" t="s">
        <v>63</v>
      </c>
      <c r="H358" s="21" t="s">
        <v>43</v>
      </c>
      <c r="I358" s="9">
        <v>45907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1" t="s">
        <v>6</v>
      </c>
      <c r="B359" s="21" t="s">
        <v>7</v>
      </c>
      <c r="C359" s="21" t="s">
        <v>8</v>
      </c>
      <c r="D359" s="21" t="s">
        <v>9</v>
      </c>
      <c r="E359" s="2"/>
      <c r="F359" s="21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21">
        <v>5</v>
      </c>
      <c r="B360" s="21">
        <v>500000</v>
      </c>
      <c r="C360" s="21">
        <f>VLOOKUP(A360&amp;"|"&amp;B360,$O$3:$P$16,2,FALSE)</f>
        <v>3000</v>
      </c>
      <c r="D360" s="21">
        <f>VLOOKUP(A360&amp;"|"&amp;B360,$Q$3:$R$16,2,FALSE)</f>
        <v>22000</v>
      </c>
      <c r="E360" s="2"/>
      <c r="F360" s="21">
        <v>13</v>
      </c>
      <c r="G360" s="21">
        <v>500000</v>
      </c>
      <c r="H360" s="21">
        <f>VLOOKUP(F360&amp;"|"&amp;G360,$O$3:$P$16,2,FALSE)</f>
        <v>1150</v>
      </c>
      <c r="I360" s="21">
        <f>VLOOKUP(F360&amp;"|"&amp;G360,$Q$3:$R$16,2,FALSE)</f>
        <v>23850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21"/>
      <c r="B361" s="21"/>
      <c r="C361" s="21"/>
      <c r="D361" s="21"/>
      <c r="E361" s="2"/>
      <c r="F361" s="21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1"/>
      <c r="B362" s="21"/>
      <c r="C362" s="21"/>
      <c r="D362" s="21"/>
      <c r="E362" s="2"/>
      <c r="F362" s="21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1"/>
      <c r="B363" s="21"/>
      <c r="C363" s="21"/>
      <c r="D363" s="21"/>
      <c r="E363" s="2"/>
      <c r="F363" s="21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1"/>
      <c r="B364" s="21"/>
      <c r="C364" s="21"/>
      <c r="D364" s="21"/>
      <c r="E364" s="2"/>
      <c r="F364" s="21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1" t="s">
        <v>16</v>
      </c>
      <c r="B365" s="21"/>
      <c r="C365" s="21"/>
      <c r="D365" s="21">
        <f>SUM(D360:D364)</f>
        <v>22000</v>
      </c>
      <c r="E365" s="2"/>
      <c r="F365" s="84" t="s">
        <v>16</v>
      </c>
      <c r="G365" s="85"/>
      <c r="H365" s="86"/>
      <c r="I365" s="21">
        <f>SUM(I360:I364)</f>
        <v>23850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thickTop="1" thickBo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1" t="s">
        <v>0</v>
      </c>
      <c r="B367" s="21" t="s">
        <v>187</v>
      </c>
      <c r="C367" s="21" t="s">
        <v>28</v>
      </c>
      <c r="D367" s="9">
        <v>45907</v>
      </c>
      <c r="E367" s="2"/>
      <c r="F367" s="21" t="s">
        <v>0</v>
      </c>
      <c r="G367" s="21" t="s">
        <v>126</v>
      </c>
      <c r="H367" s="21" t="s">
        <v>43</v>
      </c>
      <c r="I367" s="9">
        <v>45907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1" t="s">
        <v>6</v>
      </c>
      <c r="B368" s="21" t="s">
        <v>7</v>
      </c>
      <c r="C368" s="21" t="s">
        <v>8</v>
      </c>
      <c r="D368" s="21" t="s">
        <v>9</v>
      </c>
      <c r="E368" s="2"/>
      <c r="F368" s="21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21">
        <v>5</v>
      </c>
      <c r="B369" s="21">
        <v>1000000</v>
      </c>
      <c r="C369" s="21">
        <f>VLOOKUP(A369&amp;"|"&amp;B369,$O$3:$P$16,2,FALSE)</f>
        <v>5550</v>
      </c>
      <c r="D369" s="21">
        <f>VLOOKUP(A369&amp;"|"&amp;B369,$Q$3:$R$16,2,FALSE)</f>
        <v>44450</v>
      </c>
      <c r="E369" s="2"/>
      <c r="F369" s="21">
        <v>13</v>
      </c>
      <c r="G369" s="21">
        <v>500000</v>
      </c>
      <c r="H369" s="21">
        <f>VLOOKUP(F369&amp;"|"&amp;G369,$O$3:$P$16,2,FALSE)</f>
        <v>1150</v>
      </c>
      <c r="I369" s="21">
        <f>VLOOKUP(F369&amp;"|"&amp;G369,$Q$3:$R$16,2,FALSE)</f>
        <v>23850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21">
        <v>20</v>
      </c>
      <c r="B370" s="21">
        <v>500000</v>
      </c>
      <c r="C370" s="21">
        <f>VLOOKUP(A370&amp;"|"&amp;B370,$O$3:$P$16,2,FALSE)</f>
        <v>0</v>
      </c>
      <c r="D370" s="21">
        <f>VLOOKUP(A370&amp;"|"&amp;B370,$Q$3:$R$16,2,FALSE)</f>
        <v>25000</v>
      </c>
      <c r="E370" s="4"/>
      <c r="F370" s="21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1"/>
      <c r="B371" s="21"/>
      <c r="C371" s="21"/>
      <c r="D371" s="21"/>
      <c r="E371" s="4"/>
      <c r="F371" s="21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1"/>
      <c r="B372" s="21"/>
      <c r="C372" s="21"/>
      <c r="D372" s="21"/>
      <c r="E372" s="4"/>
      <c r="F372" s="21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1"/>
      <c r="B373" s="21"/>
      <c r="C373" s="21"/>
      <c r="D373" s="21"/>
      <c r="E373" s="4"/>
      <c r="F373" s="21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1" t="s">
        <v>16</v>
      </c>
      <c r="B374" s="21"/>
      <c r="C374" s="21"/>
      <c r="D374" s="21">
        <f>SUM(D369:D373)</f>
        <v>69450</v>
      </c>
      <c r="E374" s="4"/>
      <c r="F374" s="84" t="s">
        <v>16</v>
      </c>
      <c r="G374" s="85"/>
      <c r="H374" s="86"/>
      <c r="I374" s="21">
        <f>SUM(I369:I373)</f>
        <v>23850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thickTop="1" thickBo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1" t="s">
        <v>0</v>
      </c>
      <c r="B376" s="21" t="s">
        <v>35</v>
      </c>
      <c r="C376" s="21" t="s">
        <v>62</v>
      </c>
      <c r="D376" s="9">
        <v>45907</v>
      </c>
      <c r="E376" s="4"/>
      <c r="F376" s="21" t="s">
        <v>0</v>
      </c>
      <c r="G376" s="21" t="s">
        <v>109</v>
      </c>
      <c r="H376" s="21" t="s">
        <v>134</v>
      </c>
      <c r="I376" s="9">
        <v>45907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1" t="s">
        <v>6</v>
      </c>
      <c r="B377" s="21" t="s">
        <v>7</v>
      </c>
      <c r="C377" s="21" t="s">
        <v>8</v>
      </c>
      <c r="D377" s="21" t="s">
        <v>9</v>
      </c>
      <c r="E377" s="4"/>
      <c r="F377" s="21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21">
        <v>5</v>
      </c>
      <c r="B378" s="21">
        <v>500000</v>
      </c>
      <c r="C378" s="21">
        <f>VLOOKUP(A378&amp;"|"&amp;B378,$O$3:$P$17,2,FALSE)</f>
        <v>3000</v>
      </c>
      <c r="D378" s="21">
        <f>VLOOKUP(A378&amp;"|"&amp;B378,$Q$3:$R$17,2,FALSE)</f>
        <v>22000</v>
      </c>
      <c r="E378" s="4"/>
      <c r="F378" s="21">
        <v>5</v>
      </c>
      <c r="G378" s="21">
        <v>500000</v>
      </c>
      <c r="H378" s="21">
        <f>VLOOKUP(F378&amp;"|"&amp;G378,$O$3:$P$17,2,FALSE)</f>
        <v>3000</v>
      </c>
      <c r="I378" s="21">
        <f>VLOOKUP(F378&amp;"|"&amp;G378,$Q$3:$R$17,2,FALSE)</f>
        <v>22000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1"/>
      <c r="B379" s="21"/>
      <c r="C379" s="21"/>
      <c r="D379" s="21"/>
      <c r="E379" s="4"/>
      <c r="F379" s="21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1"/>
      <c r="B380" s="21"/>
      <c r="C380" s="21"/>
      <c r="D380" s="21"/>
      <c r="E380" s="4"/>
      <c r="F380" s="21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1"/>
      <c r="B381" s="21"/>
      <c r="C381" s="21"/>
      <c r="D381" s="21"/>
      <c r="E381" s="4"/>
      <c r="F381" s="21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1"/>
      <c r="B382" s="21"/>
      <c r="C382" s="21"/>
      <c r="D382" s="21"/>
      <c r="E382" s="4"/>
      <c r="F382" s="21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1" t="s">
        <v>16</v>
      </c>
      <c r="B383" s="21"/>
      <c r="C383" s="21"/>
      <c r="D383" s="21">
        <f>SUM(D378:D382)</f>
        <v>22000</v>
      </c>
      <c r="E383" s="4"/>
      <c r="F383" s="84" t="s">
        <v>16</v>
      </c>
      <c r="G383" s="85"/>
      <c r="H383" s="86"/>
      <c r="I383" s="21">
        <f>SUM(I378:I382)</f>
        <v>22000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thickTop="1" thickBo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1" t="s">
        <v>0</v>
      </c>
      <c r="B385" s="21" t="s">
        <v>128</v>
      </c>
      <c r="C385" s="21" t="s">
        <v>134</v>
      </c>
      <c r="D385" s="9">
        <v>45907</v>
      </c>
      <c r="E385" s="4"/>
      <c r="F385" s="21" t="s">
        <v>0</v>
      </c>
      <c r="G385" s="21" t="s">
        <v>135</v>
      </c>
      <c r="H385" s="21" t="s">
        <v>136</v>
      </c>
      <c r="I385" s="9">
        <v>45907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1" t="s">
        <v>6</v>
      </c>
      <c r="B386" s="21" t="s">
        <v>7</v>
      </c>
      <c r="C386" s="21" t="s">
        <v>8</v>
      </c>
      <c r="D386" s="21" t="s">
        <v>9</v>
      </c>
      <c r="E386" s="4"/>
      <c r="F386" s="21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21">
        <v>16</v>
      </c>
      <c r="B387" s="21">
        <v>1000000</v>
      </c>
      <c r="C387" s="21">
        <f>VLOOKUP(A387&amp;"|"&amp;B387,$O$3:$P$16,2,FALSE)</f>
        <v>750</v>
      </c>
      <c r="D387" s="21">
        <f>VLOOKUP(A387&amp;"|"&amp;B387,$Q$3:$R$16,2,FALSE)</f>
        <v>49250</v>
      </c>
      <c r="E387" s="4"/>
      <c r="F387" s="21">
        <v>10</v>
      </c>
      <c r="G387" s="21">
        <v>500000</v>
      </c>
      <c r="H387" s="21">
        <f>VLOOKUP(F387&amp;"|"&amp;G387,$O$3:$P$16,2,FALSE)</f>
        <v>1800</v>
      </c>
      <c r="I387" s="21">
        <f>VLOOKUP(F387&amp;"|"&amp;G387,$Q$3:$R$16,2,FALSE)</f>
        <v>23200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21">
        <v>16.100000000000001</v>
      </c>
      <c r="B388" s="21">
        <v>1000000</v>
      </c>
      <c r="C388" s="21">
        <f>VLOOKUP(A388&amp;"|"&amp;B388,$O$3:$P$16,2,FALSE)</f>
        <v>750</v>
      </c>
      <c r="D388" s="21">
        <f>VLOOKUP(A388&amp;"|"&amp;B388,$Q$3:$R$16,2,FALSE)</f>
        <v>49250</v>
      </c>
      <c r="E388" s="4"/>
      <c r="F388" s="21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1"/>
      <c r="B389" s="21"/>
      <c r="C389" s="21"/>
      <c r="D389" s="21"/>
      <c r="E389" s="4"/>
      <c r="F389" s="21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1"/>
      <c r="B390" s="21"/>
      <c r="C390" s="21"/>
      <c r="D390" s="21"/>
      <c r="E390" s="4"/>
      <c r="F390" s="21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1"/>
      <c r="B391" s="21"/>
      <c r="C391" s="21"/>
      <c r="D391" s="21"/>
      <c r="E391" s="4"/>
      <c r="F391" s="21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59" t="s">
        <v>49</v>
      </c>
      <c r="B392" s="53"/>
      <c r="C392" s="54"/>
      <c r="D392" s="21">
        <f>SUM(D387:D391)</f>
        <v>98500</v>
      </c>
      <c r="E392" s="4"/>
      <c r="F392" s="84" t="s">
        <v>16</v>
      </c>
      <c r="G392" s="85"/>
      <c r="H392" s="86"/>
      <c r="I392" s="21">
        <f>SUM(I387:I391)</f>
        <v>23200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2"/>
      <c r="B393" s="2"/>
      <c r="C393" s="2"/>
      <c r="D393" s="10"/>
      <c r="E393" s="4"/>
      <c r="F393" s="2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1" t="s">
        <v>0</v>
      </c>
      <c r="B394" s="21" t="s">
        <v>137</v>
      </c>
      <c r="C394" s="21" t="s">
        <v>138</v>
      </c>
      <c r="D394" s="9">
        <v>45907</v>
      </c>
      <c r="E394" s="4"/>
      <c r="F394" s="21" t="s">
        <v>0</v>
      </c>
      <c r="G394" s="21" t="s">
        <v>139</v>
      </c>
      <c r="H394" s="21" t="s">
        <v>140</v>
      </c>
      <c r="I394" s="9">
        <v>45907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1" t="s">
        <v>6</v>
      </c>
      <c r="B395" s="21" t="s">
        <v>7</v>
      </c>
      <c r="C395" s="21" t="s">
        <v>8</v>
      </c>
      <c r="D395" s="21" t="s">
        <v>9</v>
      </c>
      <c r="E395" s="4"/>
      <c r="F395" s="21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21">
        <v>16</v>
      </c>
      <c r="B396" s="21">
        <v>1000000</v>
      </c>
      <c r="C396" s="21">
        <f>VLOOKUP(A396&amp;"|"&amp;B396,$O$3:$P$16,2,FALSE)</f>
        <v>750</v>
      </c>
      <c r="D396" s="21">
        <f>VLOOKUP(A396&amp;"|"&amp;B396,$Q$3:$R$16,2,FALSE)</f>
        <v>49250</v>
      </c>
      <c r="E396" s="4"/>
      <c r="F396" s="21">
        <v>5</v>
      </c>
      <c r="G396" s="21">
        <v>1000000</v>
      </c>
      <c r="H396" s="21">
        <f>VLOOKUP(F396&amp;"|"&amp;G396,$O$3:$P$16,2,FALSE)</f>
        <v>5550</v>
      </c>
      <c r="I396" s="21">
        <f>VLOOKUP(F396&amp;"|"&amp;G396,$Q$3:$R$16,2,FALSE)</f>
        <v>44450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1"/>
      <c r="B397" s="21"/>
      <c r="C397" s="21"/>
      <c r="D397" s="21"/>
      <c r="E397" s="4"/>
      <c r="F397" s="21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1"/>
      <c r="B398" s="21"/>
      <c r="C398" s="21"/>
      <c r="D398" s="21"/>
      <c r="E398" s="4"/>
      <c r="F398" s="21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1"/>
      <c r="B399" s="21"/>
      <c r="C399" s="21"/>
      <c r="D399" s="21"/>
      <c r="E399" s="4"/>
      <c r="F399" s="21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1"/>
      <c r="B400" s="21"/>
      <c r="C400" s="21"/>
      <c r="D400" s="21"/>
      <c r="E400" s="4"/>
      <c r="F400" s="21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59" t="s">
        <v>49</v>
      </c>
      <c r="B401" s="53"/>
      <c r="C401" s="54"/>
      <c r="D401" s="21">
        <f>SUM(D396:D400)</f>
        <v>49250</v>
      </c>
      <c r="E401" s="4"/>
      <c r="F401" s="84" t="s">
        <v>16</v>
      </c>
      <c r="G401" s="85"/>
      <c r="H401" s="86"/>
      <c r="I401" s="21">
        <f>SUM(I396:I400)</f>
        <v>44450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2"/>
      <c r="B402" s="2"/>
      <c r="C402" s="2"/>
      <c r="D402" s="2"/>
      <c r="E402" s="4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2" t="s">
        <v>0</v>
      </c>
      <c r="B403" s="12" t="s">
        <v>141</v>
      </c>
      <c r="C403" s="12" t="s">
        <v>142</v>
      </c>
      <c r="D403" s="9">
        <v>45907</v>
      </c>
      <c r="E403" s="4"/>
      <c r="F403" s="21" t="s">
        <v>0</v>
      </c>
      <c r="G403" s="21" t="s">
        <v>143</v>
      </c>
      <c r="H403" s="21" t="s">
        <v>144</v>
      </c>
      <c r="I403" s="9">
        <v>45907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1" t="s">
        <v>6</v>
      </c>
      <c r="B404" s="21" t="s">
        <v>7</v>
      </c>
      <c r="C404" s="21" t="s">
        <v>8</v>
      </c>
      <c r="D404" s="21" t="s">
        <v>9</v>
      </c>
      <c r="E404" s="4"/>
      <c r="F404" s="21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21">
        <v>16.100000000000001</v>
      </c>
      <c r="B405" s="21">
        <v>1000000</v>
      </c>
      <c r="C405" s="21">
        <f>VLOOKUP(A405&amp;"|"&amp;B405,$O$3:$P$16,2,FALSE)</f>
        <v>750</v>
      </c>
      <c r="D405" s="21">
        <f>VLOOKUP(A405&amp;"|"&amp;B405,$Q$3:$R$16,2,FALSE)</f>
        <v>49250</v>
      </c>
      <c r="E405" s="4"/>
      <c r="F405" s="21">
        <v>16</v>
      </c>
      <c r="G405" s="21">
        <v>500000</v>
      </c>
      <c r="H405" s="21">
        <f>VLOOKUP(F405&amp;"|"&amp;G405,$O$3:$P$16,2,FALSE)</f>
        <v>450</v>
      </c>
      <c r="I405" s="21">
        <f>VLOOKUP(F405&amp;"|"&amp;G405,$Q$3:$R$16,2,FALSE)</f>
        <v>24550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1"/>
      <c r="B406" s="21"/>
      <c r="C406" s="21"/>
      <c r="D406" s="21"/>
      <c r="E406" s="4"/>
      <c r="F406" s="21">
        <v>20</v>
      </c>
      <c r="G406" s="21">
        <v>500000</v>
      </c>
      <c r="H406" s="21">
        <f>VLOOKUP(F406&amp;"|"&amp;G406,$O$3:$P$16,2,FALSE)</f>
        <v>0</v>
      </c>
      <c r="I406" s="21">
        <f>VLOOKUP(F406&amp;"|"&amp;G406,$Q$3:$R$16,2,FALSE)</f>
        <v>25000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1"/>
      <c r="B407" s="21"/>
      <c r="C407" s="21"/>
      <c r="D407" s="21"/>
      <c r="E407" s="4"/>
      <c r="F407" s="21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1"/>
      <c r="B408" s="21"/>
      <c r="C408" s="21"/>
      <c r="D408" s="21"/>
      <c r="E408" s="4"/>
      <c r="F408" s="21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1"/>
      <c r="B409" s="21"/>
      <c r="C409" s="21"/>
      <c r="D409" s="21"/>
      <c r="E409" s="4"/>
      <c r="F409" s="21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59" t="s">
        <v>49</v>
      </c>
      <c r="B410" s="53"/>
      <c r="C410" s="54"/>
      <c r="D410" s="21">
        <f>SUM(D405:D409)</f>
        <v>49250</v>
      </c>
      <c r="E410" s="4"/>
      <c r="F410" s="84" t="s">
        <v>16</v>
      </c>
      <c r="G410" s="85"/>
      <c r="H410" s="86"/>
      <c r="I410" s="21">
        <f>SUM(I405:I409)</f>
        <v>49550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thickTop="1" thickBot="1">
      <c r="A411" s="2"/>
      <c r="B411" s="2"/>
      <c r="C411" s="2"/>
      <c r="D411" s="2"/>
      <c r="E411" s="4"/>
      <c r="F411" s="2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2" t="s">
        <v>0</v>
      </c>
      <c r="B412" s="12" t="s">
        <v>145</v>
      </c>
      <c r="C412" s="12" t="s">
        <v>43</v>
      </c>
      <c r="D412" s="9">
        <v>45907</v>
      </c>
      <c r="E412" s="4"/>
      <c r="F412" s="21" t="s">
        <v>0</v>
      </c>
      <c r="G412" s="21" t="s">
        <v>146</v>
      </c>
      <c r="H412" s="21" t="s">
        <v>147</v>
      </c>
      <c r="I412" s="9">
        <v>45907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1" t="s">
        <v>6</v>
      </c>
      <c r="B413" s="21" t="s">
        <v>7</v>
      </c>
      <c r="C413" s="21" t="s">
        <v>8</v>
      </c>
      <c r="D413" s="21" t="s">
        <v>9</v>
      </c>
      <c r="E413" s="4"/>
      <c r="F413" s="21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1">
        <v>5</v>
      </c>
      <c r="B414" s="21">
        <v>500000</v>
      </c>
      <c r="C414" s="21">
        <f>VLOOKUP(A414&amp;"|"&amp;B414,$O$3:$P$17,2,FALSE)</f>
        <v>3000</v>
      </c>
      <c r="D414" s="21">
        <f>VLOOKUP(A414&amp;"|"&amp;B414,$Q$3:$R$17,2,FALSE)</f>
        <v>22000</v>
      </c>
      <c r="E414" s="4"/>
      <c r="F414" s="21">
        <v>5</v>
      </c>
      <c r="G414" s="21">
        <v>1000000</v>
      </c>
      <c r="H414" s="21">
        <f>VLOOKUP(F414&amp;"|"&amp;G414,$O$3:$P$16,2,FALSE)</f>
        <v>5550</v>
      </c>
      <c r="I414" s="21">
        <f>VLOOKUP(F414&amp;"|"&amp;G414,$Q$3:$R$16,2,FALSE)</f>
        <v>44450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1"/>
      <c r="B415" s="21"/>
      <c r="C415" s="21"/>
      <c r="D415" s="21"/>
      <c r="E415" s="4"/>
      <c r="F415" s="21">
        <v>20</v>
      </c>
      <c r="G415" s="21">
        <v>500000</v>
      </c>
      <c r="H415" s="21">
        <f>VLOOKUP(F415&amp;"|"&amp;G415,$O$3:$P$16,2,FALSE)</f>
        <v>0</v>
      </c>
      <c r="I415" s="21">
        <f>VLOOKUP(F415&amp;"|"&amp;G415,$Q$3:$R$16,2,FALSE)</f>
        <v>25000</v>
      </c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1"/>
      <c r="B416" s="21"/>
      <c r="C416" s="21"/>
      <c r="D416" s="21"/>
      <c r="E416" s="4"/>
      <c r="F416" s="21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1"/>
      <c r="B417" s="21"/>
      <c r="C417" s="21"/>
      <c r="D417" s="21"/>
      <c r="E417" s="4"/>
      <c r="F417" s="21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1"/>
      <c r="B418" s="21"/>
      <c r="C418" s="21"/>
      <c r="D418" s="21"/>
      <c r="E418" s="4"/>
      <c r="F418" s="21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59" t="s">
        <v>49</v>
      </c>
      <c r="B419" s="53"/>
      <c r="C419" s="54"/>
      <c r="D419" s="21">
        <f>SUM(D414:D418)</f>
        <v>22000</v>
      </c>
      <c r="E419" s="4"/>
      <c r="F419" s="84" t="s">
        <v>16</v>
      </c>
      <c r="G419" s="85"/>
      <c r="H419" s="86"/>
      <c r="I419" s="21">
        <f>SUM(I414:I418)</f>
        <v>69450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thickTop="1" thickBot="1">
      <c r="A420" s="2"/>
      <c r="B420" s="2"/>
      <c r="C420" s="2"/>
      <c r="D420" s="2"/>
      <c r="E420" s="4"/>
      <c r="F420" s="2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2" t="s">
        <v>0</v>
      </c>
      <c r="B421" s="12" t="s">
        <v>148</v>
      </c>
      <c r="C421" s="12" t="s">
        <v>62</v>
      </c>
      <c r="D421" s="9">
        <v>45907</v>
      </c>
      <c r="E421" s="4"/>
      <c r="F421" s="12" t="s">
        <v>0</v>
      </c>
      <c r="G421" s="12" t="s">
        <v>33</v>
      </c>
      <c r="H421" s="12" t="s">
        <v>76</v>
      </c>
      <c r="I421" s="9">
        <v>45907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1" t="s">
        <v>6</v>
      </c>
      <c r="B422" s="21" t="s">
        <v>7</v>
      </c>
      <c r="C422" s="21" t="s">
        <v>8</v>
      </c>
      <c r="D422" s="21" t="s">
        <v>9</v>
      </c>
      <c r="E422" s="4"/>
      <c r="F422" s="21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21">
        <v>5.0999999999999996</v>
      </c>
      <c r="B423" s="21">
        <v>1000000</v>
      </c>
      <c r="C423" s="21">
        <f>VLOOKUP(A423&amp;"|"&amp;B423,$O$3:$P$17,2,FALSE)</f>
        <v>5500</v>
      </c>
      <c r="D423" s="21">
        <f>VLOOKUP(A423&amp;"|"&amp;B423,$Q$3:$R$17,2,FALSE)</f>
        <v>44500</v>
      </c>
      <c r="E423" s="4"/>
      <c r="F423" s="21">
        <v>5</v>
      </c>
      <c r="G423" s="21">
        <v>2000000</v>
      </c>
      <c r="H423" s="21">
        <f>VLOOKUP(F423&amp;"|"&amp;G423,$O$3:$P$16,2,FALSE)</f>
        <v>11000</v>
      </c>
      <c r="I423" s="21">
        <f>VLOOKUP(F423&amp;"|"&amp;G423,$Q$3:$R$16,2,FALSE)</f>
        <v>89000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1"/>
      <c r="B424" s="21"/>
      <c r="C424" s="21"/>
      <c r="D424" s="21"/>
      <c r="E424" s="4"/>
      <c r="F424" s="21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1"/>
      <c r="B425" s="21"/>
      <c r="C425" s="21"/>
      <c r="D425" s="21"/>
      <c r="E425" s="4"/>
      <c r="F425" s="21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1"/>
      <c r="B426" s="21"/>
      <c r="C426" s="21"/>
      <c r="D426" s="21"/>
      <c r="E426" s="4"/>
      <c r="F426" s="21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1"/>
      <c r="B427" s="21"/>
      <c r="C427" s="21"/>
      <c r="D427" s="21"/>
      <c r="E427" s="4"/>
      <c r="F427" s="21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59" t="s">
        <v>49</v>
      </c>
      <c r="B428" s="53"/>
      <c r="C428" s="54"/>
      <c r="D428" s="21">
        <f>SUM(D423:D427)</f>
        <v>44500</v>
      </c>
      <c r="E428" s="4"/>
      <c r="F428" s="81" t="s">
        <v>49</v>
      </c>
      <c r="G428" s="82"/>
      <c r="H428" s="83"/>
      <c r="I428" s="21">
        <f>SUM(I423:I427)</f>
        <v>89000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thickTop="1" thickBot="1">
      <c r="A429" s="2"/>
      <c r="B429" s="2"/>
      <c r="C429" s="2"/>
      <c r="D429" s="2"/>
      <c r="E429" s="4"/>
      <c r="F429" s="2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2" t="s">
        <v>0</v>
      </c>
      <c r="B430" s="12" t="s">
        <v>149</v>
      </c>
      <c r="C430" s="12" t="s">
        <v>24</v>
      </c>
      <c r="D430" s="9">
        <v>45907</v>
      </c>
      <c r="E430" s="4"/>
      <c r="F430" s="12" t="s">
        <v>0</v>
      </c>
      <c r="G430" s="12" t="s">
        <v>57</v>
      </c>
      <c r="H430" s="12" t="s">
        <v>150</v>
      </c>
      <c r="I430" s="9">
        <v>45907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1" t="s">
        <v>6</v>
      </c>
      <c r="B431" s="21" t="s">
        <v>7</v>
      </c>
      <c r="C431" s="21" t="s">
        <v>8</v>
      </c>
      <c r="D431" s="21" t="s">
        <v>9</v>
      </c>
      <c r="E431" s="4"/>
      <c r="F431" s="21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21">
        <v>5</v>
      </c>
      <c r="B432" s="21">
        <v>1000000</v>
      </c>
      <c r="C432" s="21">
        <f>VLOOKUP(A432&amp;"|"&amp;B432,$O$3:$P$16,2,FALSE)</f>
        <v>5550</v>
      </c>
      <c r="D432" s="21">
        <f>VLOOKUP(A432&amp;"|"&amp;B432,$Q$3:$R$16,2,FALSE)</f>
        <v>44450</v>
      </c>
      <c r="E432" s="4"/>
      <c r="F432" s="21">
        <v>5</v>
      </c>
      <c r="G432" s="21">
        <v>1000000</v>
      </c>
      <c r="H432" s="21">
        <f>VLOOKUP(F432&amp;"|"&amp;G432,$O$3:$P$16,2,FALSE)</f>
        <v>5550</v>
      </c>
      <c r="I432" s="21">
        <f>VLOOKUP(F432&amp;"|"&amp;G432,$Q$3:$R$16,2,FALSE)</f>
        <v>44450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1"/>
      <c r="B433" s="21"/>
      <c r="C433" s="21"/>
      <c r="D433" s="21"/>
      <c r="E433" s="4"/>
      <c r="F433" s="21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1"/>
      <c r="B434" s="21"/>
      <c r="C434" s="21"/>
      <c r="D434" s="21"/>
      <c r="E434" s="4"/>
      <c r="F434" s="21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1"/>
      <c r="B435" s="21"/>
      <c r="C435" s="21"/>
      <c r="D435" s="21"/>
      <c r="E435" s="4"/>
      <c r="F435" s="21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1"/>
      <c r="B436" s="21"/>
      <c r="C436" s="21"/>
      <c r="D436" s="21"/>
      <c r="E436" s="4"/>
      <c r="F436" s="21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59" t="s">
        <v>49</v>
      </c>
      <c r="B437" s="53"/>
      <c r="C437" s="54"/>
      <c r="D437" s="21">
        <f>SUM(D432:D436)</f>
        <v>44450</v>
      </c>
      <c r="E437" s="4"/>
      <c r="F437" s="81" t="s">
        <v>49</v>
      </c>
      <c r="G437" s="82"/>
      <c r="H437" s="83"/>
      <c r="I437" s="21">
        <f>SUM(I432:I436)</f>
        <v>44450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2"/>
      <c r="B438" s="6"/>
      <c r="C438" s="2"/>
      <c r="D438" s="10"/>
      <c r="E438" s="4"/>
      <c r="F438" s="2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2" t="s">
        <v>0</v>
      </c>
      <c r="B439" s="12" t="s">
        <v>151</v>
      </c>
      <c r="C439" s="12" t="s">
        <v>43</v>
      </c>
      <c r="D439" s="9">
        <v>45907</v>
      </c>
      <c r="E439" s="4"/>
      <c r="F439" s="12" t="s">
        <v>0</v>
      </c>
      <c r="G439" s="12" t="s">
        <v>152</v>
      </c>
      <c r="H439" s="12" t="s">
        <v>43</v>
      </c>
      <c r="I439" s="9">
        <v>45907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1" t="s">
        <v>6</v>
      </c>
      <c r="B440" s="21" t="s">
        <v>7</v>
      </c>
      <c r="C440" s="21" t="s">
        <v>8</v>
      </c>
      <c r="D440" s="21" t="s">
        <v>9</v>
      </c>
      <c r="E440" s="4"/>
      <c r="F440" s="21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21">
        <v>20</v>
      </c>
      <c r="B441" s="21">
        <v>500000</v>
      </c>
      <c r="C441" s="21">
        <f>VLOOKUP(A441&amp;"|"&amp;B441,$O$3:$P$16,2,FALSE)</f>
        <v>0</v>
      </c>
      <c r="D441" s="21">
        <f>VLOOKUP(A441&amp;"|"&amp;B441,$Q$3:$R$16,2,FALSE)</f>
        <v>25000</v>
      </c>
      <c r="E441" s="4"/>
      <c r="F441" s="21">
        <v>5</v>
      </c>
      <c r="G441" s="21">
        <v>2000000</v>
      </c>
      <c r="H441" s="21">
        <f>VLOOKUP(F441&amp;"|"&amp;G441,$O$3:$P$16,2,FALSE)</f>
        <v>11000</v>
      </c>
      <c r="I441" s="21">
        <f>VLOOKUP(F441&amp;"|"&amp;G441,$Q$3:$R$16,2,FALSE)</f>
        <v>89000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1"/>
      <c r="B442" s="21"/>
      <c r="C442" s="21"/>
      <c r="D442" s="21"/>
      <c r="E442" s="4"/>
      <c r="F442" s="21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1"/>
      <c r="B443" s="21"/>
      <c r="C443" s="21"/>
      <c r="D443" s="21"/>
      <c r="E443" s="4"/>
      <c r="F443" s="21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1"/>
      <c r="B444" s="21"/>
      <c r="C444" s="21"/>
      <c r="D444" s="21"/>
      <c r="E444" s="4"/>
      <c r="F444" s="21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1"/>
      <c r="B445" s="21"/>
      <c r="C445" s="21"/>
      <c r="D445" s="21"/>
      <c r="E445" s="4"/>
      <c r="F445" s="21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59" t="s">
        <v>49</v>
      </c>
      <c r="B446" s="53"/>
      <c r="C446" s="54"/>
      <c r="D446" s="21">
        <f>SUM(D441:D445)</f>
        <v>25000</v>
      </c>
      <c r="E446" s="4"/>
      <c r="F446" s="81" t="s">
        <v>49</v>
      </c>
      <c r="G446" s="82"/>
      <c r="H446" s="83"/>
      <c r="I446" s="21">
        <f>SUM(I441:I445)</f>
        <v>89000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2"/>
      <c r="B447" s="2"/>
      <c r="C447" s="2"/>
      <c r="D447" s="2"/>
      <c r="E447" s="4"/>
      <c r="F447" s="2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2" t="s">
        <v>0</v>
      </c>
      <c r="B448" s="12" t="s">
        <v>128</v>
      </c>
      <c r="C448" s="12" t="s">
        <v>101</v>
      </c>
      <c r="D448" s="9">
        <v>45907</v>
      </c>
      <c r="E448" s="4"/>
      <c r="F448" s="12" t="s">
        <v>0</v>
      </c>
      <c r="G448" s="12" t="s">
        <v>153</v>
      </c>
      <c r="H448" s="12" t="s">
        <v>101</v>
      </c>
      <c r="I448" s="9">
        <v>45907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1" t="s">
        <v>6</v>
      </c>
      <c r="B449" s="21" t="s">
        <v>7</v>
      </c>
      <c r="C449" s="21" t="s">
        <v>8</v>
      </c>
      <c r="D449" s="21" t="s">
        <v>9</v>
      </c>
      <c r="E449" s="4"/>
      <c r="F449" s="21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21">
        <v>20</v>
      </c>
      <c r="B450" s="21">
        <v>500000</v>
      </c>
      <c r="C450" s="21">
        <f>VLOOKUP(A450&amp;"|"&amp;B450,$O$3:$P$16,2,FALSE)</f>
        <v>0</v>
      </c>
      <c r="D450" s="21">
        <f>VLOOKUP(A450&amp;"|"&amp;B450,$Q$3:$R$16,2,FALSE)</f>
        <v>25000</v>
      </c>
      <c r="E450" s="4"/>
      <c r="F450" s="21">
        <v>20</v>
      </c>
      <c r="G450" s="21">
        <v>500000</v>
      </c>
      <c r="H450" s="21">
        <f>VLOOKUP(F450&amp;"|"&amp;G450,$O$3:$P$19,2,FALSE)</f>
        <v>0</v>
      </c>
      <c r="I450" s="21">
        <f>VLOOKUP(F450&amp;"|"&amp;G450,$Q$3:$R$19,2,FALSE)</f>
        <v>25000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1"/>
      <c r="B451" s="21"/>
      <c r="C451" s="21"/>
      <c r="D451" s="21"/>
      <c r="E451" s="4"/>
      <c r="F451" s="21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1"/>
      <c r="B452" s="21"/>
      <c r="C452" s="21"/>
      <c r="D452" s="21"/>
      <c r="E452" s="4"/>
      <c r="F452" s="21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1"/>
      <c r="B453" s="21"/>
      <c r="C453" s="21"/>
      <c r="D453" s="21"/>
      <c r="E453" s="4"/>
      <c r="F453" s="21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1"/>
      <c r="B454" s="21"/>
      <c r="C454" s="21"/>
      <c r="D454" s="21"/>
      <c r="E454" s="4"/>
      <c r="F454" s="21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59" t="s">
        <v>49</v>
      </c>
      <c r="B455" s="53"/>
      <c r="C455" s="54"/>
      <c r="D455" s="21">
        <f>SUM(D450:D454)</f>
        <v>25000</v>
      </c>
      <c r="E455" s="4"/>
      <c r="F455" s="81" t="s">
        <v>49</v>
      </c>
      <c r="G455" s="82"/>
      <c r="H455" s="83"/>
      <c r="I455" s="21">
        <f>SUM(I450:I454)</f>
        <v>25000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thickTop="1" thickBot="1">
      <c r="A456" s="2"/>
      <c r="B456" s="2"/>
      <c r="C456" s="2"/>
      <c r="D456" s="2"/>
      <c r="E456" s="4"/>
      <c r="F456" s="2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2" t="s">
        <v>0</v>
      </c>
      <c r="B457" s="12" t="s">
        <v>35</v>
      </c>
      <c r="C457" s="12" t="s">
        <v>154</v>
      </c>
      <c r="D457" s="9">
        <v>45907</v>
      </c>
      <c r="E457" s="4"/>
      <c r="F457" s="12" t="s">
        <v>0</v>
      </c>
      <c r="G457" s="12" t="s">
        <v>155</v>
      </c>
      <c r="H457" s="12" t="s">
        <v>156</v>
      </c>
      <c r="I457" s="9">
        <v>45907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1" t="s">
        <v>6</v>
      </c>
      <c r="B458" s="21" t="s">
        <v>7</v>
      </c>
      <c r="C458" s="21" t="s">
        <v>8</v>
      </c>
      <c r="D458" s="21" t="s">
        <v>9</v>
      </c>
      <c r="E458" s="4"/>
      <c r="F458" s="21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21">
        <v>16</v>
      </c>
      <c r="B459" s="21">
        <v>500000</v>
      </c>
      <c r="C459" s="21">
        <f>VLOOKUP(A459&amp;"|"&amp;B459,$O$3:$P$16,2,FALSE)</f>
        <v>450</v>
      </c>
      <c r="D459" s="21">
        <f>VLOOKUP(A459&amp;"|"&amp;B459,$Q$3:$R$16,2,FALSE)</f>
        <v>24550</v>
      </c>
      <c r="E459" s="4"/>
      <c r="F459" s="21">
        <v>5</v>
      </c>
      <c r="G459" s="21">
        <v>1000000</v>
      </c>
      <c r="H459" s="21">
        <f>VLOOKUP(F459&amp;"|"&amp;G459,$O$3:$P$17,2,FALSE)</f>
        <v>5550</v>
      </c>
      <c r="I459" s="21">
        <f>VLOOKUP(F459&amp;"|"&amp;G459,$Q$3:$R$17,2,FALSE)</f>
        <v>44450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21">
        <v>5</v>
      </c>
      <c r="B460" s="21">
        <v>1000000</v>
      </c>
      <c r="C460" s="21">
        <f>VLOOKUP(A460&amp;"|"&amp;B460,$O$3:$P$16,2,FALSE)</f>
        <v>5550</v>
      </c>
      <c r="D460" s="21">
        <f>VLOOKUP(A460&amp;"|"&amp;B460,$Q$3:$R$16,2,FALSE)</f>
        <v>44450</v>
      </c>
      <c r="E460" s="4"/>
      <c r="F460" s="21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1"/>
      <c r="B461" s="21"/>
      <c r="C461" s="21"/>
      <c r="D461" s="21"/>
      <c r="E461" s="4"/>
      <c r="F461" s="21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1"/>
      <c r="B462" s="21"/>
      <c r="C462" s="21"/>
      <c r="D462" s="21"/>
      <c r="E462" s="4"/>
      <c r="F462" s="21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1"/>
      <c r="B463" s="21"/>
      <c r="C463" s="21"/>
      <c r="D463" s="21"/>
      <c r="E463" s="4"/>
      <c r="F463" s="21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59" t="s">
        <v>49</v>
      </c>
      <c r="B464" s="53"/>
      <c r="C464" s="54"/>
      <c r="D464" s="21">
        <f>SUM(D459:D463)</f>
        <v>69000</v>
      </c>
      <c r="E464" s="4"/>
      <c r="F464" s="81" t="s">
        <v>49</v>
      </c>
      <c r="G464" s="82"/>
      <c r="H464" s="83"/>
      <c r="I464" s="21">
        <f>SUM(I459:I463)</f>
        <v>44450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thickTop="1" thickBot="1">
      <c r="A465" s="2"/>
      <c r="B465" s="2"/>
      <c r="C465" s="2"/>
      <c r="D465" s="2"/>
      <c r="E465" s="4"/>
      <c r="F465" s="2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2" t="s">
        <v>0</v>
      </c>
      <c r="B466" s="12" t="s">
        <v>157</v>
      </c>
      <c r="C466" s="12" t="s">
        <v>48</v>
      </c>
      <c r="D466" s="9">
        <v>45907</v>
      </c>
      <c r="E466" s="4"/>
      <c r="F466" s="12" t="s">
        <v>0</v>
      </c>
      <c r="G466" s="12" t="s">
        <v>59</v>
      </c>
      <c r="H466" s="12" t="s">
        <v>158</v>
      </c>
      <c r="I466" s="9">
        <v>45907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1" t="s">
        <v>6</v>
      </c>
      <c r="B467" s="21" t="s">
        <v>7</v>
      </c>
      <c r="C467" s="21" t="s">
        <v>8</v>
      </c>
      <c r="D467" s="21" t="s">
        <v>9</v>
      </c>
      <c r="E467" s="4"/>
      <c r="F467" s="21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21">
        <v>16</v>
      </c>
      <c r="B468" s="21">
        <v>1000000</v>
      </c>
      <c r="C468" s="21">
        <f>VLOOKUP(A468&amp;"|"&amp;B468,$O$3:$P$16,2,FALSE)</f>
        <v>750</v>
      </c>
      <c r="D468" s="21">
        <f>VLOOKUP(A468&amp;"|"&amp;B468,$Q$3:$R$16,2,FALSE)</f>
        <v>49250</v>
      </c>
      <c r="E468" s="4"/>
      <c r="F468" s="21">
        <v>16</v>
      </c>
      <c r="G468" s="21">
        <v>1000000</v>
      </c>
      <c r="H468" s="21">
        <f>VLOOKUP(F468&amp;"|"&amp;G468,$O$3:$P$16,2,FALSE)</f>
        <v>750</v>
      </c>
      <c r="I468" s="21">
        <f>VLOOKUP(F468&amp;"|"&amp;G468,$Q$3:$R$16,2,FALSE)</f>
        <v>49250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21">
        <v>20</v>
      </c>
      <c r="B469" s="21">
        <v>1000000</v>
      </c>
      <c r="C469" s="21">
        <f>VLOOKUP(A469&amp;"|"&amp;B469,$O$3:$P$17,2,FALSE)</f>
        <v>0</v>
      </c>
      <c r="D469" s="21">
        <f>VLOOKUP(A469&amp;"|"&amp;B469,$Q$3:$R$17,2,FALSE)</f>
        <v>50000</v>
      </c>
      <c r="E469" s="4"/>
      <c r="F469" s="21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1"/>
      <c r="B470" s="21"/>
      <c r="C470" s="21"/>
      <c r="D470" s="21"/>
      <c r="E470" s="4"/>
      <c r="F470" s="21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1"/>
      <c r="B471" s="21"/>
      <c r="C471" s="21"/>
      <c r="D471" s="21"/>
      <c r="E471" s="4"/>
      <c r="F471" s="21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1"/>
      <c r="B472" s="21"/>
      <c r="C472" s="21"/>
      <c r="D472" s="21"/>
      <c r="E472" s="4"/>
      <c r="F472" s="21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59" t="s">
        <v>49</v>
      </c>
      <c r="B473" s="53"/>
      <c r="C473" s="54"/>
      <c r="D473" s="21">
        <f>SUM(D468:D472)</f>
        <v>99250</v>
      </c>
      <c r="E473" s="4"/>
      <c r="F473" s="81" t="s">
        <v>49</v>
      </c>
      <c r="G473" s="82"/>
      <c r="H473" s="83"/>
      <c r="I473" s="21">
        <f>SUM(I468:I472)</f>
        <v>49250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thickTop="1" thickBot="1">
      <c r="A474" s="2"/>
      <c r="B474" s="2"/>
      <c r="C474" s="2"/>
      <c r="D474" s="2"/>
      <c r="E474" s="4"/>
      <c r="F474" s="2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2" t="s">
        <v>0</v>
      </c>
      <c r="B475" s="12" t="s">
        <v>66</v>
      </c>
      <c r="C475" s="12" t="s">
        <v>43</v>
      </c>
      <c r="D475" s="9">
        <v>45907</v>
      </c>
      <c r="E475" s="4"/>
      <c r="F475" s="12" t="s">
        <v>0</v>
      </c>
      <c r="G475" s="12" t="s">
        <v>159</v>
      </c>
      <c r="H475" s="12" t="s">
        <v>41</v>
      </c>
      <c r="I475" s="9">
        <v>45907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1" t="s">
        <v>6</v>
      </c>
      <c r="B476" s="21" t="s">
        <v>7</v>
      </c>
      <c r="C476" s="21" t="s">
        <v>8</v>
      </c>
      <c r="D476" s="21" t="s">
        <v>9</v>
      </c>
      <c r="E476" s="4"/>
      <c r="F476" s="21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21">
        <v>16</v>
      </c>
      <c r="B477" s="21">
        <v>500000</v>
      </c>
      <c r="C477" s="21">
        <f>VLOOKUP(A477&amp;"|"&amp;B477,$O$3:$P$16,2,FALSE)</f>
        <v>450</v>
      </c>
      <c r="D477" s="21">
        <f>VLOOKUP(A477&amp;"|"&amp;B477,$Q$3:$R$16,2,FALSE)</f>
        <v>24550</v>
      </c>
      <c r="E477" s="4"/>
      <c r="F477" s="21">
        <v>20.100000000000001</v>
      </c>
      <c r="G477" s="21">
        <v>500000</v>
      </c>
      <c r="H477" s="21">
        <f>VLOOKUP(F477&amp;"|"&amp;G477,$O$3:$P$16,2,FALSE)</f>
        <v>0</v>
      </c>
      <c r="I477" s="21">
        <f>VLOOKUP(F477&amp;"|"&amp;G477,$Q$3:$R$16,2,FALSE)</f>
        <v>25000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1"/>
      <c r="B478" s="21"/>
      <c r="C478" s="21"/>
      <c r="D478" s="21"/>
      <c r="E478" s="4"/>
      <c r="F478" s="21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1"/>
      <c r="B479" s="21"/>
      <c r="C479" s="21"/>
      <c r="D479" s="21"/>
      <c r="E479" s="4"/>
      <c r="F479" s="21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1"/>
      <c r="B480" s="21"/>
      <c r="C480" s="21"/>
      <c r="D480" s="21"/>
      <c r="E480" s="4"/>
      <c r="F480" s="21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1"/>
      <c r="B481" s="21"/>
      <c r="C481" s="21"/>
      <c r="D481" s="21"/>
      <c r="E481" s="4"/>
      <c r="F481" s="21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59" t="s">
        <v>49</v>
      </c>
      <c r="B482" s="53"/>
      <c r="C482" s="54"/>
      <c r="D482" s="21">
        <f>SUM(D477:D481)</f>
        <v>24550</v>
      </c>
      <c r="E482" s="4"/>
      <c r="F482" s="81" t="s">
        <v>49</v>
      </c>
      <c r="G482" s="82"/>
      <c r="H482" s="83"/>
      <c r="I482" s="21">
        <f>SUM(I477:I481)</f>
        <v>25000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2"/>
      <c r="B483" s="6"/>
      <c r="C483" s="2"/>
      <c r="D483" s="10"/>
      <c r="E483" s="4"/>
      <c r="F483" s="2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2" t="s">
        <v>0</v>
      </c>
      <c r="B484" s="12" t="s">
        <v>160</v>
      </c>
      <c r="C484" s="12" t="s">
        <v>43</v>
      </c>
      <c r="D484" s="9">
        <v>45907</v>
      </c>
      <c r="E484" s="4"/>
      <c r="F484" s="12" t="s">
        <v>0</v>
      </c>
      <c r="G484" s="12" t="s">
        <v>44</v>
      </c>
      <c r="H484" s="12" t="s">
        <v>43</v>
      </c>
      <c r="I484" s="9">
        <v>45907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1" t="s">
        <v>6</v>
      </c>
      <c r="B485" s="21" t="s">
        <v>7</v>
      </c>
      <c r="C485" s="21" t="s">
        <v>8</v>
      </c>
      <c r="D485" s="21" t="s">
        <v>9</v>
      </c>
      <c r="E485" s="4"/>
      <c r="F485" s="21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21">
        <v>13</v>
      </c>
      <c r="B486" s="21">
        <v>500000</v>
      </c>
      <c r="C486" s="21">
        <f>VLOOKUP(A486&amp;"|"&amp;B486,$O$3:$P$16,2,FALSE)</f>
        <v>1150</v>
      </c>
      <c r="D486" s="21">
        <f>VLOOKUP(A486&amp;"|"&amp;B486,$Q$3:$R$16,2,FALSE)</f>
        <v>23850</v>
      </c>
      <c r="E486" s="4"/>
      <c r="F486" s="21">
        <v>5</v>
      </c>
      <c r="G486" s="21">
        <v>500000</v>
      </c>
      <c r="H486" s="21">
        <f>VLOOKUP(F486&amp;"|"&amp;G486,$O$3:$P$16,2,FALSE)</f>
        <v>3000</v>
      </c>
      <c r="I486" s="21">
        <f>VLOOKUP(F486&amp;"|"&amp;G486,$Q$3:$R$16,2,FALSE)</f>
        <v>22000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21">
        <v>13</v>
      </c>
      <c r="B487" s="21">
        <v>500000</v>
      </c>
      <c r="C487" s="21">
        <f>VLOOKUP(A487&amp;"|"&amp;B487,$O$3:$P$16,2,FALSE)</f>
        <v>1150</v>
      </c>
      <c r="D487" s="21">
        <f>VLOOKUP(A487&amp;"|"&amp;B487,$Q$3:$R$16,2,FALSE)</f>
        <v>23850</v>
      </c>
      <c r="E487" s="4"/>
      <c r="F487" s="21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1"/>
      <c r="B488" s="21"/>
      <c r="C488" s="21"/>
      <c r="D488" s="21"/>
      <c r="E488" s="4"/>
      <c r="F488" s="21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1"/>
      <c r="B489" s="21"/>
      <c r="C489" s="21"/>
      <c r="D489" s="21"/>
      <c r="E489" s="4"/>
      <c r="F489" s="21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1"/>
      <c r="B490" s="21"/>
      <c r="C490" s="21"/>
      <c r="D490" s="21"/>
      <c r="E490" s="4"/>
      <c r="F490" s="21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59" t="s">
        <v>49</v>
      </c>
      <c r="B491" s="53"/>
      <c r="C491" s="54"/>
      <c r="D491" s="21">
        <f>SUM(D486:D490)</f>
        <v>47700</v>
      </c>
      <c r="E491" s="4"/>
      <c r="F491" s="81" t="s">
        <v>49</v>
      </c>
      <c r="G491" s="82"/>
      <c r="H491" s="83"/>
      <c r="I491" s="21">
        <f>SUM(I486:I490)</f>
        <v>22000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thickTop="1" thickBot="1">
      <c r="A492" s="2"/>
      <c r="B492" s="2"/>
      <c r="C492" s="2"/>
      <c r="D492" s="2"/>
      <c r="E492" s="4"/>
      <c r="F492" s="2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2" t="s">
        <v>0</v>
      </c>
      <c r="B493" s="12" t="s">
        <v>161</v>
      </c>
      <c r="C493" s="12" t="s">
        <v>43</v>
      </c>
      <c r="D493" s="9">
        <v>45907</v>
      </c>
      <c r="E493" s="4"/>
      <c r="F493" s="12" t="s">
        <v>0</v>
      </c>
      <c r="G493" s="12" t="s">
        <v>162</v>
      </c>
      <c r="H493" s="12" t="s">
        <v>163</v>
      </c>
      <c r="I493" s="9">
        <v>45907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1" t="s">
        <v>6</v>
      </c>
      <c r="B494" s="21" t="s">
        <v>7</v>
      </c>
      <c r="C494" s="21" t="s">
        <v>8</v>
      </c>
      <c r="D494" s="21" t="s">
        <v>9</v>
      </c>
      <c r="E494" s="4"/>
      <c r="F494" s="21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21">
        <v>10</v>
      </c>
      <c r="B495" s="21">
        <v>500000</v>
      </c>
      <c r="C495" s="21">
        <f>VLOOKUP(A495&amp;"|"&amp;B495,$O$3:$P$16,2,FALSE)</f>
        <v>1800</v>
      </c>
      <c r="D495" s="21">
        <f>VLOOKUP(A495&amp;"|"&amp;B495,$Q$3:$R$16,2,FALSE)</f>
        <v>23200</v>
      </c>
      <c r="E495" s="4"/>
      <c r="F495" s="21">
        <v>10</v>
      </c>
      <c r="G495" s="21">
        <v>500000</v>
      </c>
      <c r="H495" s="21">
        <f>VLOOKUP(F495&amp;"|"&amp;G495,$O$3:$P$16,2,FALSE)</f>
        <v>1800</v>
      </c>
      <c r="I495" s="21">
        <f>VLOOKUP(F495&amp;"|"&amp;G495,$Q$3:$R$16,2,FALSE)</f>
        <v>23200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1"/>
      <c r="B496" s="21"/>
      <c r="C496" s="21"/>
      <c r="D496" s="21"/>
      <c r="E496" s="4"/>
      <c r="F496" s="21">
        <v>10</v>
      </c>
      <c r="G496" s="21">
        <v>500000</v>
      </c>
      <c r="H496" s="21">
        <f>VLOOKUP(F496&amp;"|"&amp;G496,$O$3:$P$16,2,FALSE)</f>
        <v>1800</v>
      </c>
      <c r="I496" s="21">
        <f>VLOOKUP(F496&amp;"|"&amp;G496,$Q$3:$R$16,2,FALSE)</f>
        <v>23200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1"/>
      <c r="B497" s="21"/>
      <c r="C497" s="21"/>
      <c r="D497" s="21"/>
      <c r="E497" s="4"/>
      <c r="F497" s="21">
        <v>5</v>
      </c>
      <c r="G497" s="21">
        <v>500000</v>
      </c>
      <c r="H497" s="21">
        <f>VLOOKUP(F497&amp;"|"&amp;G497,$O$3:$P$17,2,FALSE)</f>
        <v>3000</v>
      </c>
      <c r="I497" s="21">
        <f>VLOOKUP(F497&amp;"|"&amp;G497,$Q$3:$R$17,2,FALSE)</f>
        <v>22000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1"/>
      <c r="B498" s="21"/>
      <c r="C498" s="21"/>
      <c r="D498" s="21"/>
      <c r="E498" s="4"/>
      <c r="F498" s="21">
        <v>20</v>
      </c>
      <c r="G498" s="21">
        <v>1000000</v>
      </c>
      <c r="H498" s="21">
        <f>VLOOKUP(F498&amp;"|"&amp;G498,$O$3:$P$17,2,FALSE)</f>
        <v>0</v>
      </c>
      <c r="I498" s="21">
        <f>VLOOKUP(F498&amp;"|"&amp;G498,$Q$3:$R$17,2,FALSE)</f>
        <v>50000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1"/>
      <c r="B499" s="21"/>
      <c r="C499" s="21"/>
      <c r="D499" s="21"/>
      <c r="E499" s="4"/>
      <c r="F499" s="21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59" t="s">
        <v>49</v>
      </c>
      <c r="B500" s="53"/>
      <c r="C500" s="54"/>
      <c r="D500" s="21">
        <f>SUM(D495:D499)</f>
        <v>23200</v>
      </c>
      <c r="E500" s="4"/>
      <c r="F500" s="81" t="s">
        <v>49</v>
      </c>
      <c r="G500" s="82"/>
      <c r="H500" s="83"/>
      <c r="I500" s="21">
        <f>SUM(I495:I499)</f>
        <v>118400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2" t="s">
        <v>0</v>
      </c>
      <c r="B502" s="12" t="s">
        <v>164</v>
      </c>
      <c r="C502" s="12" t="s">
        <v>165</v>
      </c>
      <c r="D502" s="9">
        <v>45907</v>
      </c>
      <c r="E502" s="4"/>
      <c r="F502" s="12" t="s">
        <v>3</v>
      </c>
      <c r="G502" s="12" t="s">
        <v>166</v>
      </c>
      <c r="H502" s="12" t="s">
        <v>167</v>
      </c>
      <c r="I502" s="9">
        <v>45907</v>
      </c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1" t="s">
        <v>6</v>
      </c>
      <c r="B503" s="21" t="s">
        <v>7</v>
      </c>
      <c r="C503" s="21" t="s">
        <v>8</v>
      </c>
      <c r="D503" s="21" t="s">
        <v>9</v>
      </c>
      <c r="E503" s="4"/>
      <c r="F503" s="21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21">
        <v>5</v>
      </c>
      <c r="B504" s="21">
        <v>2000000</v>
      </c>
      <c r="C504" s="21">
        <f>VLOOKUP(A504&amp;"|"&amp;B504,$O$3:$P$16,2,FALSE)</f>
        <v>11000</v>
      </c>
      <c r="D504" s="21">
        <f>VLOOKUP(A504&amp;"|"&amp;B504,$Q$3:$R$16,2,FALSE)</f>
        <v>89000</v>
      </c>
      <c r="E504" s="4"/>
      <c r="F504" s="21">
        <v>5</v>
      </c>
      <c r="G504" s="21">
        <v>500000</v>
      </c>
      <c r="H504" s="21">
        <f>VLOOKUP(F504&amp;"|"&amp;G504,$O$3:$P$17,2,FALSE)</f>
        <v>3000</v>
      </c>
      <c r="I504" s="21">
        <f>VLOOKUP(F504&amp;"|"&amp;G504,$Q$3:$R$17,2,FALSE)</f>
        <v>22000</v>
      </c>
    </row>
    <row r="505" spans="1:26" ht="20.25" thickTop="1" thickBot="1">
      <c r="A505" s="21"/>
      <c r="B505" s="21"/>
      <c r="C505" s="21"/>
      <c r="D505" s="21"/>
      <c r="E505" s="4"/>
      <c r="F505" s="21"/>
      <c r="G505" s="21"/>
      <c r="H505" s="21"/>
      <c r="I505" s="21"/>
    </row>
    <row r="506" spans="1:26" ht="20.25" thickTop="1" thickBot="1">
      <c r="A506" s="21"/>
      <c r="B506" s="21"/>
      <c r="C506" s="21"/>
      <c r="D506" s="21"/>
      <c r="E506" s="4"/>
      <c r="F506" s="21"/>
      <c r="G506" s="21"/>
      <c r="H506" s="21"/>
      <c r="I506" s="21"/>
    </row>
    <row r="507" spans="1:26" ht="20.25" thickTop="1" thickBot="1">
      <c r="A507" s="21"/>
      <c r="B507" s="21"/>
      <c r="C507" s="21"/>
      <c r="D507" s="21"/>
      <c r="E507" s="4"/>
      <c r="F507" s="21"/>
      <c r="G507" s="21"/>
      <c r="H507" s="21"/>
      <c r="I507" s="21"/>
    </row>
    <row r="508" spans="1:26" ht="20.25" thickTop="1" thickBot="1">
      <c r="A508" s="21"/>
      <c r="B508" s="21"/>
      <c r="C508" s="21"/>
      <c r="D508" s="21"/>
      <c r="E508" s="4"/>
      <c r="F508" s="21"/>
      <c r="G508" s="21"/>
      <c r="H508" s="21"/>
      <c r="I508" s="21"/>
    </row>
    <row r="509" spans="1:26" ht="20.25" thickTop="1" thickBot="1">
      <c r="A509" s="59" t="s">
        <v>49</v>
      </c>
      <c r="B509" s="53"/>
      <c r="C509" s="54"/>
      <c r="D509" s="21">
        <f>SUM(D504:D508)</f>
        <v>89000</v>
      </c>
      <c r="E509" s="4"/>
      <c r="F509" s="59" t="s">
        <v>49</v>
      </c>
      <c r="G509" s="53"/>
      <c r="H509" s="54"/>
      <c r="I509" s="21">
        <f>SUM(I504:I508)</f>
        <v>22000</v>
      </c>
    </row>
    <row r="510" spans="1:26" ht="16.5" thickTop="1" thickBot="1"/>
    <row r="511" spans="1:26" ht="20.25" thickTop="1" thickBot="1">
      <c r="A511" s="12" t="s">
        <v>0</v>
      </c>
      <c r="B511" s="12" t="s">
        <v>146</v>
      </c>
      <c r="C511" s="12" t="s">
        <v>38</v>
      </c>
      <c r="D511" s="9">
        <v>45907</v>
      </c>
      <c r="E511" s="4"/>
      <c r="F511" s="12" t="s">
        <v>3</v>
      </c>
      <c r="G511" s="12" t="s">
        <v>57</v>
      </c>
      <c r="H511" s="12" t="s">
        <v>168</v>
      </c>
      <c r="I511" s="9">
        <v>45907</v>
      </c>
    </row>
    <row r="512" spans="1:26" ht="20.25" thickTop="1" thickBot="1">
      <c r="A512" s="21" t="s">
        <v>6</v>
      </c>
      <c r="B512" s="21" t="s">
        <v>7</v>
      </c>
      <c r="C512" s="21" t="s">
        <v>8</v>
      </c>
      <c r="D512" s="21" t="s">
        <v>9</v>
      </c>
      <c r="E512" s="4"/>
      <c r="F512" s="21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21">
        <v>5</v>
      </c>
      <c r="B513" s="21">
        <v>500000</v>
      </c>
      <c r="C513" s="21">
        <f>VLOOKUP(A513&amp;"|"&amp;B513,$O$3:$P$17,2,FALSE)</f>
        <v>3000</v>
      </c>
      <c r="D513" s="21">
        <f>VLOOKUP(A513&amp;"|"&amp;B513,$Q$3:$R$17,2,FALSE)</f>
        <v>22000</v>
      </c>
      <c r="E513" s="4"/>
      <c r="F513" s="21">
        <v>5</v>
      </c>
      <c r="G513" s="21">
        <v>500000</v>
      </c>
      <c r="H513" s="21">
        <f>VLOOKUP(F513&amp;"|"&amp;G513,$O$3:$P$17,2,FALSE)</f>
        <v>3000</v>
      </c>
      <c r="I513" s="21">
        <f>VLOOKUP(F513&amp;"|"&amp;G513,$Q$3:$R$17,2,FALSE)</f>
        <v>22000</v>
      </c>
    </row>
    <row r="514" spans="1:9" ht="20.25" thickTop="1" thickBot="1">
      <c r="A514" s="21"/>
      <c r="B514" s="21"/>
      <c r="C514" s="21"/>
      <c r="D514" s="21"/>
      <c r="E514" s="4"/>
      <c r="F514" s="21"/>
      <c r="G514" s="21"/>
      <c r="H514" s="21"/>
      <c r="I514" s="21"/>
    </row>
    <row r="515" spans="1:9" ht="20.25" thickTop="1" thickBot="1">
      <c r="A515" s="21"/>
      <c r="B515" s="21"/>
      <c r="C515" s="21"/>
      <c r="D515" s="21"/>
      <c r="E515" s="4"/>
      <c r="F515" s="21"/>
      <c r="G515" s="21"/>
      <c r="H515" s="21"/>
      <c r="I515" s="21"/>
    </row>
    <row r="516" spans="1:9" ht="20.25" thickTop="1" thickBot="1">
      <c r="A516" s="21"/>
      <c r="B516" s="21"/>
      <c r="C516" s="21"/>
      <c r="D516" s="21"/>
      <c r="E516" s="4"/>
      <c r="F516" s="21"/>
      <c r="G516" s="21"/>
      <c r="H516" s="21"/>
      <c r="I516" s="21"/>
    </row>
    <row r="517" spans="1:9" ht="20.25" thickTop="1" thickBot="1">
      <c r="A517" s="21"/>
      <c r="B517" s="21"/>
      <c r="C517" s="21"/>
      <c r="D517" s="21"/>
      <c r="E517" s="4"/>
      <c r="F517" s="21"/>
      <c r="G517" s="21"/>
      <c r="H517" s="21"/>
      <c r="I517" s="21"/>
    </row>
    <row r="518" spans="1:9" ht="20.25" thickTop="1" thickBot="1">
      <c r="A518" s="59" t="s">
        <v>49</v>
      </c>
      <c r="B518" s="53"/>
      <c r="C518" s="54"/>
      <c r="D518" s="21">
        <f>SUM(D513:D517)</f>
        <v>22000</v>
      </c>
      <c r="E518" s="4"/>
      <c r="F518" s="81" t="s">
        <v>25</v>
      </c>
      <c r="G518" s="82"/>
      <c r="H518" s="83"/>
      <c r="I518" s="21">
        <f>SUM(I513:I517)</f>
        <v>22000</v>
      </c>
    </row>
    <row r="519" spans="1:9" ht="16.5" thickTop="1" thickBot="1"/>
    <row r="520" spans="1:9" ht="20.25" thickTop="1" thickBot="1">
      <c r="A520" s="12" t="s">
        <v>3</v>
      </c>
      <c r="B520" s="12" t="s">
        <v>169</v>
      </c>
      <c r="C520" s="12" t="s">
        <v>170</v>
      </c>
      <c r="D520" s="9">
        <v>45907</v>
      </c>
      <c r="F520" s="12" t="s">
        <v>3</v>
      </c>
      <c r="G520" s="12" t="s">
        <v>171</v>
      </c>
      <c r="H520" s="12" t="s">
        <v>172</v>
      </c>
      <c r="I520" s="9">
        <v>45907</v>
      </c>
    </row>
    <row r="521" spans="1:9" ht="20.25" thickTop="1" thickBot="1">
      <c r="A521" s="21" t="s">
        <v>6</v>
      </c>
      <c r="B521" s="21" t="s">
        <v>7</v>
      </c>
      <c r="C521" s="21" t="s">
        <v>8</v>
      </c>
      <c r="D521" s="21" t="s">
        <v>9</v>
      </c>
      <c r="F521" s="21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21">
        <v>16</v>
      </c>
      <c r="B522" s="21">
        <v>500000</v>
      </c>
      <c r="C522" s="21">
        <f>VLOOKUP(A522&amp;"|"&amp;B522,$O$3:$P$17,2,FALSE)</f>
        <v>450</v>
      </c>
      <c r="D522" s="21">
        <f>VLOOKUP(A522&amp;"|"&amp;B522,$Q$3:$R$17,2,FALSE)</f>
        <v>24550</v>
      </c>
      <c r="F522" s="21">
        <v>5</v>
      </c>
      <c r="G522" s="21">
        <v>1000000</v>
      </c>
      <c r="H522" s="21">
        <f>VLOOKUP(F522&amp;"|"&amp;G522,$O$3:$P$17,2,FALSE)</f>
        <v>5550</v>
      </c>
      <c r="I522" s="21">
        <f>VLOOKUP(F522&amp;"|"&amp;G522,$Q$3:$R$17,2,FALSE)</f>
        <v>44450</v>
      </c>
    </row>
    <row r="523" spans="1:9" ht="20.25" thickTop="1" thickBot="1">
      <c r="A523" s="21"/>
      <c r="B523" s="21"/>
      <c r="C523" s="21"/>
      <c r="D523" s="21"/>
      <c r="F523" s="21">
        <v>5</v>
      </c>
      <c r="G523" s="21">
        <v>1000000</v>
      </c>
      <c r="H523" s="21">
        <f>VLOOKUP(F523&amp;"|"&amp;G523,$O$3:$P$17,2,FALSE)</f>
        <v>5550</v>
      </c>
      <c r="I523" s="21">
        <f>VLOOKUP(F523&amp;"|"&amp;G523,$Q$3:$R$17,2,FALSE)</f>
        <v>44450</v>
      </c>
    </row>
    <row r="524" spans="1:9" ht="20.25" thickTop="1" thickBot="1">
      <c r="A524" s="21"/>
      <c r="B524" s="21"/>
      <c r="C524" s="21"/>
      <c r="D524" s="21"/>
      <c r="F524" s="21"/>
      <c r="G524" s="21"/>
      <c r="H524" s="21"/>
      <c r="I524" s="21"/>
    </row>
    <row r="525" spans="1:9" ht="20.25" thickTop="1" thickBot="1">
      <c r="A525" s="21"/>
      <c r="B525" s="21"/>
      <c r="C525" s="21"/>
      <c r="D525" s="21"/>
      <c r="F525" s="21"/>
      <c r="G525" s="21"/>
      <c r="H525" s="21"/>
      <c r="I525" s="21"/>
    </row>
    <row r="526" spans="1:9" ht="20.25" thickTop="1" thickBot="1">
      <c r="A526" s="21"/>
      <c r="B526" s="21"/>
      <c r="C526" s="21"/>
      <c r="D526" s="21"/>
      <c r="F526" s="21"/>
      <c r="G526" s="21"/>
      <c r="H526" s="21"/>
      <c r="I526" s="21"/>
    </row>
    <row r="527" spans="1:9" ht="20.25" thickTop="1" thickBot="1">
      <c r="A527" s="59" t="s">
        <v>49</v>
      </c>
      <c r="B527" s="53"/>
      <c r="C527" s="54"/>
      <c r="D527" s="21">
        <f>SUM(D522:D526)</f>
        <v>24550</v>
      </c>
      <c r="F527" s="81" t="s">
        <v>25</v>
      </c>
      <c r="G527" s="82"/>
      <c r="H527" s="83"/>
      <c r="I527" s="21">
        <f>SUM(I522:I526)</f>
        <v>88900</v>
      </c>
    </row>
    <row r="528" spans="1:9" ht="16.5" thickTop="1" thickBot="1"/>
    <row r="529" spans="1:4" ht="20.25" thickTop="1" thickBot="1">
      <c r="A529" s="12" t="s">
        <v>3</v>
      </c>
      <c r="B529" s="12" t="s">
        <v>61</v>
      </c>
      <c r="C529" s="12" t="s">
        <v>173</v>
      </c>
      <c r="D529" s="9">
        <v>45907</v>
      </c>
    </row>
    <row r="530" spans="1:4" ht="20.25" thickTop="1" thickBot="1">
      <c r="A530" s="21" t="s">
        <v>6</v>
      </c>
      <c r="B530" s="21" t="s">
        <v>7</v>
      </c>
      <c r="C530" s="21" t="s">
        <v>8</v>
      </c>
      <c r="D530" s="21" t="s">
        <v>9</v>
      </c>
    </row>
    <row r="531" spans="1:4" ht="20.25" thickTop="1" thickBot="1">
      <c r="A531" s="21">
        <v>5</v>
      </c>
      <c r="B531" s="21">
        <v>2000000</v>
      </c>
      <c r="C531" s="21">
        <f>VLOOKUP(A531&amp;"|"&amp;B531,$O$3:$P$17,2,FALSE)</f>
        <v>11000</v>
      </c>
      <c r="D531" s="21">
        <f>VLOOKUP(A531&amp;"|"&amp;B531,$Q$3:$R$17,2,FALSE)</f>
        <v>89000</v>
      </c>
    </row>
    <row r="532" spans="1:4" ht="20.25" thickTop="1" thickBot="1">
      <c r="A532" s="21"/>
      <c r="B532" s="21"/>
      <c r="C532" s="21"/>
      <c r="D532" s="21"/>
    </row>
    <row r="533" spans="1:4" ht="20.25" thickTop="1" thickBot="1">
      <c r="A533" s="21"/>
      <c r="B533" s="21"/>
      <c r="C533" s="21"/>
      <c r="D533" s="21"/>
    </row>
    <row r="534" spans="1:4" ht="20.25" thickTop="1" thickBot="1">
      <c r="A534" s="21"/>
      <c r="B534" s="21"/>
      <c r="C534" s="21"/>
      <c r="D534" s="21"/>
    </row>
    <row r="535" spans="1:4" ht="20.25" thickTop="1" thickBot="1">
      <c r="A535" s="21"/>
      <c r="B535" s="21"/>
      <c r="C535" s="21"/>
      <c r="D535" s="21"/>
    </row>
    <row r="536" spans="1:4" ht="20.25" thickTop="1" thickBot="1">
      <c r="A536" s="59" t="s">
        <v>49</v>
      </c>
      <c r="B536" s="53"/>
      <c r="C536" s="54"/>
      <c r="D536" s="21">
        <f>SUM(D531:D535)</f>
        <v>89000</v>
      </c>
    </row>
    <row r="537" spans="1:4" ht="15.75" thickTop="1"/>
  </sheetData>
  <mergeCells count="64">
    <mergeCell ref="A8:C8"/>
    <mergeCell ref="F8:H8"/>
    <mergeCell ref="A17:C17"/>
    <mergeCell ref="F17:H17"/>
    <mergeCell ref="A26:C26"/>
    <mergeCell ref="F26:H26"/>
    <mergeCell ref="F103:H103"/>
    <mergeCell ref="A35:C35"/>
    <mergeCell ref="F35:H35"/>
    <mergeCell ref="A44:C44"/>
    <mergeCell ref="F44:H44"/>
    <mergeCell ref="A53:C53"/>
    <mergeCell ref="F53:H53"/>
    <mergeCell ref="A62:C62"/>
    <mergeCell ref="F62:H62"/>
    <mergeCell ref="F71:H71"/>
    <mergeCell ref="F85:H85"/>
    <mergeCell ref="F94:H94"/>
    <mergeCell ref="F211:H211"/>
    <mergeCell ref="F112:H112"/>
    <mergeCell ref="F121:H121"/>
    <mergeCell ref="F130:H130"/>
    <mergeCell ref="F139:H139"/>
    <mergeCell ref="F148:H148"/>
    <mergeCell ref="F157:H157"/>
    <mergeCell ref="F166:H166"/>
    <mergeCell ref="F175:H175"/>
    <mergeCell ref="F184:H184"/>
    <mergeCell ref="F193:H193"/>
    <mergeCell ref="F202:H202"/>
    <mergeCell ref="F320:H320"/>
    <mergeCell ref="F220:H220"/>
    <mergeCell ref="F229:H229"/>
    <mergeCell ref="F238:H238"/>
    <mergeCell ref="F247:H247"/>
    <mergeCell ref="F256:H256"/>
    <mergeCell ref="F265:H265"/>
    <mergeCell ref="F274:H274"/>
    <mergeCell ref="F284:H284"/>
    <mergeCell ref="F293:H293"/>
    <mergeCell ref="F302:H302"/>
    <mergeCell ref="F311:H311"/>
    <mergeCell ref="F428:H428"/>
    <mergeCell ref="F329:H329"/>
    <mergeCell ref="F338:H338"/>
    <mergeCell ref="F347:H347"/>
    <mergeCell ref="F356:H356"/>
    <mergeCell ref="F365:H365"/>
    <mergeCell ref="F374:H374"/>
    <mergeCell ref="F383:H383"/>
    <mergeCell ref="F392:H392"/>
    <mergeCell ref="F401:H401"/>
    <mergeCell ref="F410:H410"/>
    <mergeCell ref="F419:H419"/>
    <mergeCell ref="F491:H491"/>
    <mergeCell ref="F500:H500"/>
    <mergeCell ref="F518:H518"/>
    <mergeCell ref="F527:H527"/>
    <mergeCell ref="F437:H437"/>
    <mergeCell ref="F446:H446"/>
    <mergeCell ref="F455:H455"/>
    <mergeCell ref="F464:H464"/>
    <mergeCell ref="F473:H473"/>
    <mergeCell ref="F482:H48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E30DB-3C7D-4B30-BF12-C2CFA9EDEC41}">
  <dimension ref="A1:Z537"/>
  <sheetViews>
    <sheetView workbookViewId="0">
      <selection sqref="A1:XFD1048576"/>
    </sheetView>
  </sheetViews>
  <sheetFormatPr defaultRowHeight="15"/>
  <cols>
    <col min="2" max="2" width="21.28515625" customWidth="1"/>
    <col min="3" max="3" width="18.5703125" customWidth="1"/>
    <col min="4" max="4" width="16" customWidth="1"/>
    <col min="5" max="5" width="1.5703125" customWidth="1"/>
    <col min="7" max="7" width="21.28515625" customWidth="1"/>
    <col min="8" max="8" width="16.42578125" customWidth="1"/>
    <col min="9" max="9" width="16.5703125" customWidth="1"/>
    <col min="10" max="10" width="1.5703125" customWidth="1"/>
    <col min="11" max="11" width="8.85546875" hidden="1" customWidth="1"/>
    <col min="12" max="12" width="6.42578125" customWidth="1"/>
    <col min="13" max="13" width="12.28515625" customWidth="1"/>
    <col min="14" max="14" width="11.5703125" customWidth="1"/>
    <col min="15" max="15" width="14.140625" customWidth="1"/>
    <col min="16" max="16" width="11.5703125" bestFit="1" customWidth="1"/>
    <col min="17" max="17" width="10.85546875" customWidth="1"/>
    <col min="18" max="18" width="13.42578125" customWidth="1"/>
    <col min="19" max="19" width="4.85546875" customWidth="1"/>
    <col min="20" max="20" width="9.85546875" customWidth="1"/>
    <col min="21" max="21" width="12.85546875" customWidth="1"/>
    <col min="23" max="24" width="10.42578125" customWidth="1"/>
    <col min="25" max="25" width="12.5703125" customWidth="1"/>
  </cols>
  <sheetData>
    <row r="1" spans="1:26" ht="20.25" thickTop="1" thickBot="1">
      <c r="A1" s="8" t="s">
        <v>0</v>
      </c>
      <c r="B1" s="8" t="s">
        <v>1</v>
      </c>
      <c r="C1" s="8" t="s">
        <v>2</v>
      </c>
      <c r="D1" s="9">
        <v>45872</v>
      </c>
      <c r="E1" s="10"/>
      <c r="F1" s="12" t="s">
        <v>3</v>
      </c>
      <c r="G1" s="12" t="s">
        <v>4</v>
      </c>
      <c r="H1" s="12" t="s">
        <v>5</v>
      </c>
      <c r="I1" s="9">
        <v>45872</v>
      </c>
      <c r="J1" s="13"/>
      <c r="L1" s="1"/>
      <c r="M1" s="1"/>
      <c r="N1" s="14"/>
      <c r="O1" s="15"/>
      <c r="P1" s="16"/>
      <c r="Q1" s="15"/>
      <c r="R1" s="17"/>
      <c r="S1" s="1"/>
      <c r="U1" s="1"/>
      <c r="V1" s="1"/>
      <c r="W1" s="1"/>
      <c r="X1" s="1"/>
      <c r="Y1" s="1"/>
      <c r="Z1" s="1"/>
    </row>
    <row r="2" spans="1:26" ht="45" thickTop="1" thickBot="1">
      <c r="A2" s="8" t="s">
        <v>6</v>
      </c>
      <c r="B2" s="8" t="s">
        <v>7</v>
      </c>
      <c r="C2" s="8" t="s">
        <v>8</v>
      </c>
      <c r="D2" s="8" t="s">
        <v>9</v>
      </c>
      <c r="E2" s="10"/>
      <c r="F2" s="21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8">
        <v>15</v>
      </c>
      <c r="B3" s="8">
        <v>1000000</v>
      </c>
      <c r="C3" s="8">
        <f>VLOOKUP(A3&amp;"|"&amp;B3,$O$3:$P$16,2,FALSE)</f>
        <v>1250</v>
      </c>
      <c r="D3" s="8">
        <f>VLOOKUP(A3&amp;"|"&amp;B3,$Q$3:$R$16,2,FALSE)</f>
        <v>48750</v>
      </c>
      <c r="E3" s="10"/>
      <c r="F3" s="21">
        <v>15</v>
      </c>
      <c r="G3" s="21">
        <v>500000</v>
      </c>
      <c r="H3" s="21" t="e">
        <f>VLOOKUP(F3&amp;"|"&amp;G3,$O$3:$P$19,2,FALSE)</f>
        <v>#N/A</v>
      </c>
      <c r="I3" s="21">
        <f>VLOOKUP(F3&amp;"|"&amp;G3,$Q$3:$R$19,2,FALSE)</f>
        <v>24300</v>
      </c>
      <c r="J3" s="13"/>
      <c r="K3" s="1"/>
      <c r="L3" s="46">
        <v>9</v>
      </c>
      <c r="M3" s="74">
        <v>500000</v>
      </c>
      <c r="N3" s="46">
        <v>42000</v>
      </c>
      <c r="O3" s="46" t="str">
        <f t="shared" ref="O3:O18" si="0">L3&amp;"|"&amp;M3</f>
        <v>9|500000</v>
      </c>
      <c r="P3" s="46">
        <f t="shared" ref="P3:P18" si="1">N3/20</f>
        <v>2100</v>
      </c>
      <c r="Q3" s="46" t="str">
        <f t="shared" ref="Q3:Q18" si="2">L3&amp;"|"&amp;M3</f>
        <v>9|500000</v>
      </c>
      <c r="R3" s="47">
        <f t="shared" ref="R3:R18" si="3">(M3-N3)/20</f>
        <v>22900</v>
      </c>
      <c r="S3" s="1"/>
      <c r="T3" s="49">
        <f>D8</f>
        <v>70350</v>
      </c>
      <c r="U3" s="49" t="str">
        <f>B1</f>
        <v>SOHANJI</v>
      </c>
      <c r="V3" s="49" t="str">
        <f>C1</f>
        <v>ALWN.CO</v>
      </c>
      <c r="W3" s="1"/>
      <c r="X3" s="49">
        <f>I8</f>
        <v>24300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8">
        <v>4</v>
      </c>
      <c r="B4" s="8">
        <v>500000</v>
      </c>
      <c r="C4" s="8">
        <f>VLOOKUP(A4&amp;"|"&amp;B4,$O$3:$P$16,2,FALSE)</f>
        <v>3400</v>
      </c>
      <c r="D4" s="8">
        <f>VLOOKUP(A4&amp;"|"&amp;B4,$Q$3:$R$16,2,FALSE)</f>
        <v>21600</v>
      </c>
      <c r="E4" s="10"/>
      <c r="F4" s="21"/>
      <c r="G4" s="21"/>
      <c r="H4" s="21"/>
      <c r="I4" s="21"/>
      <c r="J4" s="13"/>
      <c r="K4" s="1"/>
      <c r="L4" s="46">
        <v>9</v>
      </c>
      <c r="M4" s="74">
        <v>250000</v>
      </c>
      <c r="N4" s="45">
        <v>21000</v>
      </c>
      <c r="O4" s="46" t="str">
        <f t="shared" si="0"/>
        <v>9|250000</v>
      </c>
      <c r="P4" s="46">
        <f t="shared" si="1"/>
        <v>1050</v>
      </c>
      <c r="Q4" s="46" t="str">
        <f t="shared" si="2"/>
        <v>9|250000</v>
      </c>
      <c r="R4" s="47">
        <f t="shared" si="3"/>
        <v>11450</v>
      </c>
      <c r="S4" s="1"/>
      <c r="T4" s="49">
        <f>D17</f>
        <v>24300</v>
      </c>
      <c r="U4" s="49" t="str">
        <f>B10</f>
        <v>JIVARAMJI</v>
      </c>
      <c r="V4" s="49" t="str">
        <f>C10</f>
        <v>YAMJAL</v>
      </c>
      <c r="W4" s="1"/>
      <c r="X4" s="49">
        <f>I17</f>
        <v>24300</v>
      </c>
      <c r="Y4" s="49" t="str">
        <f>G10</f>
        <v>BHAWARJI</v>
      </c>
      <c r="Z4" s="49" t="str">
        <f>H10</f>
        <v>BAJPLY</v>
      </c>
    </row>
    <row r="5" spans="1:26" ht="20.25" thickTop="1" thickBot="1">
      <c r="A5" s="8"/>
      <c r="B5" s="8"/>
      <c r="C5" s="8"/>
      <c r="D5" s="8"/>
      <c r="E5" s="10"/>
      <c r="F5" s="21"/>
      <c r="G5" s="21"/>
      <c r="H5" s="21"/>
      <c r="I5" s="21"/>
      <c r="J5" s="13"/>
      <c r="K5" s="1"/>
      <c r="L5" s="1">
        <v>4</v>
      </c>
      <c r="M5" s="1">
        <v>2000000</v>
      </c>
      <c r="N5" s="1">
        <v>240000</v>
      </c>
      <c r="O5" s="45" t="str">
        <f t="shared" si="0"/>
        <v>4|2000000</v>
      </c>
      <c r="P5" s="46">
        <f t="shared" si="1"/>
        <v>12000</v>
      </c>
      <c r="Q5" s="45" t="str">
        <f t="shared" si="2"/>
        <v>4|2000000</v>
      </c>
      <c r="R5" s="47">
        <f t="shared" si="3"/>
        <v>88000</v>
      </c>
      <c r="S5" s="1"/>
      <c r="T5" s="49">
        <f>D26</f>
        <v>136750</v>
      </c>
      <c r="U5" s="49" t="str">
        <f>B19</f>
        <v>MANGILALJI</v>
      </c>
      <c r="V5" s="49" t="str">
        <f>C19</f>
        <v>BOLARAM</v>
      </c>
      <c r="W5" s="1"/>
      <c r="X5" s="49">
        <f>I26</f>
        <v>146250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8"/>
      <c r="B6" s="8"/>
      <c r="C6" s="8"/>
      <c r="D6" s="8"/>
      <c r="E6" s="10"/>
      <c r="F6" s="21"/>
      <c r="G6" s="21"/>
      <c r="H6" s="21"/>
      <c r="I6" s="21"/>
      <c r="J6" s="13"/>
      <c r="K6" s="1"/>
      <c r="L6" s="48">
        <v>4</v>
      </c>
      <c r="M6" s="45">
        <v>500000</v>
      </c>
      <c r="N6" s="45">
        <v>68000</v>
      </c>
      <c r="O6" s="45" t="str">
        <f t="shared" si="0"/>
        <v>4|500000</v>
      </c>
      <c r="P6" s="46">
        <f t="shared" si="1"/>
        <v>3400</v>
      </c>
      <c r="Q6" s="45" t="str">
        <f t="shared" si="2"/>
        <v>4|500000</v>
      </c>
      <c r="R6" s="47">
        <f t="shared" si="3"/>
        <v>21600</v>
      </c>
      <c r="S6" s="1"/>
      <c r="T6" s="49">
        <f>D35</f>
        <v>144900</v>
      </c>
      <c r="U6" s="49" t="str">
        <f>B28</f>
        <v>KISHANJI</v>
      </c>
      <c r="V6" s="49" t="str">
        <f>C28</f>
        <v>KAMAN</v>
      </c>
      <c r="W6" s="1"/>
      <c r="X6" s="49">
        <f>I35</f>
        <v>21600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8"/>
      <c r="B7" s="8"/>
      <c r="C7" s="8"/>
      <c r="D7" s="8"/>
      <c r="E7" s="10"/>
      <c r="F7" s="21"/>
      <c r="G7" s="21"/>
      <c r="H7" s="21"/>
      <c r="I7" s="21"/>
      <c r="J7" s="13"/>
      <c r="K7" s="1"/>
      <c r="L7" s="48">
        <v>15.1</v>
      </c>
      <c r="M7" s="45">
        <v>500000</v>
      </c>
      <c r="N7" s="45">
        <v>12500</v>
      </c>
      <c r="O7" s="45" t="str">
        <f t="shared" si="0"/>
        <v>15.1|500000</v>
      </c>
      <c r="P7" s="46">
        <f t="shared" si="1"/>
        <v>625</v>
      </c>
      <c r="Q7" s="46" t="str">
        <f t="shared" si="2"/>
        <v>15.1|500000</v>
      </c>
      <c r="R7" s="47">
        <f t="shared" si="3"/>
        <v>24375</v>
      </c>
      <c r="S7" s="1"/>
      <c r="T7" s="49">
        <f>D44</f>
        <v>23600</v>
      </c>
      <c r="U7" s="49" t="str">
        <f>B37</f>
        <v>BHONARAMJI</v>
      </c>
      <c r="V7" s="49" t="str">
        <f>C37</f>
        <v>G.MAISAMA</v>
      </c>
      <c r="W7" s="1"/>
      <c r="X7" s="49">
        <f>I44</f>
        <v>136750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87" t="s">
        <v>16</v>
      </c>
      <c r="B8" s="88"/>
      <c r="C8" s="89"/>
      <c r="D8" s="8">
        <f>SUM(D3:D7)</f>
        <v>70350</v>
      </c>
      <c r="E8" s="10"/>
      <c r="F8" s="84" t="s">
        <v>16</v>
      </c>
      <c r="G8" s="85"/>
      <c r="H8" s="86"/>
      <c r="I8" s="21">
        <f>SUM(I3:I7)</f>
        <v>24300</v>
      </c>
      <c r="J8" s="13"/>
      <c r="K8" s="1"/>
      <c r="L8" s="48">
        <v>15</v>
      </c>
      <c r="M8" s="45">
        <v>1000000</v>
      </c>
      <c r="N8" s="45">
        <v>25000</v>
      </c>
      <c r="O8" s="45" t="str">
        <f t="shared" si="0"/>
        <v>15|1000000</v>
      </c>
      <c r="P8" s="46">
        <f t="shared" si="1"/>
        <v>1250</v>
      </c>
      <c r="Q8" s="45" t="str">
        <f t="shared" si="2"/>
        <v>15|1000000</v>
      </c>
      <c r="R8" s="47">
        <f t="shared" si="3"/>
        <v>48750</v>
      </c>
      <c r="S8" s="1"/>
      <c r="T8" s="49">
        <f>D53</f>
        <v>24375</v>
      </c>
      <c r="U8" s="49" t="str">
        <f>B46</f>
        <v>RAMESHJI</v>
      </c>
      <c r="V8" s="49" t="str">
        <f>C46</f>
        <v>HITECH</v>
      </c>
      <c r="W8" s="1"/>
      <c r="X8" s="49">
        <f>I53</f>
        <v>23700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41"/>
      <c r="B9" s="40"/>
      <c r="C9" s="41"/>
      <c r="D9" s="41"/>
      <c r="E9" s="42"/>
      <c r="F9" s="42"/>
      <c r="G9" s="42"/>
      <c r="H9" s="42"/>
      <c r="I9" s="42"/>
      <c r="J9" s="13"/>
      <c r="K9" s="1"/>
      <c r="L9" s="48">
        <v>15.1</v>
      </c>
      <c r="M9" s="45">
        <v>1000000</v>
      </c>
      <c r="N9" s="45">
        <v>25000</v>
      </c>
      <c r="O9" s="45" t="str">
        <f t="shared" si="0"/>
        <v>15.1|1000000</v>
      </c>
      <c r="P9" s="46">
        <f t="shared" si="1"/>
        <v>1250</v>
      </c>
      <c r="Q9" s="45" t="str">
        <f t="shared" si="2"/>
        <v>15.1|1000000</v>
      </c>
      <c r="R9" s="47">
        <f t="shared" si="3"/>
        <v>48750</v>
      </c>
      <c r="S9" s="1"/>
      <c r="T9" s="49">
        <f>D62</f>
        <v>73675</v>
      </c>
      <c r="U9" s="49" t="str">
        <f>B55</f>
        <v>SOHANJI</v>
      </c>
      <c r="V9" s="49" t="str">
        <f>C55</f>
        <v>KOTLAPUR</v>
      </c>
      <c r="W9" s="1"/>
      <c r="X9" s="49">
        <f>I62</f>
        <v>46525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1" t="s">
        <v>0</v>
      </c>
      <c r="B10" s="21" t="s">
        <v>17</v>
      </c>
      <c r="C10" s="21" t="s">
        <v>18</v>
      </c>
      <c r="D10" s="9">
        <v>45872</v>
      </c>
      <c r="E10" s="10"/>
      <c r="F10" s="21" t="s">
        <v>0</v>
      </c>
      <c r="G10" s="21" t="s">
        <v>19</v>
      </c>
      <c r="H10" s="21" t="s">
        <v>20</v>
      </c>
      <c r="I10" s="9">
        <v>45872</v>
      </c>
      <c r="J10" s="44"/>
      <c r="K10" s="1"/>
      <c r="L10" s="48">
        <v>12</v>
      </c>
      <c r="M10" s="45">
        <v>500000</v>
      </c>
      <c r="N10" s="45">
        <v>26000</v>
      </c>
      <c r="O10" s="45" t="str">
        <f t="shared" si="0"/>
        <v>12|500000</v>
      </c>
      <c r="P10" s="46">
        <f t="shared" si="1"/>
        <v>1300</v>
      </c>
      <c r="Q10" s="45" t="str">
        <f t="shared" si="2"/>
        <v>12|500000</v>
      </c>
      <c r="R10" s="47">
        <f t="shared" si="3"/>
        <v>23700</v>
      </c>
      <c r="S10" s="1"/>
      <c r="T10" s="49">
        <f>D71</f>
        <v>112375</v>
      </c>
      <c r="U10" s="49" t="str">
        <f>B64</f>
        <v>KUNARAMJI</v>
      </c>
      <c r="V10" s="49" t="str">
        <f>C64</f>
        <v>GANDHI NGR</v>
      </c>
      <c r="W10" s="1"/>
      <c r="X10" s="49">
        <f>I71</f>
        <v>45975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1" t="s">
        <v>6</v>
      </c>
      <c r="B11" s="21" t="s">
        <v>7</v>
      </c>
      <c r="C11" s="21" t="s">
        <v>8</v>
      </c>
      <c r="D11" s="21" t="s">
        <v>9</v>
      </c>
      <c r="E11" s="10"/>
      <c r="F11" s="21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48">
        <v>19</v>
      </c>
      <c r="M11" s="45">
        <v>500000</v>
      </c>
      <c r="N11" s="45">
        <v>1500</v>
      </c>
      <c r="O11" s="45" t="str">
        <f t="shared" si="0"/>
        <v>19|500000</v>
      </c>
      <c r="P11" s="46">
        <f t="shared" si="1"/>
        <v>75</v>
      </c>
      <c r="Q11" s="45" t="str">
        <f t="shared" si="2"/>
        <v>19|500000</v>
      </c>
      <c r="R11" s="47">
        <f t="shared" si="3"/>
        <v>24925</v>
      </c>
      <c r="S11" s="1"/>
      <c r="T11" s="49">
        <f>D85</f>
        <v>333175</v>
      </c>
      <c r="U11" s="49" t="str">
        <f>B73</f>
        <v>MATAJI</v>
      </c>
      <c r="V11" s="49" t="str">
        <f>C73</f>
        <v>G.R</v>
      </c>
      <c r="W11" s="1"/>
      <c r="X11" s="49">
        <f>I85</f>
        <v>317250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21">
        <v>15</v>
      </c>
      <c r="B12" s="21">
        <v>500000</v>
      </c>
      <c r="C12" s="21" t="e">
        <f>VLOOKUP(A12&amp;"|"&amp;B12,$O$3:$P$16,2,FALSE)</f>
        <v>#N/A</v>
      </c>
      <c r="D12" s="21">
        <f>VLOOKUP(A12&amp;"|"&amp;B12,$Q$3:$R$16,2,FALSE)</f>
        <v>24300</v>
      </c>
      <c r="E12" s="10"/>
      <c r="F12" s="21">
        <v>15</v>
      </c>
      <c r="G12" s="21">
        <v>500000</v>
      </c>
      <c r="H12" s="21" t="e">
        <f>VLOOKUP(F12&amp;"|"&amp;G12,$O$3:$P$16,2,FALSE)</f>
        <v>#N/A</v>
      </c>
      <c r="I12" s="21">
        <f>VLOOKUP(F12&amp;"|"&amp;G12,$Q$3:$R$16,2,FALSE)</f>
        <v>24300</v>
      </c>
      <c r="J12" s="13"/>
      <c r="K12" s="1"/>
      <c r="L12" s="48">
        <v>19</v>
      </c>
      <c r="M12" s="45">
        <v>1000000</v>
      </c>
      <c r="N12" s="45">
        <v>3000</v>
      </c>
      <c r="O12" s="45" t="str">
        <f t="shared" si="0"/>
        <v>19|1000000</v>
      </c>
      <c r="P12" s="46">
        <f t="shared" si="1"/>
        <v>150</v>
      </c>
      <c r="Q12" s="45" t="str">
        <f t="shared" si="2"/>
        <v>19|1000000</v>
      </c>
      <c r="R12" s="47">
        <f t="shared" si="3"/>
        <v>49850</v>
      </c>
      <c r="S12" s="1"/>
      <c r="T12" s="49">
        <f>D94</f>
        <v>274600</v>
      </c>
      <c r="U12" s="49" t="str">
        <f>B87</f>
        <v>MOHANLALJI</v>
      </c>
      <c r="V12" s="49" t="str">
        <f>C87</f>
        <v>SNT.NAGAR</v>
      </c>
      <c r="W12" s="1"/>
      <c r="X12" s="49">
        <f>I94</f>
        <v>24375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1"/>
      <c r="B13" s="21"/>
      <c r="C13" s="21"/>
      <c r="D13" s="21"/>
      <c r="E13" s="10"/>
      <c r="F13" s="21"/>
      <c r="G13" s="21"/>
      <c r="H13" s="21"/>
      <c r="I13" s="21"/>
      <c r="J13" s="13"/>
      <c r="K13" s="1"/>
      <c r="L13" s="48">
        <v>19.100000000000001</v>
      </c>
      <c r="M13" s="1">
        <v>500000</v>
      </c>
      <c r="N13" s="1">
        <v>1500</v>
      </c>
      <c r="O13" s="45" t="str">
        <f t="shared" si="0"/>
        <v>19.1|500000</v>
      </c>
      <c r="P13" s="46">
        <f t="shared" si="1"/>
        <v>75</v>
      </c>
      <c r="Q13" s="45" t="str">
        <f t="shared" si="2"/>
        <v>19.1|500000</v>
      </c>
      <c r="R13" s="47">
        <f t="shared" si="3"/>
        <v>24925</v>
      </c>
      <c r="S13" s="1"/>
      <c r="T13" s="49">
        <f>D103</f>
        <v>45900</v>
      </c>
      <c r="U13" s="49" t="str">
        <f>B96</f>
        <v>PRAKASHJI</v>
      </c>
      <c r="V13" s="49" t="str">
        <f>C96</f>
        <v>KONDAPUR</v>
      </c>
      <c r="W13" s="1"/>
      <c r="X13" s="49">
        <f>I103</f>
        <v>147350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1"/>
      <c r="B14" s="21"/>
      <c r="C14" s="21"/>
      <c r="D14" s="21"/>
      <c r="E14" s="10"/>
      <c r="F14" s="21"/>
      <c r="G14" s="21"/>
      <c r="H14" s="21"/>
      <c r="I14" s="21"/>
      <c r="J14" s="13" t="s">
        <v>182</v>
      </c>
      <c r="K14" s="1"/>
      <c r="L14" s="48">
        <v>4</v>
      </c>
      <c r="M14" s="45">
        <v>1000000</v>
      </c>
      <c r="N14" s="45">
        <v>110000</v>
      </c>
      <c r="O14" s="45" t="str">
        <f t="shared" si="0"/>
        <v>4|1000000</v>
      </c>
      <c r="P14" s="46">
        <f t="shared" si="1"/>
        <v>5500</v>
      </c>
      <c r="Q14" s="45" t="str">
        <f t="shared" si="2"/>
        <v>4|1000000</v>
      </c>
      <c r="R14" s="47">
        <f t="shared" si="3"/>
        <v>44500</v>
      </c>
      <c r="S14" s="1"/>
      <c r="T14" s="49">
        <f>D112</f>
        <v>24300</v>
      </c>
      <c r="U14" s="49" t="str">
        <f>B105</f>
        <v>NARAYANJI</v>
      </c>
      <c r="V14" s="49" t="str">
        <f>C105</f>
        <v>SHAPUR</v>
      </c>
      <c r="W14" s="1"/>
      <c r="X14" s="49">
        <f>I112</f>
        <v>161050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1"/>
      <c r="B15" s="21"/>
      <c r="C15" s="21"/>
      <c r="D15" s="21"/>
      <c r="E15" s="10"/>
      <c r="F15" s="21"/>
      <c r="G15" s="21"/>
      <c r="H15" s="21"/>
      <c r="I15" s="21"/>
      <c r="J15" s="13"/>
      <c r="K15" s="1"/>
      <c r="L15" s="75">
        <v>15</v>
      </c>
      <c r="M15" s="45">
        <v>500000</v>
      </c>
      <c r="N15" s="45">
        <v>14000</v>
      </c>
      <c r="O15" s="45" t="b">
        <f>M20=L15&amp;"|"&amp;M15</f>
        <v>0</v>
      </c>
      <c r="P15" s="46">
        <f t="shared" si="1"/>
        <v>700</v>
      </c>
      <c r="Q15" s="45" t="str">
        <f t="shared" si="2"/>
        <v>15|500000</v>
      </c>
      <c r="R15" s="47">
        <f t="shared" si="3"/>
        <v>24300</v>
      </c>
      <c r="S15" s="1"/>
      <c r="T15" s="49">
        <f>D121</f>
        <v>95025</v>
      </c>
      <c r="U15" s="49" t="str">
        <f>B114</f>
        <v>CHENARAMJI</v>
      </c>
      <c r="V15" s="49" t="str">
        <f>C114</f>
        <v>KOTLAPUR</v>
      </c>
      <c r="W15" s="1"/>
      <c r="X15" s="49">
        <f>I121</f>
        <v>136750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1"/>
      <c r="B16" s="21"/>
      <c r="C16" s="21"/>
      <c r="D16" s="21"/>
      <c r="E16" s="2"/>
      <c r="F16" s="21"/>
      <c r="G16" s="21"/>
      <c r="H16" s="21"/>
      <c r="I16" s="21"/>
      <c r="J16" s="13"/>
      <c r="K16" s="1"/>
      <c r="L16" s="45">
        <v>4.0999999999999996</v>
      </c>
      <c r="M16" s="46">
        <v>1000000</v>
      </c>
      <c r="N16" s="45">
        <v>120000</v>
      </c>
      <c r="O16" s="45" t="str">
        <f t="shared" si="0"/>
        <v>4.1|1000000</v>
      </c>
      <c r="P16" s="46">
        <f t="shared" si="1"/>
        <v>6000</v>
      </c>
      <c r="Q16" s="45" t="str">
        <f t="shared" si="2"/>
        <v>4.1|1000000</v>
      </c>
      <c r="R16" s="47">
        <f t="shared" si="3"/>
        <v>44000</v>
      </c>
      <c r="S16" s="1"/>
      <c r="T16" s="49">
        <f>D130</f>
        <v>112300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119475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84" t="s">
        <v>16</v>
      </c>
      <c r="B17" s="85"/>
      <c r="C17" s="86"/>
      <c r="D17" s="8">
        <f>SUM(D12:D16)</f>
        <v>24300</v>
      </c>
      <c r="E17" s="2"/>
      <c r="F17" s="84" t="s">
        <v>16</v>
      </c>
      <c r="G17" s="85"/>
      <c r="H17" s="86"/>
      <c r="I17" s="21">
        <f>SUM(I12:I13)</f>
        <v>24300</v>
      </c>
      <c r="J17" s="13"/>
      <c r="K17" s="1"/>
      <c r="L17" s="48"/>
      <c r="M17" s="1"/>
      <c r="N17" s="1"/>
      <c r="O17" s="45"/>
      <c r="P17" s="46"/>
      <c r="Q17" s="45"/>
      <c r="R17" s="47"/>
      <c r="S17" s="1"/>
      <c r="T17" s="49">
        <f>D139</f>
        <v>49225</v>
      </c>
      <c r="U17" s="49" t="str">
        <f>B132</f>
        <v>BHUNDARAMJI</v>
      </c>
      <c r="V17" s="49" t="str">
        <f>C132</f>
        <v>MIYAPUR</v>
      </c>
      <c r="W17" s="1"/>
      <c r="X17" s="49">
        <f>I139</f>
        <v>24300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"/>
      <c r="B18" s="3"/>
      <c r="C18" s="3"/>
      <c r="D18" s="3"/>
      <c r="E18" s="3"/>
      <c r="F18" s="42"/>
      <c r="G18" s="42"/>
      <c r="H18" s="42"/>
      <c r="I18" s="42"/>
      <c r="J18" s="13"/>
      <c r="K18" s="1"/>
      <c r="L18" s="48">
        <v>15</v>
      </c>
      <c r="M18" s="1">
        <v>250000</v>
      </c>
      <c r="N18" s="1">
        <v>7000</v>
      </c>
      <c r="O18" s="45" t="str">
        <f t="shared" si="0"/>
        <v>15|250000</v>
      </c>
      <c r="P18" s="46">
        <f t="shared" si="1"/>
        <v>350</v>
      </c>
      <c r="Q18" s="45" t="str">
        <f t="shared" si="2"/>
        <v>15|250000</v>
      </c>
      <c r="R18" s="47">
        <f t="shared" si="3"/>
        <v>12150</v>
      </c>
      <c r="S18" s="1"/>
      <c r="T18" s="49">
        <f>D148</f>
        <v>120750</v>
      </c>
      <c r="U18" s="49" t="str">
        <f>B141</f>
        <v>POKARJI</v>
      </c>
      <c r="V18" s="49" t="str">
        <f>C141</f>
        <v>J GUTTA</v>
      </c>
      <c r="W18" s="1"/>
      <c r="X18" s="49">
        <f>I148</f>
        <v>99700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1" t="s">
        <v>0</v>
      </c>
      <c r="B19" s="21" t="s">
        <v>21</v>
      </c>
      <c r="C19" s="21" t="s">
        <v>22</v>
      </c>
      <c r="D19" s="9">
        <v>45872</v>
      </c>
      <c r="E19" s="2"/>
      <c r="F19" s="21" t="s">
        <v>0</v>
      </c>
      <c r="G19" s="21" t="s">
        <v>23</v>
      </c>
      <c r="H19" s="21" t="s">
        <v>24</v>
      </c>
      <c r="I19" s="9">
        <v>45872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49850</v>
      </c>
      <c r="U19" s="49" t="str">
        <f>B150</f>
        <v>AKASHJI</v>
      </c>
      <c r="V19" s="49" t="str">
        <f>C150</f>
        <v>SNGAREDDY</v>
      </c>
      <c r="W19" s="1"/>
      <c r="X19" s="49">
        <f>I157</f>
        <v>72925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1" t="s">
        <v>6</v>
      </c>
      <c r="B20" s="21" t="s">
        <v>7</v>
      </c>
      <c r="C20" s="21" t="s">
        <v>8</v>
      </c>
      <c r="D20" s="21" t="s">
        <v>9</v>
      </c>
      <c r="E20" s="2"/>
      <c r="F20" s="21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48750</v>
      </c>
      <c r="U20" s="49" t="str">
        <f>B159</f>
        <v>HARISINGHJI</v>
      </c>
      <c r="V20" s="49" t="str">
        <f>C159</f>
        <v>RAMARAM</v>
      </c>
      <c r="W20" s="1"/>
      <c r="X20" s="49">
        <f>I166</f>
        <v>48750</v>
      </c>
      <c r="Y20" s="49" t="str">
        <f>G159</f>
        <v>MANGILALJI</v>
      </c>
      <c r="Z20" s="49" t="str">
        <f>H159</f>
        <v>MALLAPUR</v>
      </c>
    </row>
    <row r="21" spans="1:26" ht="20.25" thickTop="1" thickBot="1">
      <c r="A21" s="21">
        <v>15</v>
      </c>
      <c r="B21" s="21">
        <v>1000000</v>
      </c>
      <c r="C21" s="21">
        <f>VLOOKUP(A21&amp;"|"&amp;B21,$O$3:$P$16,2,FALSE)</f>
        <v>1250</v>
      </c>
      <c r="D21" s="21">
        <f>VLOOKUP(A21&amp;"|"&amp;B21,$Q$3:$R$16,2,FALSE)</f>
        <v>48750</v>
      </c>
      <c r="E21" s="2"/>
      <c r="F21" s="21">
        <v>15</v>
      </c>
      <c r="G21" s="21">
        <v>1000000</v>
      </c>
      <c r="H21" s="21">
        <f>VLOOKUP(F21&amp;"|"&amp;G21,$O$3:$P$16,2,FALSE)</f>
        <v>1250</v>
      </c>
      <c r="I21" s="21">
        <f>VLOOKUP(F21&amp;"|"&amp;G21,$Q$3:$R$16,2,FALSE)</f>
        <v>48750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536)</f>
        <v>4186625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527,)</f>
        <v>3759225</v>
      </c>
      <c r="S21" s="1"/>
      <c r="T21" s="49">
        <f>D175</f>
        <v>93250</v>
      </c>
      <c r="U21" s="49" t="str">
        <f>B168</f>
        <v>BHORARAMJI</v>
      </c>
      <c r="V21" s="49" t="str">
        <f>C168</f>
        <v>MIYAPUR</v>
      </c>
      <c r="W21" s="1"/>
      <c r="X21" s="49">
        <f>I175</f>
        <v>71650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1">
        <v>4</v>
      </c>
      <c r="B22" s="21">
        <v>2000000</v>
      </c>
      <c r="C22" s="21">
        <f>VLOOKUP(A22&amp;"|"&amp;B22,$O$3:$P$17,2,FALSE)</f>
        <v>12000</v>
      </c>
      <c r="D22" s="21">
        <f>VLOOKUP(A22&amp;"|"&amp;B22,$Q$3:$R$17,2,FALSE)</f>
        <v>88000</v>
      </c>
      <c r="E22" s="2"/>
      <c r="F22" s="21">
        <v>15.1</v>
      </c>
      <c r="G22" s="21">
        <v>1000000</v>
      </c>
      <c r="H22" s="21">
        <f>VLOOKUP(F22&amp;"|"&amp;G22,$O$3:$P$16,2,FALSE)</f>
        <v>1250</v>
      </c>
      <c r="I22" s="21">
        <f>VLOOKUP(F22&amp;"|"&amp;G22,$Q$3:$R$16,2,FALSE)</f>
        <v>48750</v>
      </c>
      <c r="J22" s="1"/>
      <c r="K22" s="1"/>
      <c r="L22" s="1"/>
      <c r="M22" s="1"/>
      <c r="N22" s="1"/>
      <c r="O22" s="76"/>
      <c r="P22" s="1"/>
      <c r="Q22" s="1"/>
      <c r="R22" s="1"/>
      <c r="S22" s="1"/>
      <c r="T22" s="49">
        <f>D184</f>
        <v>111700</v>
      </c>
      <c r="U22" s="49" t="str">
        <f>B177</f>
        <v>MADARAMJI</v>
      </c>
      <c r="V22" s="49" t="str">
        <f>C177</f>
        <v>SHAPUR</v>
      </c>
      <c r="W22" s="1"/>
      <c r="X22" s="49">
        <f>I184</f>
        <v>48750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1"/>
      <c r="B23" s="21"/>
      <c r="C23" s="21"/>
      <c r="D23" s="21"/>
      <c r="E23" s="2"/>
      <c r="F23" s="21">
        <v>15.1</v>
      </c>
      <c r="G23" s="21">
        <v>1000000</v>
      </c>
      <c r="H23" s="21">
        <f>VLOOKUP(F23&amp;"|"&amp;G23,$O$3:$P$16,2,FALSE)</f>
        <v>1250</v>
      </c>
      <c r="I23" s="21">
        <f>VLOOKUP(F23&amp;"|"&amp;G23,$Q$3:$R$16,2,FALSE)</f>
        <v>48750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49">
        <f>D193</f>
        <v>98600</v>
      </c>
      <c r="U23" s="49" t="str">
        <f>B186</f>
        <v>GENARAMJI</v>
      </c>
      <c r="V23" s="49" t="str">
        <f>C186</f>
        <v>J GUTTA</v>
      </c>
      <c r="W23" s="1"/>
      <c r="X23" s="49">
        <f>I193</f>
        <v>24375</v>
      </c>
      <c r="Y23" s="49" t="str">
        <f>G186</f>
        <v>NARENDRAJI</v>
      </c>
      <c r="Z23" s="49" t="str">
        <f>H186</f>
        <v>SACHINJI</v>
      </c>
    </row>
    <row r="24" spans="1:26" ht="20.25" thickTop="1" thickBot="1">
      <c r="A24" s="21"/>
      <c r="B24" s="21"/>
      <c r="C24" s="21"/>
      <c r="D24" s="21"/>
      <c r="E24" s="2"/>
      <c r="F24" s="21"/>
      <c r="G24" s="21"/>
      <c r="H24" s="21"/>
      <c r="I24" s="21"/>
      <c r="J24" s="1"/>
      <c r="K24" s="1"/>
      <c r="L24" s="1"/>
      <c r="M24" s="1"/>
      <c r="N24" s="1" t="s">
        <v>26</v>
      </c>
      <c r="O24" s="49">
        <f>SUM(O21,R21)</f>
        <v>7945850</v>
      </c>
      <c r="P24" s="1"/>
      <c r="Q24" s="1"/>
      <c r="R24" s="1"/>
      <c r="S24" s="1"/>
      <c r="T24" s="49">
        <f>D202</f>
        <v>93250</v>
      </c>
      <c r="U24" s="49" t="str">
        <f>B195</f>
        <v>HONARAMJI</v>
      </c>
      <c r="V24" s="49" t="str">
        <f>C195</f>
        <v>RAMARAM</v>
      </c>
      <c r="W24" s="1"/>
      <c r="X24" s="49">
        <f>I202</f>
        <v>48750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1"/>
      <c r="B25" s="21"/>
      <c r="C25" s="21"/>
      <c r="D25" s="21"/>
      <c r="E25" s="2"/>
      <c r="F25" s="21"/>
      <c r="G25" s="21"/>
      <c r="H25" s="21"/>
      <c r="I25" s="21"/>
      <c r="J25" s="1"/>
      <c r="K25" s="1"/>
      <c r="L25" s="1"/>
      <c r="M25" s="1" t="s">
        <v>182</v>
      </c>
      <c r="N25" s="1"/>
      <c r="O25" s="1"/>
      <c r="P25" s="1"/>
      <c r="Q25" s="1"/>
      <c r="R25" s="1"/>
      <c r="S25" s="1"/>
      <c r="T25" s="49">
        <f>D211</f>
        <v>97500</v>
      </c>
      <c r="U25" s="49" t="str">
        <f>B204</f>
        <v>KAILASHJI</v>
      </c>
      <c r="V25" s="49" t="str">
        <f>C204</f>
        <v>SHIVAMPET</v>
      </c>
      <c r="W25" s="1"/>
      <c r="X25" s="49">
        <f>I211</f>
        <v>69425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84" t="s">
        <v>16</v>
      </c>
      <c r="B26" s="85"/>
      <c r="C26" s="86"/>
      <c r="D26" s="8">
        <f>SUM(D21:D25)</f>
        <v>136750</v>
      </c>
      <c r="E26" s="2"/>
      <c r="F26" s="84" t="s">
        <v>27</v>
      </c>
      <c r="G26" s="85"/>
      <c r="H26" s="86"/>
      <c r="I26" s="21">
        <f>SUM(I21:I25)</f>
        <v>146250</v>
      </c>
      <c r="J26" s="1"/>
      <c r="K26" s="1"/>
      <c r="L26" s="1"/>
      <c r="M26" s="1"/>
      <c r="N26" s="1"/>
      <c r="O26" s="49"/>
      <c r="P26" s="1"/>
      <c r="Q26" s="1"/>
      <c r="R26" s="1"/>
      <c r="S26" s="1"/>
      <c r="T26" s="49">
        <f>D220</f>
        <v>24925</v>
      </c>
      <c r="U26" s="49" t="str">
        <f>B213</f>
        <v>PRAKASHJI</v>
      </c>
      <c r="V26" s="49" t="str">
        <f>C213</f>
        <v>GUTTA</v>
      </c>
      <c r="W26" s="1"/>
      <c r="X26" s="49">
        <f>I220</f>
        <v>48625</v>
      </c>
      <c r="Y26" s="49" t="str">
        <f>G213</f>
        <v>RAMESHJI</v>
      </c>
      <c r="Z26" s="49" t="str">
        <f>H213</f>
        <v>RR NAGAR</v>
      </c>
    </row>
    <row r="27" spans="1:26" ht="16.5" thickTop="1" thickBo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22900</v>
      </c>
      <c r="U27" s="49" t="str">
        <f>B222</f>
        <v>GENARAMJI</v>
      </c>
      <c r="V27" s="49" t="str">
        <f>C222</f>
        <v>RAMARAM</v>
      </c>
      <c r="W27" s="1"/>
      <c r="X27" s="49">
        <f>I229</f>
        <v>22900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1" t="s">
        <v>0</v>
      </c>
      <c r="B28" s="21" t="s">
        <v>187</v>
      </c>
      <c r="C28" s="21" t="s">
        <v>28</v>
      </c>
      <c r="D28" s="9">
        <v>45872</v>
      </c>
      <c r="E28" s="2"/>
      <c r="F28" s="21" t="s">
        <v>0</v>
      </c>
      <c r="G28" s="21" t="s">
        <v>29</v>
      </c>
      <c r="H28" s="21" t="s">
        <v>30</v>
      </c>
      <c r="I28" s="9">
        <v>45872</v>
      </c>
      <c r="J28" s="1"/>
      <c r="K28" s="1"/>
      <c r="L28" s="1"/>
      <c r="M28" s="1"/>
      <c r="O28" s="1"/>
      <c r="P28" s="1"/>
      <c r="Q28" s="1"/>
      <c r="R28" s="1"/>
      <c r="S28" s="1"/>
      <c r="T28" s="49">
        <f>D238</f>
        <v>21600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88000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1" t="s">
        <v>6</v>
      </c>
      <c r="B29" s="21" t="s">
        <v>7</v>
      </c>
      <c r="C29" s="21" t="s">
        <v>8</v>
      </c>
      <c r="D29" s="21" t="s">
        <v>9</v>
      </c>
      <c r="E29" s="2"/>
      <c r="F29" s="21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44500</v>
      </c>
      <c r="U29" s="49" t="str">
        <f>B240</f>
        <v>RUPARAMJI</v>
      </c>
      <c r="V29" s="49" t="str">
        <f>C240</f>
        <v>MIYAPUR</v>
      </c>
      <c r="W29" s="1"/>
      <c r="X29" s="49">
        <f>I247</f>
        <v>185250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21">
        <v>15.1</v>
      </c>
      <c r="B30" s="21">
        <v>1000000</v>
      </c>
      <c r="C30" s="21">
        <f>VLOOKUP(A30&amp;"|"&amp;B30,$O$3:$P$16,2,FALSE)</f>
        <v>1250</v>
      </c>
      <c r="D30" s="21">
        <f>VLOOKUP(A30&amp;"|"&amp;B30,$Q$3:$R$16,2,FALSE)</f>
        <v>48750</v>
      </c>
      <c r="E30" s="2"/>
      <c r="F30" s="21">
        <v>4</v>
      </c>
      <c r="G30" s="21">
        <v>500000</v>
      </c>
      <c r="H30" s="21">
        <f>VLOOKUP(F30&amp;"|"&amp;G30,$O$3:$P$16,2,FALSE)</f>
        <v>3400</v>
      </c>
      <c r="I30" s="21">
        <f>VLOOKUP(F30&amp;"|"&amp;G30,$Q$3:$R$16,2,FALSE)</f>
        <v>21600</v>
      </c>
      <c r="J30" s="1"/>
      <c r="K30" s="1"/>
      <c r="L30" s="1"/>
      <c r="M30" s="1"/>
      <c r="N30" s="1"/>
      <c r="O30" s="1"/>
      <c r="P30" s="49"/>
      <c r="Q30" s="1"/>
      <c r="R30" s="1"/>
      <c r="S30" s="1"/>
      <c r="T30" s="49">
        <f>D256</f>
        <v>99700</v>
      </c>
      <c r="U30" s="49" t="str">
        <f>B249</f>
        <v>OMJI</v>
      </c>
      <c r="V30" s="49" t="str">
        <f>C249</f>
        <v>IDPL</v>
      </c>
      <c r="W30" s="1"/>
      <c r="X30" s="49">
        <f>I256</f>
        <v>22900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21">
        <v>12</v>
      </c>
      <c r="B31" s="21">
        <v>500000</v>
      </c>
      <c r="C31" s="21">
        <f>VLOOKUP(A31&amp;"|"&amp;B31,$O$3:$P$16,2,FALSE)</f>
        <v>1300</v>
      </c>
      <c r="D31" s="21">
        <f>VLOOKUP(A31&amp;"|"&amp;B31,$Q$3:$R$16,2,FALSE)</f>
        <v>23700</v>
      </c>
      <c r="E31" s="2"/>
      <c r="F31" s="21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68800</v>
      </c>
      <c r="U31" s="49" t="str">
        <f>B258</f>
        <v>HEMARAMJI</v>
      </c>
      <c r="V31" s="49" t="str">
        <f>C258</f>
        <v>YAMJAL</v>
      </c>
      <c r="W31" s="1"/>
      <c r="X31" s="49">
        <f>I265</f>
        <v>24925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21">
        <v>12</v>
      </c>
      <c r="B32" s="21">
        <v>500000</v>
      </c>
      <c r="C32" s="21">
        <f>VLOOKUP(A32&amp;"|"&amp;B32,$O$3:$P$16,2,FALSE)</f>
        <v>1300</v>
      </c>
      <c r="D32" s="21">
        <f>VLOOKUP(A32&amp;"|"&amp;B32,$Q$3:$R$16,2,FALSE)</f>
        <v>23700</v>
      </c>
      <c r="E32" s="2"/>
      <c r="F32" s="21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21600</v>
      </c>
      <c r="U32" s="49" t="str">
        <f>B267</f>
        <v>DURGARAMJI</v>
      </c>
      <c r="V32" s="49" t="str">
        <f>C267</f>
        <v>RAMARAM</v>
      </c>
      <c r="W32" s="1"/>
      <c r="X32" s="49">
        <f>I274</f>
        <v>21600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21">
        <v>15.1</v>
      </c>
      <c r="B33" s="21">
        <v>1000000</v>
      </c>
      <c r="C33" s="21">
        <f>VLOOKUP(A33&amp;"|"&amp;B33,$O$3:$P$16,2,FALSE)</f>
        <v>1250</v>
      </c>
      <c r="D33" s="21">
        <f>VLOOKUP(A33&amp;"|"&amp;B33,$Q$3:$R$16,2,FALSE)</f>
        <v>48750</v>
      </c>
      <c r="E33" s="2"/>
      <c r="F33" s="21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94350</v>
      </c>
      <c r="U33" s="49" t="str">
        <f>B276</f>
        <v>DHANARAMJI</v>
      </c>
      <c r="V33" s="49" t="str">
        <f>C276</f>
        <v>KAMAN</v>
      </c>
      <c r="W33" s="1"/>
      <c r="X33" s="49">
        <f>I284</f>
        <v>184225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1"/>
      <c r="B34" s="21"/>
      <c r="C34" s="21"/>
      <c r="D34" s="21"/>
      <c r="E34" s="2"/>
      <c r="F34" s="21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159450</v>
      </c>
      <c r="U34" s="49" t="str">
        <f>B286</f>
        <v>KHUSHVIRJI</v>
      </c>
      <c r="V34" s="49" t="str">
        <f>C286</f>
        <v>MEDCHAL</v>
      </c>
      <c r="W34" s="1"/>
      <c r="X34" s="49">
        <f>I293</f>
        <v>114800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84" t="s">
        <v>16</v>
      </c>
      <c r="B35" s="85"/>
      <c r="C35" s="86"/>
      <c r="D35" s="8">
        <f>SUM(D30:D34)</f>
        <v>144900</v>
      </c>
      <c r="E35" s="2"/>
      <c r="F35" s="84" t="s">
        <v>16</v>
      </c>
      <c r="G35" s="85"/>
      <c r="H35" s="86"/>
      <c r="I35" s="21">
        <f>SUM(I30:I34)</f>
        <v>21600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160450</v>
      </c>
      <c r="U35" s="49" t="str">
        <f>B295</f>
        <v>MUNJI</v>
      </c>
      <c r="V35" s="49" t="str">
        <f>C295</f>
        <v>RAMARAM</v>
      </c>
      <c r="W35" s="1"/>
      <c r="X35" s="49">
        <f>I302</f>
        <v>132500</v>
      </c>
      <c r="Y35" s="49" t="str">
        <f>G295</f>
        <v>JAIRUPRAMJI</v>
      </c>
      <c r="Z35" s="49" t="str">
        <f>H295</f>
        <v>RMTPUR</v>
      </c>
    </row>
    <row r="36" spans="1:26" ht="16.5" thickTop="1" thickBo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94350</v>
      </c>
      <c r="U36" s="49" t="str">
        <f>B304</f>
        <v>RAMESHJI</v>
      </c>
      <c r="V36" s="49" t="str">
        <f>C304</f>
        <v>ALWN COL</v>
      </c>
      <c r="W36" s="1"/>
      <c r="X36" s="49">
        <f>I311</f>
        <v>44500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1" t="s">
        <v>0</v>
      </c>
      <c r="B37" s="21" t="s">
        <v>31</v>
      </c>
      <c r="C37" s="21" t="s">
        <v>32</v>
      </c>
      <c r="D37" s="9">
        <v>45872</v>
      </c>
      <c r="E37" s="2"/>
      <c r="F37" s="21" t="s">
        <v>0</v>
      </c>
      <c r="G37" s="21" t="s">
        <v>33</v>
      </c>
      <c r="H37" s="21" t="s">
        <v>34</v>
      </c>
      <c r="I37" s="9">
        <v>45872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44500</v>
      </c>
      <c r="U37" s="49" t="str">
        <f>B313</f>
        <v>OM</v>
      </c>
      <c r="V37" s="49" t="str">
        <f>C313</f>
        <v>J GUTTA</v>
      </c>
      <c r="W37" s="1"/>
      <c r="X37" s="49">
        <f>I320</f>
        <v>24300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1" t="s">
        <v>6</v>
      </c>
      <c r="B38" s="21" t="s">
        <v>7</v>
      </c>
      <c r="C38" s="21" t="s">
        <v>8</v>
      </c>
      <c r="D38" s="21" t="s">
        <v>9</v>
      </c>
      <c r="E38" s="2"/>
      <c r="F38" s="21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24925</v>
      </c>
      <c r="U38" s="49" t="str">
        <f>B322</f>
        <v>BABULALJI</v>
      </c>
      <c r="V38" s="49" t="str">
        <f>C322</f>
        <v>CHILKA NGR</v>
      </c>
      <c r="W38" s="1"/>
      <c r="X38" s="49">
        <f>I329</f>
        <v>22900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21">
        <v>9</v>
      </c>
      <c r="B39" s="21">
        <v>250000</v>
      </c>
      <c r="C39" s="21">
        <f>VLOOKUP(A39&amp;"|"&amp;B39,$O$3:$P$16,2,FALSE)</f>
        <v>1050</v>
      </c>
      <c r="D39" s="21">
        <f>VLOOKUP(A39&amp;"|"&amp;B39,$Q$3:$R$16,2,FALSE)</f>
        <v>11450</v>
      </c>
      <c r="E39" s="2"/>
      <c r="F39" s="21">
        <v>15.1</v>
      </c>
      <c r="G39" s="21">
        <v>1000000</v>
      </c>
      <c r="H39" s="21">
        <f>VLOOKUP(F39&amp;"|"&amp;G39,$O$3:$P$16,2,FALSE)</f>
        <v>1250</v>
      </c>
      <c r="I39" s="21">
        <f>VLOOKUP(F39&amp;"|"&amp;G39,$Q$3:$R$16,2,FALSE)</f>
        <v>48750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46600</v>
      </c>
      <c r="U39" s="49" t="str">
        <f>B331</f>
        <v>MUKESHJI</v>
      </c>
      <c r="V39" s="49" t="str">
        <f>C331</f>
        <v>RAMARAM</v>
      </c>
      <c r="W39" s="1"/>
      <c r="X39" s="49">
        <f>I338</f>
        <v>22900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21">
        <v>15</v>
      </c>
      <c r="B40" s="21">
        <v>250000</v>
      </c>
      <c r="C40" s="21">
        <f>VLOOKUP(A40&amp;"|"&amp;B40,$O$3:$P$18,2,FALSE)</f>
        <v>350</v>
      </c>
      <c r="D40" s="21">
        <f>VLOOKUP(A40&amp;"|"&amp;B40,$Q$3:$R$18,2,FALSE)</f>
        <v>12150</v>
      </c>
      <c r="E40" s="2"/>
      <c r="F40" s="21">
        <v>4</v>
      </c>
      <c r="G40" s="21">
        <v>2000000</v>
      </c>
      <c r="H40" s="21">
        <f>VLOOKUP(F40&amp;"|"&amp;G40,$O$3:$P$16,2,FALSE)</f>
        <v>12000</v>
      </c>
      <c r="I40" s="21">
        <f>VLOOKUP(F40&amp;"|"&amp;G40,$Q$3:$R$16,2,FALSE)</f>
        <v>88000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23700</v>
      </c>
      <c r="U40" s="49" t="str">
        <f>B340</f>
        <v>MISRILALJI</v>
      </c>
      <c r="V40" s="49" t="str">
        <f>C340</f>
        <v>MEDCHAL</v>
      </c>
      <c r="W40" s="1"/>
      <c r="X40" s="49">
        <f>I347</f>
        <v>24925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1"/>
      <c r="B41" s="21"/>
      <c r="C41" s="21"/>
      <c r="D41" s="21"/>
      <c r="E41" s="2"/>
      <c r="F41" s="21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24300</v>
      </c>
      <c r="U41" s="49" t="str">
        <f>B349</f>
        <v>GOVIND</v>
      </c>
      <c r="V41" s="49" t="str">
        <f>C349</f>
        <v>PPR NGR</v>
      </c>
      <c r="W41" s="1"/>
      <c r="X41" s="49">
        <f>I356</f>
        <v>0</v>
      </c>
      <c r="Y41" s="49">
        <f>G349</f>
        <v>0</v>
      </c>
      <c r="Z41" s="49">
        <f>H349</f>
        <v>0</v>
      </c>
    </row>
    <row r="42" spans="1:26" ht="20.25" thickTop="1" thickBot="1">
      <c r="A42" s="21"/>
      <c r="B42" s="21"/>
      <c r="C42" s="21"/>
      <c r="D42" s="21"/>
      <c r="E42" s="2"/>
      <c r="F42" s="21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21600</v>
      </c>
      <c r="U42" s="49" t="str">
        <f>B358</f>
        <v>SOHANLALJI</v>
      </c>
      <c r="V42" s="49" t="str">
        <f>C358</f>
        <v>RR NGR</v>
      </c>
      <c r="W42" s="1"/>
      <c r="X42" s="49">
        <f>I365</f>
        <v>23700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1"/>
      <c r="B43" s="21"/>
      <c r="C43" s="21"/>
      <c r="D43" s="21"/>
      <c r="E43" s="2"/>
      <c r="F43" s="21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69425</v>
      </c>
      <c r="U43" s="49" t="str">
        <f>B367</f>
        <v>KISHANJI</v>
      </c>
      <c r="V43" s="49" t="str">
        <f>C367</f>
        <v>KAMAN</v>
      </c>
      <c r="W43" s="1"/>
      <c r="X43" s="49">
        <f>I374</f>
        <v>23700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84" t="s">
        <v>16</v>
      </c>
      <c r="B44" s="85"/>
      <c r="C44" s="86"/>
      <c r="D44" s="8">
        <f>SUM(D39:D43)</f>
        <v>23600</v>
      </c>
      <c r="E44" s="2"/>
      <c r="F44" s="84" t="s">
        <v>16</v>
      </c>
      <c r="G44" s="85"/>
      <c r="H44" s="86"/>
      <c r="I44" s="21">
        <f>SUM(I39:I43)</f>
        <v>136750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21600</v>
      </c>
      <c r="U44" s="49" t="str">
        <f>B376</f>
        <v>RAMESHJI</v>
      </c>
      <c r="V44" s="49" t="str">
        <f>C376</f>
        <v>SHAPUR</v>
      </c>
      <c r="W44" s="1"/>
      <c r="X44" s="49">
        <f>I383</f>
        <v>21600</v>
      </c>
      <c r="Y44" s="49" t="str">
        <f>G376</f>
        <v>OMJI</v>
      </c>
      <c r="Z44" s="49" t="str">
        <f>H376</f>
        <v>SEC</v>
      </c>
    </row>
    <row r="45" spans="1:26" ht="16.5" thickTop="1" thickBo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97500</v>
      </c>
      <c r="U45" s="49" t="str">
        <f>B385</f>
        <v>MISRILALJI</v>
      </c>
      <c r="V45" s="49" t="str">
        <f>C385</f>
        <v>SEC</v>
      </c>
      <c r="W45" s="1"/>
      <c r="X45" s="49">
        <f>I392</f>
        <v>22900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1" t="s">
        <v>0</v>
      </c>
      <c r="B46" s="21" t="s">
        <v>35</v>
      </c>
      <c r="C46" s="21" t="s">
        <v>36</v>
      </c>
      <c r="D46" s="9">
        <v>45872</v>
      </c>
      <c r="E46" s="2"/>
      <c r="F46" s="21" t="s">
        <v>0</v>
      </c>
      <c r="G46" s="21" t="s">
        <v>37</v>
      </c>
      <c r="H46" s="21" t="s">
        <v>38</v>
      </c>
      <c r="I46" s="9">
        <v>45872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48750</v>
      </c>
      <c r="U46" s="49" t="str">
        <f>B394</f>
        <v>BAGDARAMJI</v>
      </c>
      <c r="V46" s="49" t="str">
        <f>C394</f>
        <v>GANDHINGR</v>
      </c>
      <c r="W46" s="1"/>
      <c r="X46" s="49">
        <f>I401</f>
        <v>44500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1" t="s">
        <v>6</v>
      </c>
      <c r="B47" s="21" t="s">
        <v>7</v>
      </c>
      <c r="C47" s="21" t="s">
        <v>8</v>
      </c>
      <c r="D47" s="21" t="s">
        <v>9</v>
      </c>
      <c r="E47" s="2"/>
      <c r="F47" s="21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48750</v>
      </c>
      <c r="U47" s="1" t="str">
        <f>B403</f>
        <v>NEMARANJI</v>
      </c>
      <c r="V47" s="1" t="str">
        <f>C403</f>
        <v>INDERSUM</v>
      </c>
      <c r="W47" s="1"/>
      <c r="X47" s="49">
        <f>I410</f>
        <v>49225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21">
        <v>15.1</v>
      </c>
      <c r="B48" s="21">
        <v>500000</v>
      </c>
      <c r="C48" s="21">
        <f>VLOOKUP(A48&amp;"|"&amp;B48,$O$3:$P$16,2,FALSE)</f>
        <v>625</v>
      </c>
      <c r="D48" s="21">
        <f>VLOOKUP(A48&amp;"|"&amp;B48,$Q$3:$R$16,2,FALSE)</f>
        <v>24375</v>
      </c>
      <c r="E48" s="2"/>
      <c r="F48" s="21">
        <v>12</v>
      </c>
      <c r="G48" s="21">
        <v>500000</v>
      </c>
      <c r="H48" s="21">
        <f>VLOOKUP(F48&amp;"|"&amp;G48,$O$3:$P$16,2,FALSE)</f>
        <v>1300</v>
      </c>
      <c r="I48" s="21">
        <f>VLOOKUP(F48&amp;"|"&amp;G48,$Q$3:$R$16,2,FALSE)</f>
        <v>23700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21600</v>
      </c>
      <c r="U48" s="1" t="str">
        <f>B412</f>
        <v>HEMANTJI</v>
      </c>
      <c r="V48" s="1" t="str">
        <f>C412</f>
        <v>SURARAM</v>
      </c>
      <c r="W48" s="1"/>
      <c r="X48" s="49">
        <f>I419</f>
        <v>69425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1"/>
      <c r="B49" s="21"/>
      <c r="C49" s="21"/>
      <c r="D49" s="21"/>
      <c r="E49" s="2"/>
      <c r="F49" s="21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44000</v>
      </c>
      <c r="U49" s="1" t="str">
        <f>B421</f>
        <v>RAJUJI</v>
      </c>
      <c r="V49" s="1" t="str">
        <f>C421</f>
        <v>SHAPUR</v>
      </c>
      <c r="W49" s="1"/>
      <c r="X49" s="49">
        <f>I428</f>
        <v>88000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1"/>
      <c r="B50" s="21"/>
      <c r="C50" s="21"/>
      <c r="D50" s="21"/>
      <c r="E50" s="2"/>
      <c r="F50" s="21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44500</v>
      </c>
      <c r="U50" s="1" t="str">
        <f>B430</f>
        <v>GOUTAMJI</v>
      </c>
      <c r="V50" s="1" t="str">
        <f>C430</f>
        <v>RAMARAM</v>
      </c>
      <c r="W50" s="1"/>
      <c r="X50" s="49">
        <f>I437</f>
        <v>44500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1"/>
      <c r="B51" s="21"/>
      <c r="C51" s="21"/>
      <c r="D51" s="21"/>
      <c r="E51" s="2"/>
      <c r="F51" s="21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24925</v>
      </c>
      <c r="U51" s="1" t="str">
        <f>B439</f>
        <v>BHERARAMJI</v>
      </c>
      <c r="V51" s="1" t="str">
        <f>C439</f>
        <v>SURARAM</v>
      </c>
      <c r="W51" s="1"/>
      <c r="X51" s="49">
        <f>I446</f>
        <v>88000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1"/>
      <c r="B52" s="21"/>
      <c r="C52" s="21"/>
      <c r="D52" s="21"/>
      <c r="E52" s="2"/>
      <c r="F52" s="21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24925</v>
      </c>
      <c r="U52" s="1" t="str">
        <f>B448</f>
        <v>MISRILALJI</v>
      </c>
      <c r="V52" s="1" t="str">
        <f>C448</f>
        <v>GUTTA</v>
      </c>
      <c r="W52" s="1"/>
      <c r="X52" s="49">
        <f>I455</f>
        <v>24925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84" t="s">
        <v>16</v>
      </c>
      <c r="B53" s="85"/>
      <c r="C53" s="86"/>
      <c r="D53" s="8">
        <f>SUM(D48:D52)</f>
        <v>24375</v>
      </c>
      <c r="E53" s="2"/>
      <c r="F53" s="84" t="s">
        <v>16</v>
      </c>
      <c r="G53" s="85"/>
      <c r="H53" s="86"/>
      <c r="I53" s="21">
        <f>SUM(I48:I52)</f>
        <v>23700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68800</v>
      </c>
      <c r="U53" s="1" t="str">
        <f>B457</f>
        <v>RAMESHJI</v>
      </c>
      <c r="V53" s="1" t="str">
        <f>C457</f>
        <v>BOOK GUTA</v>
      </c>
      <c r="W53" s="1"/>
      <c r="X53" s="49">
        <f>I464</f>
        <v>44500</v>
      </c>
      <c r="Y53" s="1" t="str">
        <f>G457</f>
        <v>HEERJI</v>
      </c>
      <c r="Z53" s="1" t="str">
        <f>H457</f>
        <v>HANUMAN NG</v>
      </c>
    </row>
    <row r="54" spans="1:26" ht="16.5" thickTop="1" thickBo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98600</v>
      </c>
      <c r="U54" s="1" t="str">
        <f>B466</f>
        <v>VALARAMJI</v>
      </c>
      <c r="V54" s="1" t="str">
        <f>C466</f>
        <v>CHINTAL</v>
      </c>
      <c r="W54" s="1"/>
      <c r="X54" s="49">
        <f>I473</f>
        <v>48750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1" t="s">
        <v>0</v>
      </c>
      <c r="B55" s="21" t="s">
        <v>1</v>
      </c>
      <c r="C55" s="21" t="s">
        <v>39</v>
      </c>
      <c r="D55" s="9">
        <v>45872</v>
      </c>
      <c r="E55" s="2"/>
      <c r="F55" s="21" t="s">
        <v>0</v>
      </c>
      <c r="G55" s="21" t="s">
        <v>40</v>
      </c>
      <c r="H55" s="21" t="s">
        <v>41</v>
      </c>
      <c r="I55" s="9">
        <v>45872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24300</v>
      </c>
      <c r="U55" s="1" t="str">
        <f>B475</f>
        <v>NARAYANLALJI</v>
      </c>
      <c r="V55" s="1" t="str">
        <f>C475</f>
        <v>SURARAM</v>
      </c>
      <c r="W55" s="49"/>
      <c r="X55" s="49">
        <f>I482</f>
        <v>24925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1" t="s">
        <v>6</v>
      </c>
      <c r="B56" s="21" t="s">
        <v>7</v>
      </c>
      <c r="C56" s="21" t="s">
        <v>8</v>
      </c>
      <c r="D56" s="21" t="s">
        <v>9</v>
      </c>
      <c r="E56" s="2"/>
      <c r="F56" s="21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47400</v>
      </c>
      <c r="U56" s="1" t="s">
        <v>42</v>
      </c>
      <c r="V56" s="1" t="s">
        <v>43</v>
      </c>
      <c r="W56" s="1"/>
      <c r="X56" s="49">
        <f>I491</f>
        <v>21600</v>
      </c>
      <c r="Y56" s="1" t="s">
        <v>44</v>
      </c>
      <c r="Z56" s="1" t="s">
        <v>43</v>
      </c>
    </row>
    <row r="57" spans="1:26" ht="20.25" thickTop="1" thickBot="1">
      <c r="A57" s="21">
        <v>15.1</v>
      </c>
      <c r="B57" s="21">
        <v>1000000</v>
      </c>
      <c r="C57" s="21">
        <f>VLOOKUP(A57&amp;"|"&amp;B57,$O$3:$P$16,2,FALSE)</f>
        <v>1250</v>
      </c>
      <c r="D57" s="21">
        <f>VLOOKUP(A57&amp;"|"&amp;B57,$Q$3:$R$16,2,FALSE)</f>
        <v>48750</v>
      </c>
      <c r="E57" s="2"/>
      <c r="F57" s="21">
        <v>19.100000000000001</v>
      </c>
      <c r="G57" s="21">
        <v>500000</v>
      </c>
      <c r="H57" s="21">
        <f>VLOOKUP(F57&amp;"|"&amp;G57,$O$3:$P$19,2,FALSE)</f>
        <v>75</v>
      </c>
      <c r="I57" s="21">
        <f>VLOOKUP(F57&amp;"|"&amp;G57,$Q$3:$R$19,2,FALSE)</f>
        <v>24925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22900</v>
      </c>
      <c r="U57" s="1" t="str">
        <f>B493</f>
        <v>CHANDARAMJI</v>
      </c>
      <c r="V57" s="1" t="str">
        <f>C493</f>
        <v>SURARAM</v>
      </c>
      <c r="W57" s="1"/>
      <c r="X57" s="49">
        <f>I500</f>
        <v>117250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21">
        <v>19</v>
      </c>
      <c r="B58" s="21">
        <v>500000</v>
      </c>
      <c r="C58" s="21">
        <f>VLOOKUP(A58&amp;"|"&amp;B58,$O$3:$P$16,2,FALSE)</f>
        <v>75</v>
      </c>
      <c r="D58" s="21">
        <f>VLOOKUP(A58&amp;"|"&amp;B58,$Q$3:$R$16,2,FALSE)</f>
        <v>24925</v>
      </c>
      <c r="E58" s="2"/>
      <c r="F58" s="21">
        <v>4</v>
      </c>
      <c r="G58" s="21">
        <v>500000</v>
      </c>
      <c r="H58" s="21">
        <f>VLOOKUP(F58&amp;"|"&amp;G58,$O$3:$P$19,2,FALSE)</f>
        <v>3400</v>
      </c>
      <c r="I58" s="21">
        <f>VLOOKUP(F58&amp;"|"&amp;G58,$Q$3:$R$19,2,FALSE)</f>
        <v>21600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88000</v>
      </c>
      <c r="U58" s="49" t="str">
        <f>B502</f>
        <v>CHAMPALALJI</v>
      </c>
      <c r="V58" s="1" t="str">
        <f>C502</f>
        <v>RNGRD</v>
      </c>
      <c r="W58" s="1"/>
      <c r="X58" s="49">
        <f>I509</f>
        <v>21600</v>
      </c>
      <c r="Y58" s="1" t="str">
        <f>G502</f>
        <v>VENKTESHVAR</v>
      </c>
      <c r="Z58" s="1" t="str">
        <f>H502</f>
        <v>AB CO</v>
      </c>
    </row>
    <row r="59" spans="1:26" ht="20.25" thickTop="1" thickBot="1">
      <c r="A59" s="21"/>
      <c r="B59" s="21"/>
      <c r="C59" s="21"/>
      <c r="D59" s="21"/>
      <c r="E59" s="2"/>
      <c r="F59" s="21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21600</v>
      </c>
      <c r="U59" s="1" t="str">
        <f>B511</f>
        <v>KEWALJI</v>
      </c>
      <c r="V59" s="1" t="str">
        <f>C511</f>
        <v>KAMMAN</v>
      </c>
      <c r="W59" s="49"/>
      <c r="X59" s="49">
        <f>I518</f>
        <v>21600</v>
      </c>
      <c r="Y59" s="1" t="str">
        <f>G511</f>
        <v>PRAKASHJI</v>
      </c>
      <c r="Z59" s="1" t="str">
        <f>H511</f>
        <v>AMEENPUR</v>
      </c>
    </row>
    <row r="60" spans="1:26" ht="20.25" thickTop="1" thickBot="1">
      <c r="A60" s="21"/>
      <c r="B60" s="21"/>
      <c r="C60" s="21"/>
      <c r="D60" s="21"/>
      <c r="E60" s="2"/>
      <c r="F60" s="21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24300</v>
      </c>
      <c r="U60" s="1" t="str">
        <f>B520</f>
        <v>NIRMALJI</v>
      </c>
      <c r="V60" s="1" t="str">
        <f>C520</f>
        <v>KKPALLY</v>
      </c>
      <c r="W60" s="1"/>
      <c r="X60" s="49">
        <f>I527</f>
        <v>89000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1"/>
      <c r="B61" s="21"/>
      <c r="C61" s="21"/>
      <c r="D61" s="21"/>
      <c r="E61" s="2"/>
      <c r="F61" s="21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88000</v>
      </c>
      <c r="U61" s="1" t="str">
        <f>B529</f>
        <v>NARAYANJI</v>
      </c>
      <c r="V61" s="1" t="str">
        <f>C529</f>
        <v>RR ROAD</v>
      </c>
      <c r="W61" s="1"/>
      <c r="X61" s="49"/>
      <c r="Y61" s="1"/>
      <c r="Z61" s="1"/>
    </row>
    <row r="62" spans="1:26" ht="20.25" thickTop="1" thickBot="1">
      <c r="A62" s="84" t="s">
        <v>16</v>
      </c>
      <c r="B62" s="85"/>
      <c r="C62" s="86"/>
      <c r="D62" s="8">
        <f>SUM(D57:D61)</f>
        <v>73675</v>
      </c>
      <c r="E62" s="2"/>
      <c r="F62" s="84" t="s">
        <v>16</v>
      </c>
      <c r="G62" s="85"/>
      <c r="H62" s="86"/>
      <c r="I62" s="21">
        <f>SUM(I57:I61)</f>
        <v>46525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49"/>
      <c r="U62" s="1"/>
      <c r="V62" s="1"/>
      <c r="W62" s="49"/>
      <c r="X62" s="1"/>
      <c r="Y62" s="1"/>
      <c r="Z62" s="1"/>
    </row>
    <row r="63" spans="1:26" ht="20.25" thickTop="1" thickBot="1">
      <c r="A63" s="10"/>
      <c r="B63" s="10"/>
      <c r="C63" s="10"/>
      <c r="D63" s="10"/>
      <c r="E63" s="2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49">
        <f>SUM(T3:T62)</f>
        <v>4186625</v>
      </c>
      <c r="U63" s="1"/>
      <c r="V63" s="1"/>
      <c r="W63" s="1"/>
      <c r="X63" s="49">
        <f>SUM(X3:X62)</f>
        <v>3759225</v>
      </c>
      <c r="Y63" s="1"/>
      <c r="Z63" s="1"/>
    </row>
    <row r="64" spans="1:26" ht="20.25" thickTop="1" thickBot="1">
      <c r="A64" s="12" t="s">
        <v>3</v>
      </c>
      <c r="B64" s="12" t="s">
        <v>45</v>
      </c>
      <c r="C64" s="12" t="s">
        <v>46</v>
      </c>
      <c r="D64" s="9">
        <v>45872</v>
      </c>
      <c r="E64" s="2"/>
      <c r="F64" s="21" t="s">
        <v>0</v>
      </c>
      <c r="G64" s="21" t="s">
        <v>47</v>
      </c>
      <c r="H64" s="21" t="s">
        <v>48</v>
      </c>
      <c r="I64" s="9">
        <v>45872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0.25" thickTop="1" thickBot="1">
      <c r="A65" s="21" t="s">
        <v>6</v>
      </c>
      <c r="B65" s="21" t="s">
        <v>7</v>
      </c>
      <c r="C65" s="21" t="s">
        <v>8</v>
      </c>
      <c r="D65" s="21" t="s">
        <v>9</v>
      </c>
      <c r="E65" s="2"/>
      <c r="F65" s="21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0.25" thickTop="1" thickBot="1">
      <c r="A66" s="21">
        <v>15.1</v>
      </c>
      <c r="B66" s="21">
        <v>500000</v>
      </c>
      <c r="C66" s="21">
        <f>VLOOKUP(A66&amp;"|"&amp;B66,$O$3:$P$17,2,FALSE)</f>
        <v>625</v>
      </c>
      <c r="D66" s="21">
        <f>VLOOKUP(A66&amp;"|"&amp;B66,$Q$3:$R$17,2,FALSE)</f>
        <v>24375</v>
      </c>
      <c r="E66" s="2"/>
      <c r="F66" s="21">
        <v>15.1</v>
      </c>
      <c r="G66" s="21">
        <v>500000</v>
      </c>
      <c r="H66" s="21">
        <f>VLOOKUP(F66&amp;"|"&amp;G66,$O$3:$P$16,2,FALSE)</f>
        <v>625</v>
      </c>
      <c r="I66" s="21">
        <f>VLOOKUP(F66&amp;"|"&amp;G66,$Q$3:$R$16,2,FALSE)</f>
        <v>24375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 t="s">
        <v>25</v>
      </c>
      <c r="W66" s="49">
        <f>SUM(T63,X63)</f>
        <v>7945850</v>
      </c>
      <c r="X66" s="1"/>
      <c r="Y66" s="1"/>
      <c r="Z66" s="1"/>
    </row>
    <row r="67" spans="1:26" ht="20.25" thickTop="1" thickBot="1">
      <c r="A67" s="21">
        <v>4</v>
      </c>
      <c r="B67" s="21">
        <v>2000000</v>
      </c>
      <c r="C67" s="21">
        <f>VLOOKUP(A67&amp;"|"&amp;B67,$O$3:$P$17,2,FALSE)</f>
        <v>12000</v>
      </c>
      <c r="D67" s="21">
        <f>VLOOKUP(A67&amp;"|"&amp;B67,$Q$3:$R$17,2,FALSE)</f>
        <v>88000</v>
      </c>
      <c r="E67" s="2"/>
      <c r="F67" s="21">
        <v>4</v>
      </c>
      <c r="G67" s="21">
        <v>500000</v>
      </c>
      <c r="H67" s="21">
        <f>VLOOKUP(F67&amp;"|"&amp;G67,$O$3:$P$16,2,FALSE)</f>
        <v>3400</v>
      </c>
      <c r="I67" s="21">
        <f>VLOOKUP(F67&amp;"|"&amp;G67,$Q$3:$R$16,2,FALSE)</f>
        <v>21600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0.25" thickTop="1" thickBot="1">
      <c r="A68" s="21"/>
      <c r="B68" s="21"/>
      <c r="C68" s="21"/>
      <c r="D68" s="21"/>
      <c r="E68" s="2"/>
      <c r="F68" s="21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1"/>
      <c r="B69" s="21"/>
      <c r="C69" s="21"/>
      <c r="D69" s="21"/>
      <c r="E69" s="2"/>
      <c r="F69" s="21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0.25" thickTop="1" thickBot="1">
      <c r="A70" s="21"/>
      <c r="B70" s="21"/>
      <c r="C70" s="21"/>
      <c r="D70" s="21"/>
      <c r="E70" s="2"/>
      <c r="F70" s="52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59" t="s">
        <v>49</v>
      </c>
      <c r="B71" s="53"/>
      <c r="C71" s="54"/>
      <c r="D71" s="21">
        <f>SUM(D66:D70)</f>
        <v>112375</v>
      </c>
      <c r="E71" s="2"/>
      <c r="F71" s="84" t="s">
        <v>16</v>
      </c>
      <c r="G71" s="85"/>
      <c r="H71" s="86"/>
      <c r="I71" s="21">
        <f>SUM(I66:I70)</f>
        <v>45975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0.25" thickTop="1" thickBot="1">
      <c r="A72" s="10"/>
      <c r="B72" s="10"/>
      <c r="C72" s="10"/>
      <c r="D72" s="10"/>
      <c r="E72" s="2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1" t="s">
        <v>0</v>
      </c>
      <c r="B73" s="21" t="s">
        <v>50</v>
      </c>
      <c r="C73" s="21" t="s">
        <v>51</v>
      </c>
      <c r="D73" s="9">
        <v>45872</v>
      </c>
      <c r="E73" s="2"/>
      <c r="F73" s="21" t="s">
        <v>0</v>
      </c>
      <c r="G73" s="21" t="s">
        <v>50</v>
      </c>
      <c r="H73" s="21" t="s">
        <v>52</v>
      </c>
      <c r="I73" s="9">
        <v>45872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1" t="s">
        <v>6</v>
      </c>
      <c r="B74" s="21" t="s">
        <v>7</v>
      </c>
      <c r="C74" s="21" t="s">
        <v>8</v>
      </c>
      <c r="D74" s="21" t="s">
        <v>9</v>
      </c>
      <c r="E74" s="2"/>
      <c r="F74" s="21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21">
        <v>15</v>
      </c>
      <c r="B75" s="21">
        <v>1000000</v>
      </c>
      <c r="C75" s="21">
        <f t="shared" ref="C75:C81" si="4">VLOOKUP(A75&amp;"|"&amp;B75,$O$3:$P$16,2,FALSE)</f>
        <v>1250</v>
      </c>
      <c r="D75" s="21">
        <f t="shared" ref="D75:D81" si="5">VLOOKUP(A75&amp;"|"&amp;B75,$Q$3:$R$16,2,FALSE)</f>
        <v>48750</v>
      </c>
      <c r="E75" s="2"/>
      <c r="F75" s="21">
        <v>19</v>
      </c>
      <c r="G75" s="21">
        <v>1000000</v>
      </c>
      <c r="H75" s="21">
        <f t="shared" ref="H75:H83" si="6">VLOOKUP(F75&amp;"|"&amp;G75,$O$3:$P$16,2,FALSE)</f>
        <v>150</v>
      </c>
      <c r="I75" s="21">
        <f t="shared" ref="I75:I83" si="7">VLOOKUP(F75&amp;"|"&amp;G75,$Q$3:$R$16,2,FALSE)</f>
        <v>49850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21">
        <v>15.1</v>
      </c>
      <c r="B76" s="21">
        <v>1000000</v>
      </c>
      <c r="C76" s="21">
        <f t="shared" si="4"/>
        <v>1250</v>
      </c>
      <c r="D76" s="21">
        <f t="shared" si="5"/>
        <v>48750</v>
      </c>
      <c r="E76" s="2"/>
      <c r="F76" s="21">
        <v>19</v>
      </c>
      <c r="G76" s="21">
        <v>1000000</v>
      </c>
      <c r="H76" s="21">
        <f t="shared" si="6"/>
        <v>150</v>
      </c>
      <c r="I76" s="21">
        <f t="shared" si="7"/>
        <v>49850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21">
        <v>19</v>
      </c>
      <c r="B77" s="21">
        <v>1000000</v>
      </c>
      <c r="C77" s="21">
        <f t="shared" si="4"/>
        <v>150</v>
      </c>
      <c r="D77" s="21">
        <f t="shared" si="5"/>
        <v>49850</v>
      </c>
      <c r="E77" s="2"/>
      <c r="F77" s="21">
        <v>19</v>
      </c>
      <c r="G77" s="21">
        <v>500000</v>
      </c>
      <c r="H77" s="21">
        <f t="shared" si="6"/>
        <v>75</v>
      </c>
      <c r="I77" s="21">
        <f t="shared" si="7"/>
        <v>24925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21">
        <v>19</v>
      </c>
      <c r="B78" s="21">
        <v>1000000</v>
      </c>
      <c r="C78" s="21">
        <f t="shared" si="4"/>
        <v>150</v>
      </c>
      <c r="D78" s="21">
        <f t="shared" si="5"/>
        <v>49850</v>
      </c>
      <c r="E78" s="2"/>
      <c r="F78" s="21">
        <v>15.1</v>
      </c>
      <c r="G78" s="21">
        <v>1000000</v>
      </c>
      <c r="H78" s="21">
        <f t="shared" si="6"/>
        <v>1250</v>
      </c>
      <c r="I78" s="21">
        <f t="shared" si="7"/>
        <v>48750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21">
        <v>4</v>
      </c>
      <c r="B79" s="21">
        <v>2000000</v>
      </c>
      <c r="C79" s="21">
        <f t="shared" si="4"/>
        <v>12000</v>
      </c>
      <c r="D79" s="21">
        <f t="shared" si="5"/>
        <v>88000</v>
      </c>
      <c r="E79" s="2"/>
      <c r="F79" s="21">
        <v>4</v>
      </c>
      <c r="G79" s="21">
        <v>500000</v>
      </c>
      <c r="H79" s="21">
        <f t="shared" si="6"/>
        <v>3400</v>
      </c>
      <c r="I79" s="21">
        <f t="shared" si="7"/>
        <v>21600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21">
        <v>9</v>
      </c>
      <c r="B80" s="21">
        <v>250000</v>
      </c>
      <c r="C80" s="21">
        <f t="shared" si="4"/>
        <v>1050</v>
      </c>
      <c r="D80" s="21">
        <f t="shared" si="5"/>
        <v>11450</v>
      </c>
      <c r="E80" s="2"/>
      <c r="F80" s="21">
        <v>15</v>
      </c>
      <c r="G80" s="21">
        <v>500000</v>
      </c>
      <c r="H80" s="21" t="e">
        <f t="shared" si="6"/>
        <v>#N/A</v>
      </c>
      <c r="I80" s="21">
        <f t="shared" si="7"/>
        <v>24300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21">
        <v>15.1</v>
      </c>
      <c r="B81" s="21">
        <v>500000</v>
      </c>
      <c r="C81" s="21">
        <f t="shared" si="4"/>
        <v>625</v>
      </c>
      <c r="D81" s="21">
        <f t="shared" si="5"/>
        <v>24375</v>
      </c>
      <c r="E81" s="2"/>
      <c r="F81" s="21">
        <v>19</v>
      </c>
      <c r="G81" s="21">
        <v>500000</v>
      </c>
      <c r="H81" s="21">
        <f t="shared" si="6"/>
        <v>75</v>
      </c>
      <c r="I81" s="21">
        <f t="shared" si="7"/>
        <v>24925</v>
      </c>
      <c r="J81" s="1"/>
      <c r="K81" s="1"/>
      <c r="L81" s="56"/>
      <c r="M81" s="56"/>
      <c r="N81" s="56"/>
      <c r="O81" s="56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21">
        <v>15</v>
      </c>
      <c r="B82" s="21">
        <v>250000</v>
      </c>
      <c r="C82" s="21">
        <f>VLOOKUP(A82&amp;"|"&amp;B82,$O$3:$P$18,2,FALSE)</f>
        <v>350</v>
      </c>
      <c r="D82" s="21">
        <f>VLOOKUP(A82&amp;"|"&amp;B82,$Q$3:$R$18,2,FALSE)</f>
        <v>12150</v>
      </c>
      <c r="E82" s="2"/>
      <c r="F82" s="21">
        <v>15</v>
      </c>
      <c r="G82" s="21">
        <v>500000</v>
      </c>
      <c r="H82" s="21" t="e">
        <f t="shared" si="6"/>
        <v>#N/A</v>
      </c>
      <c r="I82" s="21">
        <f t="shared" si="7"/>
        <v>24300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21"/>
      <c r="B83" s="21"/>
      <c r="C83" s="21"/>
      <c r="D83" s="21"/>
      <c r="E83" s="2"/>
      <c r="F83" s="21">
        <v>15.1</v>
      </c>
      <c r="G83" s="21">
        <v>1000000</v>
      </c>
      <c r="H83" s="21">
        <f t="shared" si="6"/>
        <v>1250</v>
      </c>
      <c r="I83" s="21">
        <f t="shared" si="7"/>
        <v>48750</v>
      </c>
      <c r="J83" s="1"/>
      <c r="K83" s="1"/>
      <c r="L83" s="44"/>
      <c r="M83" s="44"/>
      <c r="N83" s="44"/>
      <c r="O83" s="44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1"/>
      <c r="B84" s="21"/>
      <c r="C84" s="21"/>
      <c r="D84" s="21"/>
      <c r="E84" s="2"/>
      <c r="F84" s="21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21" t="s">
        <v>16</v>
      </c>
      <c r="B85" s="21"/>
      <c r="C85" s="21" t="s">
        <v>182</v>
      </c>
      <c r="D85" s="21">
        <f>SUM(D75:D84)</f>
        <v>333175</v>
      </c>
      <c r="E85" s="2"/>
      <c r="F85" s="84" t="s">
        <v>16</v>
      </c>
      <c r="G85" s="85"/>
      <c r="H85" s="86"/>
      <c r="I85" s="21">
        <f>SUM(I75:I84)</f>
        <v>317250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thickTop="1" thickBo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21" t="s">
        <v>0</v>
      </c>
      <c r="B87" s="21" t="s">
        <v>53</v>
      </c>
      <c r="C87" s="21" t="s">
        <v>54</v>
      </c>
      <c r="D87" s="9">
        <v>45872</v>
      </c>
      <c r="E87" s="2"/>
      <c r="F87" s="21" t="s">
        <v>0</v>
      </c>
      <c r="G87" s="21" t="s">
        <v>55</v>
      </c>
      <c r="H87" s="21" t="s">
        <v>56</v>
      </c>
      <c r="I87" s="9">
        <v>45872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21" t="s">
        <v>6</v>
      </c>
      <c r="B88" s="21" t="s">
        <v>7</v>
      </c>
      <c r="C88" s="21" t="s">
        <v>8</v>
      </c>
      <c r="D88" s="21" t="s">
        <v>9</v>
      </c>
      <c r="E88" s="2"/>
      <c r="F88" s="21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21">
        <v>15.1</v>
      </c>
      <c r="B89" s="21">
        <v>1000000</v>
      </c>
      <c r="C89" s="21">
        <f>VLOOKUP(A89&amp;"|"&amp;B89,$O$3:$P$18,2,FALSE)</f>
        <v>1250</v>
      </c>
      <c r="D89" s="21">
        <f>VLOOKUP(A89&amp;"|"&amp;B89,$Q$3:$R$18,2,FALSE)</f>
        <v>48750</v>
      </c>
      <c r="E89" s="2"/>
      <c r="F89" s="21">
        <v>15.1</v>
      </c>
      <c r="G89" s="21">
        <v>500000</v>
      </c>
      <c r="H89" s="21">
        <f>VLOOKUP(F89&amp;"|"&amp;G89,$O$3:$P$16,2,FALSE)</f>
        <v>625</v>
      </c>
      <c r="I89" s="21">
        <f>VLOOKUP(F89&amp;"|"&amp;G89,$Q$3:$R$16,2,FALSE)</f>
        <v>24375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21">
        <v>19</v>
      </c>
      <c r="B90" s="21">
        <v>1000000</v>
      </c>
      <c r="C90" s="21">
        <f>VLOOKUP(A90&amp;"|"&amp;B90,$O$3:$P$18,2,FALSE)</f>
        <v>150</v>
      </c>
      <c r="D90" s="21">
        <f>VLOOKUP(A90&amp;"|"&amp;B90,$Q$3:$R$18,2,FALSE)</f>
        <v>49850</v>
      </c>
      <c r="E90" s="2"/>
      <c r="F90" s="21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21">
        <v>4</v>
      </c>
      <c r="B91" s="21">
        <v>2000000</v>
      </c>
      <c r="C91" s="21">
        <f>VLOOKUP(A91&amp;"|"&amp;B91,$O$3:$P$18,2,FALSE)</f>
        <v>12000</v>
      </c>
      <c r="D91" s="21">
        <f>VLOOKUP(A91&amp;"|"&amp;B91,$Q$3:$R$18,2,FALSE)</f>
        <v>88000</v>
      </c>
      <c r="E91" s="2"/>
      <c r="F91" s="21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21">
        <v>4</v>
      </c>
      <c r="B92" s="21">
        <v>2000000</v>
      </c>
      <c r="C92" s="21">
        <f>VLOOKUP(A92&amp;"|"&amp;B92,$O$3:$P$18,2,FALSE)</f>
        <v>12000</v>
      </c>
      <c r="D92" s="21">
        <f>VLOOKUP(A92&amp;"|"&amp;B92,$Q$3:$R$18,2,FALSE)</f>
        <v>88000</v>
      </c>
      <c r="E92" s="2"/>
      <c r="F92" s="21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1"/>
      <c r="B93" s="21"/>
      <c r="C93" s="21"/>
      <c r="D93" s="21"/>
      <c r="E93" s="2"/>
      <c r="F93" s="21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1" t="s">
        <v>16</v>
      </c>
      <c r="B94" s="21"/>
      <c r="C94" s="21"/>
      <c r="D94" s="21">
        <f>SUM(D89:D93)</f>
        <v>274600</v>
      </c>
      <c r="E94" s="2"/>
      <c r="F94" s="84" t="s">
        <v>16</v>
      </c>
      <c r="G94" s="85"/>
      <c r="H94" s="86"/>
      <c r="I94" s="21">
        <f>SUM(I89:I93)</f>
        <v>24375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thickTop="1" thickBo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1" t="s">
        <v>0</v>
      </c>
      <c r="B96" s="21" t="s">
        <v>57</v>
      </c>
      <c r="C96" s="21" t="s">
        <v>58</v>
      </c>
      <c r="D96" s="9">
        <v>45872</v>
      </c>
      <c r="E96" s="2"/>
      <c r="F96" s="21" t="s">
        <v>0</v>
      </c>
      <c r="G96" s="21" t="s">
        <v>59</v>
      </c>
      <c r="H96" s="21" t="s">
        <v>60</v>
      </c>
      <c r="I96" s="9">
        <v>45872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1" t="s">
        <v>6</v>
      </c>
      <c r="B97" s="21" t="s">
        <v>7</v>
      </c>
      <c r="C97" s="21" t="s">
        <v>8</v>
      </c>
      <c r="D97" s="21" t="s">
        <v>9</v>
      </c>
      <c r="E97" s="2"/>
      <c r="F97" s="21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21">
        <v>15</v>
      </c>
      <c r="B98" s="21">
        <v>500000</v>
      </c>
      <c r="C98" s="21" t="e">
        <f>VLOOKUP(A98&amp;"|"&amp;B98,$O$3:$P$16,2,FALSE)</f>
        <v>#N/A</v>
      </c>
      <c r="D98" s="21">
        <f>VLOOKUP(A98&amp;"|"&amp;B98,$Q$3:$R$16,2,FALSE)</f>
        <v>24300</v>
      </c>
      <c r="E98" s="2"/>
      <c r="F98" s="21">
        <v>15</v>
      </c>
      <c r="G98" s="21">
        <v>1000000</v>
      </c>
      <c r="H98" s="21">
        <f>VLOOKUP(F98&amp;"|"&amp;G98,$O$3:$P$16,2,FALSE)</f>
        <v>1250</v>
      </c>
      <c r="I98" s="21">
        <f>VLOOKUP(F98&amp;"|"&amp;G98,$Q$3:$R$16,2,FALSE)</f>
        <v>48750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21">
        <v>4</v>
      </c>
      <c r="B99" s="21">
        <v>500000</v>
      </c>
      <c r="C99" s="21">
        <f>VLOOKUP(A99&amp;"|"&amp;B99,$O$3:$P$16,2,FALSE)</f>
        <v>3400</v>
      </c>
      <c r="D99" s="21">
        <f>VLOOKUP(A99&amp;"|"&amp;B99,$Q$3:$R$16,2,FALSE)</f>
        <v>21600</v>
      </c>
      <c r="E99" s="2"/>
      <c r="F99" s="21">
        <v>15.1</v>
      </c>
      <c r="G99" s="21">
        <v>1000000</v>
      </c>
      <c r="H99" s="21">
        <f>VLOOKUP(F99&amp;"|"&amp;G99,$O$3:$P$16,2,FALSE)</f>
        <v>1250</v>
      </c>
      <c r="I99" s="21">
        <f>VLOOKUP(F99&amp;"|"&amp;G99,$Q$3:$R$16,2,FALSE)</f>
        <v>48750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1"/>
      <c r="B100" s="21"/>
      <c r="C100" s="21"/>
      <c r="D100" s="21"/>
      <c r="E100" s="2"/>
      <c r="F100" s="21">
        <v>19</v>
      </c>
      <c r="G100" s="21">
        <v>1000000</v>
      </c>
      <c r="H100" s="21">
        <f>VLOOKUP(F100&amp;"|"&amp;G100,$O$3:$P$16,2,FALSE)</f>
        <v>150</v>
      </c>
      <c r="I100" s="21">
        <f>VLOOKUP(F100&amp;"|"&amp;G100,$Q$3:$R$16,2,FALSE)</f>
        <v>49850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1"/>
      <c r="B101" s="21"/>
      <c r="C101" s="21"/>
      <c r="D101" s="21"/>
      <c r="E101" s="2"/>
      <c r="F101" s="21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1"/>
      <c r="B102" s="21"/>
      <c r="C102" s="21"/>
      <c r="D102" s="21"/>
      <c r="E102" s="2"/>
      <c r="F102" s="21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1" t="s">
        <v>16</v>
      </c>
      <c r="B103" s="21"/>
      <c r="C103" s="21"/>
      <c r="D103" s="21">
        <f>SUM(D98:D102)</f>
        <v>45900</v>
      </c>
      <c r="E103" s="2"/>
      <c r="F103" s="84" t="s">
        <v>16</v>
      </c>
      <c r="G103" s="85"/>
      <c r="H103" s="86"/>
      <c r="I103" s="21">
        <f>SUM(I98:I102)</f>
        <v>147350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thickTop="1" thickBo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1" t="s">
        <v>0</v>
      </c>
      <c r="B105" s="21" t="s">
        <v>61</v>
      </c>
      <c r="C105" s="21" t="s">
        <v>62</v>
      </c>
      <c r="D105" s="9">
        <v>45872</v>
      </c>
      <c r="E105" s="2"/>
      <c r="F105" s="21" t="s">
        <v>0</v>
      </c>
      <c r="G105" s="21" t="s">
        <v>63</v>
      </c>
      <c r="H105" s="21" t="s">
        <v>34</v>
      </c>
      <c r="I105" s="9">
        <v>45872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1" t="s">
        <v>6</v>
      </c>
      <c r="B106" s="21" t="s">
        <v>7</v>
      </c>
      <c r="C106" s="21" t="s">
        <v>8</v>
      </c>
      <c r="D106" s="21" t="s">
        <v>9</v>
      </c>
      <c r="E106" s="2"/>
      <c r="F106" s="21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21">
        <v>15</v>
      </c>
      <c r="B107" s="21">
        <v>500000</v>
      </c>
      <c r="C107" s="21" t="e">
        <f>VLOOKUP(A107&amp;"|"&amp;B107,$O$3:$P$16,2,FALSE)</f>
        <v>#N/A</v>
      </c>
      <c r="D107" s="21">
        <f>VLOOKUP(A107&amp;"|"&amp;B107,$Q$3:$R$16,2,FALSE)</f>
        <v>24300</v>
      </c>
      <c r="E107" s="2"/>
      <c r="F107" s="21">
        <v>15</v>
      </c>
      <c r="G107" s="21">
        <v>500000</v>
      </c>
      <c r="H107" s="21" t="e">
        <f>VLOOKUP(F107&amp;"|"&amp;G107,$O$3:$P$16,2,FALSE)</f>
        <v>#N/A</v>
      </c>
      <c r="I107" s="21">
        <f>VLOOKUP(F107&amp;"|"&amp;G107,$Q$3:$R$16,2,FALSE)</f>
        <v>24300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1"/>
      <c r="B108" s="21"/>
      <c r="C108" s="21"/>
      <c r="D108" s="21"/>
      <c r="E108" s="2"/>
      <c r="F108" s="21">
        <v>15</v>
      </c>
      <c r="G108" s="21">
        <v>1000000</v>
      </c>
      <c r="H108" s="21">
        <f>VLOOKUP(F108&amp;"|"&amp;G108,$O$3:$P$16,2,FALSE)</f>
        <v>1250</v>
      </c>
      <c r="I108" s="21">
        <f>VLOOKUP(F108&amp;"|"&amp;G108,$Q$3:$R$16,2,FALSE)</f>
        <v>48750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1"/>
      <c r="B109" s="21"/>
      <c r="C109" s="21"/>
      <c r="D109" s="21"/>
      <c r="E109" s="2"/>
      <c r="F109" s="21">
        <v>4</v>
      </c>
      <c r="G109" s="21">
        <v>2000000</v>
      </c>
      <c r="H109" s="21">
        <f>VLOOKUP(F109&amp;"|"&amp;G109,$O$3:$P$16,2,FALSE)</f>
        <v>12000</v>
      </c>
      <c r="I109" s="21">
        <f>VLOOKUP(F109&amp;"|"&amp;G109,$Q$3:$R$16,2,FALSE)</f>
        <v>88000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1"/>
      <c r="B110" s="21"/>
      <c r="C110" s="21"/>
      <c r="D110" s="21"/>
      <c r="E110" s="2"/>
      <c r="F110" s="21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1"/>
      <c r="B111" s="21"/>
      <c r="C111" s="21"/>
      <c r="D111" s="21"/>
      <c r="E111" s="2"/>
      <c r="F111" s="21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1" t="s">
        <v>16</v>
      </c>
      <c r="B112" s="21"/>
      <c r="C112" s="21"/>
      <c r="D112" s="21">
        <f>SUM(D107:D111)</f>
        <v>24300</v>
      </c>
      <c r="E112" s="2"/>
      <c r="F112" s="84" t="s">
        <v>16</v>
      </c>
      <c r="G112" s="85"/>
      <c r="H112" s="86"/>
      <c r="I112" s="21">
        <f>SUM(I107:I111)</f>
        <v>161050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thickTop="1" thickBo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1" t="s">
        <v>0</v>
      </c>
      <c r="B114" s="21" t="s">
        <v>47</v>
      </c>
      <c r="C114" s="21" t="s">
        <v>39</v>
      </c>
      <c r="D114" s="9">
        <v>45872</v>
      </c>
      <c r="E114" s="2"/>
      <c r="F114" s="21" t="s">
        <v>0</v>
      </c>
      <c r="G114" s="21" t="s">
        <v>64</v>
      </c>
      <c r="H114" s="21" t="s">
        <v>65</v>
      </c>
      <c r="I114" s="9">
        <v>45872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1" t="s">
        <v>6</v>
      </c>
      <c r="B115" s="21" t="s">
        <v>7</v>
      </c>
      <c r="C115" s="21" t="s">
        <v>8</v>
      </c>
      <c r="D115" s="21" t="s">
        <v>9</v>
      </c>
      <c r="E115" s="2"/>
      <c r="F115" s="21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21">
        <v>15</v>
      </c>
      <c r="B116" s="21">
        <v>500000</v>
      </c>
      <c r="C116" s="21" t="e">
        <f>VLOOKUP(A116&amp;"|"&amp;B116,$O$3:$P$16,2,FALSE)</f>
        <v>#N/A</v>
      </c>
      <c r="D116" s="21">
        <f>VLOOKUP(A116&amp;"|"&amp;B116,$Q$3:$R$16,2,FALSE)</f>
        <v>24300</v>
      </c>
      <c r="E116" s="2"/>
      <c r="F116" s="21">
        <v>15</v>
      </c>
      <c r="G116" s="21">
        <v>1000000</v>
      </c>
      <c r="H116" s="21">
        <f>VLOOKUP(F116&amp;"|"&amp;G116,$O$3:$P$16,2,FALSE)</f>
        <v>1250</v>
      </c>
      <c r="I116" s="21">
        <f>VLOOKUP(F116&amp;"|"&amp;G116,$Q$3:$R$16,2,FALSE)</f>
        <v>48750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21">
        <v>19</v>
      </c>
      <c r="B117" s="21">
        <v>500000</v>
      </c>
      <c r="C117" s="21">
        <f>VLOOKUP(A117&amp;"|"&amp;B117,$O$3:$P$16,2,FALSE)</f>
        <v>75</v>
      </c>
      <c r="D117" s="21">
        <f>VLOOKUP(A117&amp;"|"&amp;B117,$Q$3:$R$16,2,FALSE)</f>
        <v>24925</v>
      </c>
      <c r="E117" s="2"/>
      <c r="F117" s="21">
        <v>4</v>
      </c>
      <c r="G117" s="21">
        <v>2000000</v>
      </c>
      <c r="H117" s="21">
        <f>VLOOKUP(F117&amp;"|"&amp;G117,$O$3:$P$17,2,FALSE)</f>
        <v>12000</v>
      </c>
      <c r="I117" s="21">
        <f>VLOOKUP(F117&amp;"|"&amp;G117,$Q$3:$R$17,2,FALSE)</f>
        <v>88000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21">
        <v>9</v>
      </c>
      <c r="B118" s="21">
        <v>500000</v>
      </c>
      <c r="C118" s="21">
        <f>VLOOKUP(A118&amp;"|"&amp;B118,$O$3:$P$16,2,FALSE)</f>
        <v>2100</v>
      </c>
      <c r="D118" s="21">
        <f>VLOOKUP(A118&amp;"|"&amp;B118,$Q$3:$R$16,2,FALSE)</f>
        <v>22900</v>
      </c>
      <c r="E118" s="2"/>
      <c r="F118" s="21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21">
        <v>9</v>
      </c>
      <c r="B119" s="21">
        <v>500000</v>
      </c>
      <c r="C119" s="21">
        <f>VLOOKUP(A119&amp;"|"&amp;B119,$O$3:$P$16,2,FALSE)</f>
        <v>2100</v>
      </c>
      <c r="D119" s="21">
        <f>VLOOKUP(A119&amp;"|"&amp;B119,$Q$3:$R$16,2,FALSE)</f>
        <v>22900</v>
      </c>
      <c r="E119" s="2"/>
      <c r="F119" s="21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1"/>
      <c r="B120" s="21"/>
      <c r="C120" s="21"/>
      <c r="D120" s="21"/>
      <c r="E120" s="2"/>
      <c r="F120" s="21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1" t="s">
        <v>16</v>
      </c>
      <c r="B121" s="21"/>
      <c r="C121" s="21"/>
      <c r="D121" s="21">
        <f>SUM(D116:D120)</f>
        <v>95025</v>
      </c>
      <c r="E121" s="2"/>
      <c r="F121" s="84" t="s">
        <v>16</v>
      </c>
      <c r="G121" s="85"/>
      <c r="H121" s="86"/>
      <c r="I121" s="21">
        <f>SUM(I116:I120)</f>
        <v>136750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thickTop="1" thickBo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1" t="s">
        <v>0</v>
      </c>
      <c r="B123" s="21" t="s">
        <v>66</v>
      </c>
      <c r="C123" s="21" t="s">
        <v>67</v>
      </c>
      <c r="D123" s="9">
        <v>45872</v>
      </c>
      <c r="E123" s="2"/>
      <c r="F123" s="21" t="s">
        <v>0</v>
      </c>
      <c r="G123" s="21" t="s">
        <v>68</v>
      </c>
      <c r="H123" s="21" t="s">
        <v>69</v>
      </c>
      <c r="I123" s="9">
        <v>45872</v>
      </c>
      <c r="J123" s="1"/>
      <c r="K123" s="1"/>
      <c r="L123" s="1"/>
      <c r="M123" s="1" t="s">
        <v>70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1" t="s">
        <v>6</v>
      </c>
      <c r="B124" s="21" t="s">
        <v>7</v>
      </c>
      <c r="C124" s="21" t="s">
        <v>8</v>
      </c>
      <c r="D124" s="21" t="s">
        <v>9</v>
      </c>
      <c r="E124" s="2"/>
      <c r="F124" s="21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21">
        <v>15</v>
      </c>
      <c r="B125" s="21">
        <v>500000</v>
      </c>
      <c r="C125" s="21" t="e">
        <f>VLOOKUP(A125&amp;"|"&amp;B125,$O$3:$P$16,2,FALSE)</f>
        <v>#N/A</v>
      </c>
      <c r="D125" s="21">
        <f>VLOOKUP(A125&amp;"|"&amp;B125,$Q$3:$R$16,2,FALSE)</f>
        <v>24300</v>
      </c>
      <c r="E125" s="2"/>
      <c r="F125" s="21">
        <v>15</v>
      </c>
      <c r="G125" s="21">
        <v>1000000</v>
      </c>
      <c r="H125" s="21">
        <f>VLOOKUP(F125&amp;"|"&amp;G125,$O$3:$P$16,2,FALSE)</f>
        <v>1250</v>
      </c>
      <c r="I125" s="21">
        <f>VLOOKUP(F125&amp;"|"&amp;G125,$Q$3:$R$16,2,FALSE)</f>
        <v>48750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21">
        <v>4</v>
      </c>
      <c r="B126" s="21">
        <v>2000000</v>
      </c>
      <c r="C126" s="21">
        <f>VLOOKUP(A126&amp;"|"&amp;B126,$O$3:$P$16,2,FALSE)</f>
        <v>12000</v>
      </c>
      <c r="D126" s="21">
        <f>VLOOKUP(A126&amp;"|"&amp;B126,$Q$3:$R$16,2,FALSE)</f>
        <v>88000</v>
      </c>
      <c r="E126" s="2"/>
      <c r="F126" s="21">
        <v>9</v>
      </c>
      <c r="G126" s="21">
        <v>500000</v>
      </c>
      <c r="H126" s="21">
        <f>VLOOKUP(F126&amp;"|"&amp;G126,$O$3:$P$16,2,FALSE)</f>
        <v>2100</v>
      </c>
      <c r="I126" s="21">
        <f>VLOOKUP(F126&amp;"|"&amp;G126,$Q$3:$R$16,2,FALSE)</f>
        <v>22900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1"/>
      <c r="B127" s="21"/>
      <c r="C127" s="21"/>
      <c r="D127" s="21"/>
      <c r="E127" s="2"/>
      <c r="F127" s="21">
        <v>9</v>
      </c>
      <c r="G127" s="21">
        <v>500000</v>
      </c>
      <c r="H127" s="21">
        <f>VLOOKUP(F127&amp;"|"&amp;G127,$O$3:$P$16,2,FALSE)</f>
        <v>2100</v>
      </c>
      <c r="I127" s="21">
        <f>VLOOKUP(F127&amp;"|"&amp;G127,$Q$3:$R$16,2,FALSE)</f>
        <v>22900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1"/>
      <c r="B128" s="21"/>
      <c r="C128" s="21"/>
      <c r="D128" s="21"/>
      <c r="E128" s="2"/>
      <c r="F128" s="21">
        <v>19</v>
      </c>
      <c r="G128" s="21">
        <v>500000</v>
      </c>
      <c r="H128" s="21">
        <f>VLOOKUP(F128&amp;"|"&amp;G128,$O$3:$P$16,2,FALSE)</f>
        <v>75</v>
      </c>
      <c r="I128" s="21">
        <f>VLOOKUP(F128&amp;"|"&amp;G128,$Q$3:$R$16,2,FALSE)</f>
        <v>24925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1"/>
      <c r="B129" s="21"/>
      <c r="C129" s="21"/>
      <c r="D129" s="21"/>
      <c r="E129" s="2"/>
      <c r="F129" s="21"/>
      <c r="G129" s="21"/>
      <c r="H129" s="21"/>
      <c r="I129" s="2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1" t="s">
        <v>16</v>
      </c>
      <c r="B130" s="21"/>
      <c r="C130" s="21"/>
      <c r="D130" s="21">
        <f>SUM(D125:D129)</f>
        <v>112300</v>
      </c>
      <c r="E130" s="2"/>
      <c r="F130" s="84" t="s">
        <v>16</v>
      </c>
      <c r="G130" s="85"/>
      <c r="H130" s="86"/>
      <c r="I130" s="21">
        <f>SUM(I125:I129)</f>
        <v>119475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thickTop="1" thickBo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1" t="s">
        <v>0</v>
      </c>
      <c r="B132" s="21" t="s">
        <v>71</v>
      </c>
      <c r="C132" s="21" t="s">
        <v>72</v>
      </c>
      <c r="D132" s="9">
        <v>45872</v>
      </c>
      <c r="E132" s="2"/>
      <c r="F132" s="21" t="s">
        <v>0</v>
      </c>
      <c r="G132" s="21" t="s">
        <v>73</v>
      </c>
      <c r="H132" s="21" t="s">
        <v>74</v>
      </c>
      <c r="I132" s="9">
        <v>45872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1" t="s">
        <v>6</v>
      </c>
      <c r="B133" s="21" t="s">
        <v>7</v>
      </c>
      <c r="C133" s="21" t="s">
        <v>8</v>
      </c>
      <c r="D133" s="21" t="s">
        <v>9</v>
      </c>
      <c r="E133" s="2"/>
      <c r="F133" s="21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21">
        <v>15</v>
      </c>
      <c r="B134" s="21">
        <v>500000</v>
      </c>
      <c r="C134" s="21" t="e">
        <f>VLOOKUP(A134&amp;"|"&amp;B134,$O$3:$P$16,2,FALSE)</f>
        <v>#N/A</v>
      </c>
      <c r="D134" s="21">
        <f>VLOOKUP(A134&amp;"|"&amp;B134,$Q$3:$R$16,2,FALSE)</f>
        <v>24300</v>
      </c>
      <c r="E134" s="2"/>
      <c r="F134" s="21">
        <v>15</v>
      </c>
      <c r="G134" s="21">
        <v>500000</v>
      </c>
      <c r="H134" s="21" t="e">
        <f>VLOOKUP(F134&amp;"|"&amp;G134,$O$3:$P$16,2,FALSE)</f>
        <v>#N/A</v>
      </c>
      <c r="I134" s="21">
        <f>VLOOKUP(F134&amp;"|"&amp;G134,$Q$3:$R$16,2,FALSE)</f>
        <v>24300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21">
        <v>19</v>
      </c>
      <c r="B135" s="21">
        <v>500000</v>
      </c>
      <c r="C135" s="21">
        <f>VLOOKUP(A135&amp;"|"&amp;B135,$O$3:$P$16,2,FALSE)</f>
        <v>75</v>
      </c>
      <c r="D135" s="21">
        <f>VLOOKUP(A135&amp;"|"&amp;B135,$Q$3:$R$16,2,FALSE)</f>
        <v>24925</v>
      </c>
      <c r="E135" s="2"/>
      <c r="F135" s="21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1"/>
      <c r="B136" s="21"/>
      <c r="C136" s="21"/>
      <c r="D136" s="21"/>
      <c r="E136" s="2"/>
      <c r="F136" s="21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1"/>
      <c r="B137" s="21"/>
      <c r="C137" s="21"/>
      <c r="D137" s="21"/>
      <c r="E137" s="2"/>
      <c r="F137" s="21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1"/>
      <c r="B138" s="21"/>
      <c r="C138" s="21"/>
      <c r="D138" s="21"/>
      <c r="E138" s="2"/>
      <c r="F138" s="21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1" t="s">
        <v>16</v>
      </c>
      <c r="B139" s="21"/>
      <c r="C139" s="21"/>
      <c r="D139" s="21">
        <f>SUM(D134:D138)</f>
        <v>49225</v>
      </c>
      <c r="E139" s="2"/>
      <c r="F139" s="84" t="s">
        <v>16</v>
      </c>
      <c r="G139" s="85"/>
      <c r="H139" s="86"/>
      <c r="I139" s="21">
        <f>SUM(I134:I138)</f>
        <v>24300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thickTop="1" thickBo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1" t="s">
        <v>0</v>
      </c>
      <c r="B141" s="21" t="s">
        <v>75</v>
      </c>
      <c r="C141" s="21" t="s">
        <v>76</v>
      </c>
      <c r="D141" s="9">
        <v>45872</v>
      </c>
      <c r="E141" s="2"/>
      <c r="F141" s="12" t="s">
        <v>3</v>
      </c>
      <c r="G141" s="12" t="s">
        <v>77</v>
      </c>
      <c r="H141" s="12" t="s">
        <v>78</v>
      </c>
      <c r="I141" s="9">
        <v>45872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1" t="s">
        <v>6</v>
      </c>
      <c r="B142" s="21" t="s">
        <v>7</v>
      </c>
      <c r="C142" s="21" t="s">
        <v>8</v>
      </c>
      <c r="D142" s="21" t="s">
        <v>9</v>
      </c>
      <c r="E142" s="2"/>
      <c r="F142" s="21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21">
        <v>15</v>
      </c>
      <c r="B143" s="21">
        <v>500000</v>
      </c>
      <c r="C143" s="21" t="e">
        <f>VLOOKUP(A143&amp;"|"&amp;B143,$O$3:$P$16,2,FALSE)</f>
        <v>#N/A</v>
      </c>
      <c r="D143" s="21">
        <f>VLOOKUP(A143&amp;"|"&amp;B143,$Q$3:$R$16,2,FALSE)</f>
        <v>24300</v>
      </c>
      <c r="E143" s="2"/>
      <c r="F143" s="21">
        <v>19</v>
      </c>
      <c r="G143" s="21">
        <v>1000000</v>
      </c>
      <c r="H143" s="21">
        <f>VLOOKUP(F143&amp;"|"&amp;G143,$O$3:$P$18,2,FALSE)</f>
        <v>150</v>
      </c>
      <c r="I143" s="21">
        <f>VLOOKUP(F143&amp;"|"&amp;G143,$Q$3:$R$17,2,FALSE)</f>
        <v>49850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21">
        <v>9</v>
      </c>
      <c r="B144" s="21">
        <v>500000</v>
      </c>
      <c r="C144" s="21">
        <f>VLOOKUP(A144&amp;"|"&amp;B144,$O$3:$P$16,2,FALSE)</f>
        <v>2100</v>
      </c>
      <c r="D144" s="21">
        <f>VLOOKUP(A144&amp;"|"&amp;B144,$Q$3:$R$16,2,FALSE)</f>
        <v>22900</v>
      </c>
      <c r="E144" s="2"/>
      <c r="F144" s="21">
        <v>19</v>
      </c>
      <c r="G144" s="21">
        <v>1000000</v>
      </c>
      <c r="H144" s="21">
        <f>VLOOKUP(F144&amp;"|"&amp;G144,$O$3:$P$17,2,FALSE)</f>
        <v>150</v>
      </c>
      <c r="I144" s="21">
        <f>VLOOKUP(F144&amp;"|"&amp;G144,$Q$3:$R$17,2,FALSE)</f>
        <v>49850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21">
        <v>12</v>
      </c>
      <c r="B145" s="21">
        <v>500000</v>
      </c>
      <c r="C145" s="21">
        <f>VLOOKUP(A145&amp;"|"&amp;B145,$O$3:$P$16,2,FALSE)</f>
        <v>1300</v>
      </c>
      <c r="D145" s="21">
        <f>VLOOKUP(A145&amp;"|"&amp;B145,$Q$3:$R$16,2,FALSE)</f>
        <v>23700</v>
      </c>
      <c r="E145" s="2"/>
      <c r="F145" s="21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21">
        <v>19</v>
      </c>
      <c r="B146" s="21">
        <v>1000000</v>
      </c>
      <c r="C146" s="21">
        <f>VLOOKUP(A146&amp;"|"&amp;B146,$O$3:$P$16,2,FALSE)</f>
        <v>150</v>
      </c>
      <c r="D146" s="21">
        <f>VLOOKUP(A146&amp;"|"&amp;B146,$Q$3:$R$16,2,FALSE)</f>
        <v>49850</v>
      </c>
      <c r="E146" s="2"/>
      <c r="F146" s="21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1"/>
      <c r="B147" s="21"/>
      <c r="C147" s="21"/>
      <c r="D147" s="21"/>
      <c r="E147" s="2"/>
      <c r="F147" s="21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1" t="s">
        <v>16</v>
      </c>
      <c r="B148" s="21"/>
      <c r="C148" s="21"/>
      <c r="D148" s="21">
        <f>SUM(D143:D147)</f>
        <v>120750</v>
      </c>
      <c r="E148" s="2"/>
      <c r="F148" s="84" t="s">
        <v>16</v>
      </c>
      <c r="G148" s="85"/>
      <c r="H148" s="86"/>
      <c r="I148" s="21">
        <f>SUM(I143:I147)</f>
        <v>99700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2"/>
      <c r="B149" s="2"/>
      <c r="C149" s="2"/>
      <c r="D149" s="2"/>
      <c r="E149" s="2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1" t="s">
        <v>0</v>
      </c>
      <c r="B150" s="21" t="s">
        <v>192</v>
      </c>
      <c r="C150" s="21" t="s">
        <v>193</v>
      </c>
      <c r="D150" s="9">
        <v>45872</v>
      </c>
      <c r="E150" s="2"/>
      <c r="F150" s="21" t="s">
        <v>0</v>
      </c>
      <c r="G150" s="21" t="s">
        <v>80</v>
      </c>
      <c r="H150" s="21" t="s">
        <v>81</v>
      </c>
      <c r="I150" s="9">
        <v>45872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1" t="s">
        <v>6</v>
      </c>
      <c r="B151" s="21" t="s">
        <v>7</v>
      </c>
      <c r="C151" s="21" t="s">
        <v>8</v>
      </c>
      <c r="D151" s="21" t="s">
        <v>9</v>
      </c>
      <c r="E151" s="2"/>
      <c r="F151" s="21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21">
        <v>19</v>
      </c>
      <c r="B152" s="21">
        <v>1000000</v>
      </c>
      <c r="C152" s="21">
        <f>VLOOKUP(A152&amp;"|"&amp;B152,$O$3:$P$16,2,FALSE)</f>
        <v>150</v>
      </c>
      <c r="D152" s="21">
        <f>VLOOKUP(A152&amp;"|"&amp;B152,$Q$3:$R$16,2,FALSE)</f>
        <v>49850</v>
      </c>
      <c r="E152" s="10"/>
      <c r="F152" s="21">
        <v>15</v>
      </c>
      <c r="G152" s="21">
        <v>500000</v>
      </c>
      <c r="H152" s="21" t="e">
        <f>VLOOKUP(F152&amp;"|"&amp;G152,$O$3:$P$16,2,FALSE)</f>
        <v>#N/A</v>
      </c>
      <c r="I152" s="21">
        <f>VLOOKUP(F152&amp;"|"&amp;G152,$Q$3:$R$16,2,FALSE)</f>
        <v>24300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1"/>
      <c r="B153" s="21"/>
      <c r="C153" s="21"/>
      <c r="D153" s="21"/>
      <c r="E153" s="2"/>
      <c r="F153" s="21">
        <v>12</v>
      </c>
      <c r="G153" s="21">
        <v>500000</v>
      </c>
      <c r="H153" s="21">
        <f>VLOOKUP(F153&amp;"|"&amp;G153,$O$3:$P$16,2,FALSE)</f>
        <v>1300</v>
      </c>
      <c r="I153" s="21">
        <f>VLOOKUP(F153&amp;"|"&amp;G153,$Q$3:$R$16,2,FALSE)</f>
        <v>23700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1"/>
      <c r="B154" s="21"/>
      <c r="C154" s="21"/>
      <c r="D154" s="21"/>
      <c r="E154" s="2"/>
      <c r="F154" s="21">
        <v>19</v>
      </c>
      <c r="G154" s="21">
        <v>500000</v>
      </c>
      <c r="H154" s="21">
        <f>VLOOKUP(F154&amp;"|"&amp;G154,$O$3:$P$16,2,FALSE)</f>
        <v>75</v>
      </c>
      <c r="I154" s="21">
        <f>VLOOKUP(F154&amp;"|"&amp;G154,$Q$3:$R$16,2,FALSE)</f>
        <v>24925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1"/>
      <c r="B155" s="21"/>
      <c r="C155" s="21"/>
      <c r="D155" s="21"/>
      <c r="E155" s="2"/>
      <c r="F155" s="21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1"/>
      <c r="B156" s="21"/>
      <c r="C156" s="21"/>
      <c r="D156" s="21"/>
      <c r="E156" s="2"/>
      <c r="F156" s="21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1" t="s">
        <v>16</v>
      </c>
      <c r="B157" s="21"/>
      <c r="C157" s="21"/>
      <c r="D157" s="21">
        <f>SUM(D152:D156)</f>
        <v>49850</v>
      </c>
      <c r="E157" s="2"/>
      <c r="F157" s="84" t="s">
        <v>16</v>
      </c>
      <c r="G157" s="85"/>
      <c r="H157" s="86"/>
      <c r="I157" s="21">
        <f>SUM(I152:I156)</f>
        <v>72925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thickTop="1" thickBo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1" t="s">
        <v>0</v>
      </c>
      <c r="B159" s="21" t="s">
        <v>82</v>
      </c>
      <c r="C159" s="21" t="s">
        <v>24</v>
      </c>
      <c r="D159" s="9">
        <v>45872</v>
      </c>
      <c r="E159" s="2"/>
      <c r="F159" s="21" t="s">
        <v>0</v>
      </c>
      <c r="G159" s="21" t="s">
        <v>21</v>
      </c>
      <c r="H159" s="21" t="s">
        <v>83</v>
      </c>
      <c r="I159" s="9">
        <v>45872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1" t="s">
        <v>6</v>
      </c>
      <c r="B160" s="21" t="s">
        <v>7</v>
      </c>
      <c r="C160" s="21" t="s">
        <v>8</v>
      </c>
      <c r="D160" s="21" t="s">
        <v>9</v>
      </c>
      <c r="E160" s="2"/>
      <c r="F160" s="21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21">
        <v>15.1</v>
      </c>
      <c r="B161" s="21">
        <v>1000000</v>
      </c>
      <c r="C161" s="21">
        <f>VLOOKUP(A161&amp;"|"&amp;B161,$O$3:$P$16,2,FALSE)</f>
        <v>1250</v>
      </c>
      <c r="D161" s="21">
        <f>VLOOKUP(A161&amp;"|"&amp;B161,$Q$3:$R$16,2,FALSE)</f>
        <v>48750</v>
      </c>
      <c r="E161" s="2"/>
      <c r="F161" s="21">
        <v>15.1</v>
      </c>
      <c r="G161" s="21">
        <v>1000000</v>
      </c>
      <c r="H161" s="21">
        <f>VLOOKUP(F161&amp;"|"&amp;G161,$O$3:$P$16,2,FALSE)</f>
        <v>1250</v>
      </c>
      <c r="I161" s="21">
        <f>VLOOKUP(F161&amp;"|"&amp;G161,$Q$3:$R$16,2,FALSE)</f>
        <v>48750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1"/>
      <c r="B162" s="21"/>
      <c r="C162" s="21"/>
      <c r="D162" s="21"/>
      <c r="E162" s="2"/>
      <c r="F162" s="21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1"/>
      <c r="B163" s="21"/>
      <c r="C163" s="21"/>
      <c r="D163" s="21"/>
      <c r="E163" s="2"/>
      <c r="F163" s="21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1"/>
      <c r="B164" s="21"/>
      <c r="C164" s="21"/>
      <c r="D164" s="21"/>
      <c r="E164" s="2"/>
      <c r="F164" s="21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1"/>
      <c r="B165" s="21"/>
      <c r="C165" s="21"/>
      <c r="D165" s="21"/>
      <c r="E165" s="2"/>
      <c r="F165" s="21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1" t="s">
        <v>16</v>
      </c>
      <c r="B166" s="21"/>
      <c r="C166" s="21"/>
      <c r="D166" s="21">
        <f>SUM(D161:D165)</f>
        <v>48750</v>
      </c>
      <c r="E166" s="2"/>
      <c r="F166" s="84" t="s">
        <v>16</v>
      </c>
      <c r="G166" s="85"/>
      <c r="H166" s="86"/>
      <c r="I166" s="21">
        <f>SUM(I161:I165)</f>
        <v>48750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thickTop="1" thickBo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1" t="s">
        <v>0</v>
      </c>
      <c r="B168" s="21" t="s">
        <v>84</v>
      </c>
      <c r="C168" s="21" t="s">
        <v>72</v>
      </c>
      <c r="D168" s="9">
        <v>45872</v>
      </c>
      <c r="E168" s="2"/>
      <c r="F168" s="21" t="s">
        <v>0</v>
      </c>
      <c r="G168" s="21" t="s">
        <v>29</v>
      </c>
      <c r="H168" s="21" t="s">
        <v>43</v>
      </c>
      <c r="I168" s="9">
        <v>45872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1" t="s">
        <v>6</v>
      </c>
      <c r="B169" s="21" t="s">
        <v>7</v>
      </c>
      <c r="C169" s="21" t="s">
        <v>8</v>
      </c>
      <c r="D169" s="21" t="s">
        <v>9</v>
      </c>
      <c r="E169" s="2"/>
      <c r="F169" s="21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21">
        <v>15.1</v>
      </c>
      <c r="B170" s="21">
        <v>1000000</v>
      </c>
      <c r="C170" s="21">
        <f>VLOOKUP(A170&amp;"|"&amp;B170,$O$3:$P$16,2,FALSE)</f>
        <v>1250</v>
      </c>
      <c r="D170" s="21">
        <f>VLOOKUP(A170&amp;"|"&amp;B170,$Q$3:$R$16,2,FALSE)</f>
        <v>48750</v>
      </c>
      <c r="E170" s="2" t="s">
        <v>85</v>
      </c>
      <c r="F170" s="21">
        <v>15</v>
      </c>
      <c r="G170" s="21">
        <v>1000000</v>
      </c>
      <c r="H170" s="21">
        <f>VLOOKUP(F170&amp;"|"&amp;G170,$O$3:$P$16,2,FALSE)</f>
        <v>1250</v>
      </c>
      <c r="I170" s="21">
        <f>VLOOKUP(F170&amp;"|"&amp;G170,$Q$3:$R$16,2,FALSE)</f>
        <v>48750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21">
        <v>4</v>
      </c>
      <c r="B171" s="21">
        <v>1000000</v>
      </c>
      <c r="C171" s="21">
        <f>VLOOKUP(A171&amp;"|"&amp;B171,$O$3:$P$16,2,FALSE)</f>
        <v>5500</v>
      </c>
      <c r="D171" s="21">
        <f>VLOOKUP(A171&amp;"|"&amp;B171,$Q$3:$R$16,2,FALSE)</f>
        <v>44500</v>
      </c>
      <c r="E171" s="2"/>
      <c r="F171" s="21">
        <v>9</v>
      </c>
      <c r="G171" s="21">
        <v>500000</v>
      </c>
      <c r="H171" s="21">
        <f>VLOOKUP(F171&amp;"|"&amp;G171,$O$3:$P$16,2,FALSE)</f>
        <v>2100</v>
      </c>
      <c r="I171" s="21">
        <f>VLOOKUP(F171&amp;"|"&amp;G171,$Q$3:$R$16,2,FALSE)</f>
        <v>22900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21"/>
      <c r="B172" s="21"/>
      <c r="C172" s="21"/>
      <c r="D172" s="21"/>
      <c r="E172" s="2"/>
      <c r="F172" s="21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1"/>
      <c r="B173" s="21"/>
      <c r="C173" s="21"/>
      <c r="D173" s="21"/>
      <c r="E173" s="2"/>
      <c r="F173" s="21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1"/>
      <c r="B174" s="21"/>
      <c r="C174" s="21"/>
      <c r="D174" s="21"/>
      <c r="E174" s="2"/>
      <c r="F174" s="21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1" t="s">
        <v>16</v>
      </c>
      <c r="B175" s="21"/>
      <c r="C175" s="21"/>
      <c r="D175" s="21">
        <f>SUM(D170:D174)</f>
        <v>93250</v>
      </c>
      <c r="E175" s="2"/>
      <c r="F175" s="84" t="s">
        <v>16</v>
      </c>
      <c r="G175" s="85"/>
      <c r="H175" s="86"/>
      <c r="I175" s="21">
        <f>SUM(I170:I174)</f>
        <v>71650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thickTop="1" thickBo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1" t="s">
        <v>0</v>
      </c>
      <c r="B177" s="21" t="s">
        <v>86</v>
      </c>
      <c r="C177" s="21" t="s">
        <v>62</v>
      </c>
      <c r="D177" s="9">
        <v>45872</v>
      </c>
      <c r="E177" s="2"/>
      <c r="F177" s="21" t="s">
        <v>0</v>
      </c>
      <c r="G177" s="21" t="s">
        <v>87</v>
      </c>
      <c r="H177" s="21" t="s">
        <v>76</v>
      </c>
      <c r="I177" s="9">
        <v>45872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1" t="s">
        <v>6</v>
      </c>
      <c r="B178" s="21" t="s">
        <v>7</v>
      </c>
      <c r="C178" s="21" t="s">
        <v>8</v>
      </c>
      <c r="D178" s="21" t="s">
        <v>9</v>
      </c>
      <c r="E178" s="2"/>
      <c r="F178" s="21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21">
        <v>4</v>
      </c>
      <c r="B179" s="21">
        <v>2000000</v>
      </c>
      <c r="C179" s="21">
        <f>VLOOKUP(A179&amp;"|"&amp;B179,$O$3:$P$16,2,FALSE)</f>
        <v>12000</v>
      </c>
      <c r="D179" s="21">
        <f>VLOOKUP(A179&amp;"|"&amp;B179,$Q$3:$R$16,2,FALSE)</f>
        <v>88000</v>
      </c>
      <c r="E179" s="2"/>
      <c r="F179" s="21">
        <v>15.1</v>
      </c>
      <c r="G179" s="21">
        <v>1000000</v>
      </c>
      <c r="H179" s="21">
        <f>VLOOKUP(F179&amp;"|"&amp;G179,$O$3:$P$16,2,FALSE)</f>
        <v>1250</v>
      </c>
      <c r="I179" s="21">
        <f>VLOOKUP(F179&amp;"|"&amp;G179,$Q$3:$R$16,2,FALSE)</f>
        <v>48750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21">
        <v>12</v>
      </c>
      <c r="B180" s="21">
        <v>500000</v>
      </c>
      <c r="C180" s="21">
        <f>VLOOKUP(A180&amp;"|"&amp;B180,$O$3:$P$16,2,FALSE)</f>
        <v>1300</v>
      </c>
      <c r="D180" s="21">
        <f>VLOOKUP(A180&amp;"|"&amp;B180,$Q$3:$R$16,2,FALSE)</f>
        <v>23700</v>
      </c>
      <c r="E180" s="2"/>
      <c r="F180" s="21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1"/>
      <c r="B181" s="21"/>
      <c r="C181" s="21"/>
      <c r="D181" s="21"/>
      <c r="E181" s="2"/>
      <c r="F181" s="21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1"/>
      <c r="B182" s="21"/>
      <c r="C182" s="21"/>
      <c r="D182" s="21"/>
      <c r="E182" s="2"/>
      <c r="F182" s="21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1"/>
      <c r="B183" s="21"/>
      <c r="C183" s="21"/>
      <c r="D183" s="21"/>
      <c r="E183" s="2"/>
      <c r="F183" s="21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1" t="s">
        <v>16</v>
      </c>
      <c r="B184" s="21"/>
      <c r="C184" s="21"/>
      <c r="D184" s="21">
        <f>SUM(D179:D183)</f>
        <v>111700</v>
      </c>
      <c r="E184" s="2"/>
      <c r="F184" s="84" t="s">
        <v>16</v>
      </c>
      <c r="G184" s="85"/>
      <c r="H184" s="86"/>
      <c r="I184" s="21">
        <f>SUM(I179:I183)</f>
        <v>48750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thickTop="1" thickBot="1">
      <c r="A185" s="2" t="s">
        <v>182</v>
      </c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2" t="s">
        <v>3</v>
      </c>
      <c r="B186" s="12" t="s">
        <v>88</v>
      </c>
      <c r="C186" s="12" t="s">
        <v>76</v>
      </c>
      <c r="D186" s="9">
        <v>45872</v>
      </c>
      <c r="E186" s="2"/>
      <c r="F186" s="21" t="s">
        <v>0</v>
      </c>
      <c r="G186" s="21" t="s">
        <v>89</v>
      </c>
      <c r="H186" s="21" t="s">
        <v>90</v>
      </c>
      <c r="I186" s="9">
        <v>45872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1" t="s">
        <v>91</v>
      </c>
      <c r="B187" s="21" t="s">
        <v>92</v>
      </c>
      <c r="C187" s="21" t="s">
        <v>93</v>
      </c>
      <c r="D187" s="21" t="s">
        <v>9</v>
      </c>
      <c r="E187" s="2"/>
      <c r="F187" s="21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21">
        <v>19</v>
      </c>
      <c r="B188" s="21">
        <v>1000000</v>
      </c>
      <c r="C188" s="21">
        <f>VLOOKUP(A188&amp;"|"&amp;B188,$O$3:$P$17,2,FALSE)</f>
        <v>150</v>
      </c>
      <c r="D188" s="21">
        <f>VLOOKUP(A188&amp;"|"&amp;B188,$Q$3:$R$17,2,FALSE)</f>
        <v>49850</v>
      </c>
      <c r="E188" s="2"/>
      <c r="F188" s="21">
        <v>15.1</v>
      </c>
      <c r="G188" s="21">
        <v>500000</v>
      </c>
      <c r="H188" s="21">
        <f>VLOOKUP(F188&amp;"|"&amp;G188,$O$3:$P$16,2,FALSE)</f>
        <v>625</v>
      </c>
      <c r="I188" s="21">
        <f>VLOOKUP(F188&amp;"|"&amp;G188,$Q$3:$R$16,2,FALSE)</f>
        <v>24375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21">
        <v>15.1</v>
      </c>
      <c r="B189" s="21">
        <v>1000000</v>
      </c>
      <c r="C189" s="21">
        <f>VLOOKUP(A189&amp;"|"&amp;B189,$O$3:$P$17,2,FALSE)</f>
        <v>1250</v>
      </c>
      <c r="D189" s="21">
        <f>VLOOKUP(A189&amp;"|"&amp;B189,$Q$3:$R$17,2,FALSE)</f>
        <v>48750</v>
      </c>
      <c r="E189" s="2"/>
      <c r="F189" s="21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21"/>
      <c r="B190" s="21"/>
      <c r="C190" s="21"/>
      <c r="D190" s="21"/>
      <c r="E190" s="2"/>
      <c r="F190" s="21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1"/>
      <c r="B191" s="21"/>
      <c r="C191" s="21"/>
      <c r="D191" s="21"/>
      <c r="E191" s="2"/>
      <c r="F191" s="21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1"/>
      <c r="B192" s="21"/>
      <c r="C192" s="21"/>
      <c r="D192" s="21"/>
      <c r="E192" s="2"/>
      <c r="F192" s="21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1" t="s">
        <v>16</v>
      </c>
      <c r="B193" s="21"/>
      <c r="C193" s="21"/>
      <c r="D193" s="21">
        <f>SUM(D188:D192)</f>
        <v>98600</v>
      </c>
      <c r="E193" s="2"/>
      <c r="F193" s="84" t="s">
        <v>16</v>
      </c>
      <c r="G193" s="85"/>
      <c r="H193" s="86"/>
      <c r="I193" s="21">
        <f>SUM(I188:I192)</f>
        <v>24375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thickTop="1" thickBo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1" t="s">
        <v>0</v>
      </c>
      <c r="B195" s="21" t="s">
        <v>94</v>
      </c>
      <c r="C195" s="21" t="s">
        <v>24</v>
      </c>
      <c r="D195" s="9">
        <v>45872</v>
      </c>
      <c r="E195" s="2"/>
      <c r="F195" s="21" t="s">
        <v>0</v>
      </c>
      <c r="G195" s="21" t="s">
        <v>95</v>
      </c>
      <c r="H195" s="21" t="s">
        <v>96</v>
      </c>
      <c r="I195" s="9">
        <v>45872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1" t="s">
        <v>6</v>
      </c>
      <c r="B196" s="21" t="s">
        <v>7</v>
      </c>
      <c r="C196" s="21" t="s">
        <v>8</v>
      </c>
      <c r="D196" s="21" t="s">
        <v>9</v>
      </c>
      <c r="E196" s="2"/>
      <c r="F196" s="21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21">
        <v>15.1</v>
      </c>
      <c r="B197" s="21">
        <v>1000000</v>
      </c>
      <c r="C197" s="21">
        <f>VLOOKUP(A197&amp;"|"&amp;B197,$O$3:$P$16,2,FALSE)</f>
        <v>1250</v>
      </c>
      <c r="D197" s="21">
        <f>VLOOKUP(A197&amp;"|"&amp;B197,$Q$3:$R$16,2,FALSE)</f>
        <v>48750</v>
      </c>
      <c r="E197" s="2"/>
      <c r="F197" s="21">
        <v>15</v>
      </c>
      <c r="G197" s="21">
        <v>1000000</v>
      </c>
      <c r="H197" s="21">
        <f>VLOOKUP(F197&amp;"|"&amp;G197,$O$3:$P$16,2,FALSE)</f>
        <v>1250</v>
      </c>
      <c r="I197" s="21">
        <f>VLOOKUP(F197&amp;"|"&amp;G197,$Q$3:$R$16,2,FALSE)</f>
        <v>48750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21">
        <v>4</v>
      </c>
      <c r="B198" s="21">
        <v>1000000</v>
      </c>
      <c r="C198" s="21">
        <f>VLOOKUP(A198&amp;"|"&amp;B198,$O$3:$P$16,2,FALSE)</f>
        <v>5500</v>
      </c>
      <c r="D198" s="21">
        <f>VLOOKUP(A198&amp;"|"&amp;B198,$Q$3:$R$16,2,FALSE)</f>
        <v>44500</v>
      </c>
      <c r="E198" s="2"/>
      <c r="F198" s="21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1"/>
      <c r="B199" s="21"/>
      <c r="C199" s="21"/>
      <c r="D199" s="21"/>
      <c r="E199" s="2"/>
      <c r="F199" s="21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1"/>
      <c r="B200" s="21"/>
      <c r="C200" s="21"/>
      <c r="D200" s="21"/>
      <c r="E200" s="2"/>
      <c r="F200" s="21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1"/>
      <c r="B201" s="21"/>
      <c r="C201" s="21"/>
      <c r="D201" s="21"/>
      <c r="E201" s="2"/>
      <c r="F201" s="21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1" t="s">
        <v>16</v>
      </c>
      <c r="B202" s="21"/>
      <c r="C202" s="21"/>
      <c r="D202" s="21">
        <f>SUM(D197:D201)</f>
        <v>93250</v>
      </c>
      <c r="E202" s="2"/>
      <c r="F202" s="84" t="s">
        <v>16</v>
      </c>
      <c r="G202" s="85"/>
      <c r="H202" s="86"/>
      <c r="I202" s="21">
        <f>SUM(I197:I201)</f>
        <v>48750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thickTop="1" thickBo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2" t="s">
        <v>3</v>
      </c>
      <c r="B204" s="12" t="s">
        <v>97</v>
      </c>
      <c r="C204" s="12" t="s">
        <v>98</v>
      </c>
      <c r="D204" s="9">
        <v>45872</v>
      </c>
      <c r="F204" s="12" t="s">
        <v>3</v>
      </c>
      <c r="G204" s="12" t="s">
        <v>99</v>
      </c>
      <c r="H204" s="12" t="s">
        <v>100</v>
      </c>
      <c r="I204" s="9">
        <v>45872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1" t="s">
        <v>6</v>
      </c>
      <c r="B205" s="21" t="s">
        <v>7</v>
      </c>
      <c r="C205" s="21" t="s">
        <v>8</v>
      </c>
      <c r="D205" s="21" t="s">
        <v>9</v>
      </c>
      <c r="F205" s="21" t="s">
        <v>91</v>
      </c>
      <c r="G205" s="21" t="s">
        <v>92</v>
      </c>
      <c r="H205" s="21" t="s">
        <v>93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21">
        <v>15</v>
      </c>
      <c r="B206" s="21">
        <v>1000000</v>
      </c>
      <c r="C206" s="21">
        <f>VLOOKUP(A206&amp;"|"&amp;B206,$O$3:$P$18,2,FALSE)</f>
        <v>1250</v>
      </c>
      <c r="D206" s="21">
        <f>VLOOKUP(A206&amp;"|"&amp;B206,$Q$3:$R$17,2,FALSE)</f>
        <v>48750</v>
      </c>
      <c r="F206" s="21">
        <v>19</v>
      </c>
      <c r="G206" s="21">
        <v>500000</v>
      </c>
      <c r="H206" s="21">
        <f>VLOOKUP(F206&amp;"|"&amp;G206,$O$3:$P$17,2,FALSE)</f>
        <v>75</v>
      </c>
      <c r="I206" s="21">
        <f>VLOOKUP(F206&amp;"|"&amp;G206,$Q$3:$R$17,2,FALSE)</f>
        <v>24925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21">
        <v>15.1</v>
      </c>
      <c r="B207" s="21">
        <v>1000000</v>
      </c>
      <c r="C207" s="21">
        <f>VLOOKUP(A207&amp;"|"&amp;B207,$O$3:$P$17,2,FALSE)</f>
        <v>1250</v>
      </c>
      <c r="D207" s="21">
        <f>VLOOKUP(A207&amp;"|"&amp;B207,$Q$3:$R$17,2,FALSE)</f>
        <v>48750</v>
      </c>
      <c r="F207" s="21">
        <v>4</v>
      </c>
      <c r="G207" s="21">
        <v>1000000</v>
      </c>
      <c r="H207" s="21">
        <f>VLOOKUP(F207&amp;"|"&amp;G207,$O$3:$P$17,2,FALSE)</f>
        <v>5500</v>
      </c>
      <c r="I207" s="21">
        <f>VLOOKUP(F207&amp;"|"&amp;G207,$Q$3:$R$17,2,FALSE)</f>
        <v>44500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1"/>
      <c r="B208" s="21"/>
      <c r="C208" s="21"/>
      <c r="D208" s="21"/>
      <c r="E208" s="2"/>
      <c r="F208" s="21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1"/>
      <c r="B209" s="21"/>
      <c r="C209" s="21"/>
      <c r="D209" s="21"/>
      <c r="E209" s="2"/>
      <c r="F209" s="21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1"/>
      <c r="B210" s="21"/>
      <c r="C210" s="21"/>
      <c r="D210" s="21"/>
      <c r="E210" s="2"/>
      <c r="F210" s="21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1" t="s">
        <v>16</v>
      </c>
      <c r="B211" s="21"/>
      <c r="C211" s="21"/>
      <c r="D211" s="21">
        <f>SUM(D206:D210)</f>
        <v>97500</v>
      </c>
      <c r="E211" s="2"/>
      <c r="F211" s="84" t="s">
        <v>16</v>
      </c>
      <c r="G211" s="85"/>
      <c r="H211" s="86"/>
      <c r="I211" s="21">
        <f>SUM(I206:I210)</f>
        <v>69425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thickTop="1" thickBo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1" t="s">
        <v>0</v>
      </c>
      <c r="B213" s="21" t="s">
        <v>57</v>
      </c>
      <c r="C213" s="21" t="s">
        <v>101</v>
      </c>
      <c r="D213" s="9">
        <v>45872</v>
      </c>
      <c r="E213" s="2"/>
      <c r="F213" s="21" t="s">
        <v>0</v>
      </c>
      <c r="G213" s="21" t="s">
        <v>35</v>
      </c>
      <c r="H213" s="21" t="s">
        <v>102</v>
      </c>
      <c r="I213" s="9">
        <v>45872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1" t="s">
        <v>6</v>
      </c>
      <c r="B214" s="21" t="s">
        <v>7</v>
      </c>
      <c r="C214" s="21" t="s">
        <v>8</v>
      </c>
      <c r="D214" s="21" t="s">
        <v>9</v>
      </c>
      <c r="E214" s="2"/>
      <c r="F214" s="21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21">
        <v>19</v>
      </c>
      <c r="B215" s="21">
        <v>500000</v>
      </c>
      <c r="C215" s="21">
        <f>VLOOKUP(A215&amp;"|"&amp;B215,$O$3:$P$16,2,FALSE)</f>
        <v>75</v>
      </c>
      <c r="D215" s="21">
        <f>VLOOKUP(A215&amp;"|"&amp;B215,$Q$3:$R$16,2,FALSE)</f>
        <v>24925</v>
      </c>
      <c r="E215" s="2"/>
      <c r="F215" s="21">
        <v>19</v>
      </c>
      <c r="G215" s="21">
        <v>500000</v>
      </c>
      <c r="H215" s="21">
        <f>VLOOKUP(F215&amp;"|"&amp;G215,$O$3:$P$16,2,FALSE)</f>
        <v>75</v>
      </c>
      <c r="I215" s="21">
        <f>VLOOKUP(F215&amp;"|"&amp;G215,$Q$3:$R$16,2,FALSE)</f>
        <v>24925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1"/>
      <c r="B216" s="21"/>
      <c r="C216" s="21"/>
      <c r="D216" s="21"/>
      <c r="E216" s="2"/>
      <c r="F216" s="21">
        <v>12</v>
      </c>
      <c r="G216" s="21">
        <v>500000</v>
      </c>
      <c r="H216" s="21">
        <f>VLOOKUP(F216&amp;"|"&amp;G216,$O$3:$P$16,2,FALSE)</f>
        <v>1300</v>
      </c>
      <c r="I216" s="21">
        <f>VLOOKUP(F216&amp;"|"&amp;G216,$Q$3:$R$16,2,FALSE)</f>
        <v>23700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1"/>
      <c r="B217" s="21"/>
      <c r="C217" s="21"/>
      <c r="D217" s="21"/>
      <c r="E217" s="2"/>
      <c r="F217" s="21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1"/>
      <c r="B218" s="21"/>
      <c r="C218" s="21"/>
      <c r="D218" s="21"/>
      <c r="E218" s="2"/>
      <c r="F218" s="21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1"/>
      <c r="B219" s="21"/>
      <c r="C219" s="21"/>
      <c r="D219" s="21"/>
      <c r="E219" s="2"/>
      <c r="F219" s="21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1" t="s">
        <v>16</v>
      </c>
      <c r="B220" s="21"/>
      <c r="C220" s="21"/>
      <c r="D220" s="21">
        <f>SUM(D215:D219)</f>
        <v>24925</v>
      </c>
      <c r="E220" s="2"/>
      <c r="F220" s="84" t="s">
        <v>16</v>
      </c>
      <c r="G220" s="85"/>
      <c r="H220" s="86"/>
      <c r="I220" s="21">
        <f>SUM(I215:I219)</f>
        <v>48625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thickTop="1" thickBo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1" t="s">
        <v>0</v>
      </c>
      <c r="B222" s="21" t="s">
        <v>88</v>
      </c>
      <c r="C222" s="21" t="s">
        <v>24</v>
      </c>
      <c r="D222" s="9">
        <v>45872</v>
      </c>
      <c r="E222" s="2"/>
      <c r="F222" s="21" t="s">
        <v>0</v>
      </c>
      <c r="G222" s="21" t="s">
        <v>103</v>
      </c>
      <c r="H222" s="21" t="s">
        <v>104</v>
      </c>
      <c r="I222" s="9">
        <v>45872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1" t="s">
        <v>6</v>
      </c>
      <c r="B223" s="21" t="s">
        <v>7</v>
      </c>
      <c r="C223" s="21" t="s">
        <v>8</v>
      </c>
      <c r="D223" s="21" t="s">
        <v>9</v>
      </c>
      <c r="E223" s="2"/>
      <c r="F223" s="21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21">
        <v>9</v>
      </c>
      <c r="B224" s="21">
        <v>500000</v>
      </c>
      <c r="C224" s="21">
        <f>VLOOKUP(A224&amp;"|"&amp;B224,$O$3:$P$16,2,FALSE)</f>
        <v>2100</v>
      </c>
      <c r="D224" s="21">
        <f>VLOOKUP(A224&amp;"|"&amp;B224,$Q$3:$R$16,2,FALSE)</f>
        <v>22900</v>
      </c>
      <c r="E224" s="2"/>
      <c r="F224" s="21">
        <v>9</v>
      </c>
      <c r="G224" s="21">
        <v>500000</v>
      </c>
      <c r="H224" s="21">
        <f>VLOOKUP(F224&amp;"|"&amp;G224,$O$3:$P$16,2,FALSE)</f>
        <v>2100</v>
      </c>
      <c r="I224" s="21">
        <f>VLOOKUP(F224&amp;"|"&amp;G224,$Q$3:$R$16,2,FALSE)</f>
        <v>22900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1"/>
      <c r="B225" s="21"/>
      <c r="C225" s="21"/>
      <c r="D225" s="21"/>
      <c r="E225" s="2"/>
      <c r="F225" s="21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1"/>
      <c r="B226" s="21"/>
      <c r="C226" s="21"/>
      <c r="D226" s="21"/>
      <c r="E226" s="2"/>
      <c r="F226" s="21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1"/>
      <c r="B227" s="21"/>
      <c r="C227" s="21"/>
      <c r="D227" s="21"/>
      <c r="E227" s="2"/>
      <c r="F227" s="21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1"/>
      <c r="B228" s="21"/>
      <c r="C228" s="21"/>
      <c r="D228" s="21"/>
      <c r="E228" s="2"/>
      <c r="F228" s="21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1" t="s">
        <v>16</v>
      </c>
      <c r="B229" s="21"/>
      <c r="C229" s="21"/>
      <c r="D229" s="21">
        <f>SUM(D224:D228)</f>
        <v>22900</v>
      </c>
      <c r="E229" s="2"/>
      <c r="F229" s="84" t="s">
        <v>16</v>
      </c>
      <c r="G229" s="85"/>
      <c r="H229" s="86"/>
      <c r="I229" s="21">
        <f>SUM(I224:I228)</f>
        <v>22900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thickTop="1" thickBo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1" t="s">
        <v>0</v>
      </c>
      <c r="B231" s="21" t="s">
        <v>71</v>
      </c>
      <c r="C231" s="21" t="s">
        <v>105</v>
      </c>
      <c r="D231" s="9">
        <v>45872</v>
      </c>
      <c r="E231" s="2"/>
      <c r="F231" s="21" t="s">
        <v>0</v>
      </c>
      <c r="G231" s="21" t="s">
        <v>106</v>
      </c>
      <c r="H231" s="21" t="s">
        <v>81</v>
      </c>
      <c r="I231" s="9">
        <v>45872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1" t="s">
        <v>6</v>
      </c>
      <c r="B232" s="21" t="s">
        <v>7</v>
      </c>
      <c r="C232" s="21" t="s">
        <v>8</v>
      </c>
      <c r="D232" s="21" t="s">
        <v>9</v>
      </c>
      <c r="E232" s="2"/>
      <c r="F232" s="21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21">
        <v>4</v>
      </c>
      <c r="B233" s="21">
        <v>500000</v>
      </c>
      <c r="C233" s="21">
        <f>VLOOKUP(A233&amp;"|"&amp;B233,$O$3:$P$16,2,FALSE)</f>
        <v>3400</v>
      </c>
      <c r="D233" s="21">
        <f>VLOOKUP(A233&amp;"|"&amp;B233,$Q$3:$R$16,2,FALSE)</f>
        <v>21600</v>
      </c>
      <c r="E233" s="2"/>
      <c r="F233" s="21">
        <v>4</v>
      </c>
      <c r="G233" s="21">
        <v>2000000</v>
      </c>
      <c r="H233" s="21">
        <f>VLOOKUP(F233&amp;"|"&amp;G233,$O$3:$P$19,2,FALSE)</f>
        <v>12000</v>
      </c>
      <c r="I233" s="21">
        <f>VLOOKUP(F233&amp;"|"&amp;G233,$Q$3:$R$19,2,FALSE)</f>
        <v>88000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1"/>
      <c r="B234" s="21"/>
      <c r="C234" s="21"/>
      <c r="D234" s="21"/>
      <c r="E234" s="2"/>
      <c r="F234" s="21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1"/>
      <c r="B235" s="21"/>
      <c r="C235" s="21"/>
      <c r="D235" s="21"/>
      <c r="E235" s="2"/>
      <c r="F235" s="21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1"/>
      <c r="B236" s="21"/>
      <c r="C236" s="21"/>
      <c r="D236" s="21"/>
      <c r="E236" s="2"/>
      <c r="F236" s="21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1"/>
      <c r="B237" s="21"/>
      <c r="C237" s="21"/>
      <c r="D237" s="21"/>
      <c r="E237" s="2"/>
      <c r="F237" s="21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1" t="s">
        <v>16</v>
      </c>
      <c r="B238" s="21"/>
      <c r="C238" s="21"/>
      <c r="D238" s="21">
        <f>SUM(D233:D237)</f>
        <v>21600</v>
      </c>
      <c r="E238" s="2"/>
      <c r="F238" s="84" t="s">
        <v>16</v>
      </c>
      <c r="G238" s="85"/>
      <c r="H238" s="86"/>
      <c r="I238" s="21">
        <f>SUM(I233:I237)</f>
        <v>88000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thickTop="1" thickBo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1" t="s">
        <v>0</v>
      </c>
      <c r="B240" s="21" t="s">
        <v>194</v>
      </c>
      <c r="C240" s="21" t="s">
        <v>72</v>
      </c>
      <c r="D240" s="9">
        <v>45872</v>
      </c>
      <c r="E240" s="2"/>
      <c r="F240" s="21" t="s">
        <v>0</v>
      </c>
      <c r="G240" s="21" t="s">
        <v>107</v>
      </c>
      <c r="H240" s="21" t="s">
        <v>108</v>
      </c>
      <c r="I240" s="9">
        <v>45872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1" t="s">
        <v>6</v>
      </c>
      <c r="B241" s="21" t="s">
        <v>7</v>
      </c>
      <c r="C241" s="21" t="s">
        <v>8</v>
      </c>
      <c r="D241" s="21" t="s">
        <v>9</v>
      </c>
      <c r="E241" s="2"/>
      <c r="F241" s="21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21">
        <v>4</v>
      </c>
      <c r="B242" s="21">
        <v>1000000</v>
      </c>
      <c r="C242" s="21">
        <f>VLOOKUP(A242&amp;"|"&amp;B242,$O$3:$P$19,2,FALSE)</f>
        <v>5500</v>
      </c>
      <c r="D242" s="21">
        <f>VLOOKUP(A242&amp;"|"&amp;B242,$Q$3:$R$19,2,FALSE)</f>
        <v>44500</v>
      </c>
      <c r="E242" s="2"/>
      <c r="F242" s="21">
        <v>19</v>
      </c>
      <c r="G242" s="21">
        <v>1000000</v>
      </c>
      <c r="H242" s="21">
        <f>VLOOKUP(F242&amp;"|"&amp;G242,$O$3:$P$16,2,FALSE)</f>
        <v>150</v>
      </c>
      <c r="I242" s="21">
        <f>VLOOKUP(F242&amp;"|"&amp;G242,$Q$3:$R$16,2,FALSE)</f>
        <v>49850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21"/>
      <c r="B243" s="21"/>
      <c r="C243" s="21"/>
      <c r="D243" s="21"/>
      <c r="E243" s="2"/>
      <c r="F243" s="21">
        <v>4</v>
      </c>
      <c r="G243" s="21">
        <v>2000000</v>
      </c>
      <c r="H243" s="21">
        <f>VLOOKUP(F243&amp;"|"&amp;G243,$O$3:$P$16,2,FALSE)</f>
        <v>12000</v>
      </c>
      <c r="I243" s="21">
        <f>VLOOKUP(F243&amp;"|"&amp;G243,$Q$3:$R$16,2,FALSE)</f>
        <v>88000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1"/>
      <c r="B244" s="21"/>
      <c r="C244" s="21"/>
      <c r="D244" s="21"/>
      <c r="E244" s="2"/>
      <c r="F244" s="21">
        <v>12</v>
      </c>
      <c r="G244" s="21">
        <v>500000</v>
      </c>
      <c r="H244" s="21">
        <f>VLOOKUP(F244&amp;"|"&amp;G244,$O$3:$P$16,2,FALSE)</f>
        <v>1300</v>
      </c>
      <c r="I244" s="21">
        <f>VLOOKUP(F244&amp;"|"&amp;G244,$Q$3:$R$16,2,FALSE)</f>
        <v>23700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1"/>
      <c r="B245" s="21"/>
      <c r="C245" s="21"/>
      <c r="D245" s="21"/>
      <c r="E245" s="2"/>
      <c r="F245" s="21">
        <v>12</v>
      </c>
      <c r="G245" s="21">
        <v>500000</v>
      </c>
      <c r="H245" s="21">
        <f>VLOOKUP(F245&amp;"|"&amp;G245,$O$3:$P$16,2,FALSE)</f>
        <v>1300</v>
      </c>
      <c r="I245" s="21">
        <f>VLOOKUP(F245&amp;"|"&amp;G245,$Q$3:$R$16,2,FALSE)</f>
        <v>23700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1"/>
      <c r="B246" s="21"/>
      <c r="C246" s="21"/>
      <c r="D246" s="21"/>
      <c r="E246" s="2"/>
      <c r="F246" s="21"/>
      <c r="G246" s="21"/>
      <c r="H246" s="21"/>
      <c r="I246" s="2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1" t="s">
        <v>16</v>
      </c>
      <c r="B247" s="21"/>
      <c r="C247" s="21"/>
      <c r="D247" s="21">
        <f>SUM(D242:D246)</f>
        <v>44500</v>
      </c>
      <c r="E247" s="2"/>
      <c r="F247" s="84" t="s">
        <v>16</v>
      </c>
      <c r="G247" s="85"/>
      <c r="H247" s="86"/>
      <c r="I247" s="21">
        <f>SUM(I242:I246)</f>
        <v>185250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thickTop="1" thickBo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1" t="s">
        <v>0</v>
      </c>
      <c r="B249" s="21" t="s">
        <v>109</v>
      </c>
      <c r="C249" s="21" t="s">
        <v>110</v>
      </c>
      <c r="D249" s="9">
        <v>45872</v>
      </c>
      <c r="E249" s="2"/>
      <c r="F249" s="21" t="s">
        <v>0</v>
      </c>
      <c r="G249" s="21" t="s">
        <v>187</v>
      </c>
      <c r="H249" s="21" t="s">
        <v>38</v>
      </c>
      <c r="I249" s="9">
        <v>45872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1" t="s">
        <v>6</v>
      </c>
      <c r="B250" s="21" t="s">
        <v>7</v>
      </c>
      <c r="C250" s="21" t="s">
        <v>8</v>
      </c>
      <c r="D250" s="21" t="s">
        <v>9</v>
      </c>
      <c r="E250" s="2"/>
      <c r="F250" s="21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21">
        <v>19</v>
      </c>
      <c r="B251" s="21">
        <v>1000000</v>
      </c>
      <c r="C251" s="21">
        <f>VLOOKUP(A251&amp;"|"&amp;B251,$O$3:$P$16,2,FALSE)</f>
        <v>150</v>
      </c>
      <c r="D251" s="21">
        <f>VLOOKUP(A251&amp;"|"&amp;B251,$Q$3:$R$16,2,FALSE)</f>
        <v>49850</v>
      </c>
      <c r="E251" s="2"/>
      <c r="F251" s="21">
        <v>9</v>
      </c>
      <c r="G251" s="21">
        <v>500000</v>
      </c>
      <c r="H251" s="21">
        <f>VLOOKUP(F251&amp;"|"&amp;G251,$O$3:$P$16,2,FALSE)</f>
        <v>2100</v>
      </c>
      <c r="I251" s="21">
        <f>VLOOKUP(F251&amp;"|"&amp;G251,$Q$3:$R$16,2,FALSE)</f>
        <v>22900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21">
        <v>19</v>
      </c>
      <c r="B252" s="21">
        <v>1000000</v>
      </c>
      <c r="C252" s="21">
        <f>VLOOKUP(A252&amp;"|"&amp;B252,$O$3:$P$16,2,FALSE)</f>
        <v>150</v>
      </c>
      <c r="D252" s="21">
        <f>VLOOKUP(A252&amp;"|"&amp;B252,$Q$3:$R$16,2,FALSE)</f>
        <v>49850</v>
      </c>
      <c r="E252" s="2"/>
      <c r="F252" s="21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1"/>
      <c r="B253" s="21"/>
      <c r="C253" s="21"/>
      <c r="D253" s="21"/>
      <c r="E253" s="2"/>
      <c r="F253" s="21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1"/>
      <c r="B254" s="21"/>
      <c r="C254" s="21"/>
      <c r="D254" s="21"/>
      <c r="E254" s="2"/>
      <c r="F254" s="21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1"/>
      <c r="B255" s="21"/>
      <c r="C255" s="21"/>
      <c r="D255" s="21"/>
      <c r="E255" s="2"/>
      <c r="F255" s="21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1" t="s">
        <v>16</v>
      </c>
      <c r="B256" s="21"/>
      <c r="C256" s="21"/>
      <c r="D256" s="21">
        <f>SUM(D251:D255)</f>
        <v>99700</v>
      </c>
      <c r="E256" s="2"/>
      <c r="F256" s="84" t="s">
        <v>16</v>
      </c>
      <c r="G256" s="85"/>
      <c r="H256" s="86"/>
      <c r="I256" s="21">
        <f>SUM(I251:I255)</f>
        <v>22900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thickTop="1" thickBo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1" t="s">
        <v>0</v>
      </c>
      <c r="B258" s="21" t="s">
        <v>111</v>
      </c>
      <c r="C258" s="21" t="s">
        <v>18</v>
      </c>
      <c r="D258" s="9">
        <v>45872</v>
      </c>
      <c r="E258" s="2"/>
      <c r="F258" s="21" t="s">
        <v>0</v>
      </c>
      <c r="G258" s="21" t="s">
        <v>112</v>
      </c>
      <c r="H258" s="21" t="s">
        <v>113</v>
      </c>
      <c r="I258" s="9">
        <v>45872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1" t="s">
        <v>6</v>
      </c>
      <c r="B259" s="21" t="s">
        <v>7</v>
      </c>
      <c r="C259" s="21" t="s">
        <v>8</v>
      </c>
      <c r="D259" s="21" t="s">
        <v>9</v>
      </c>
      <c r="E259" s="2"/>
      <c r="F259" s="21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21">
        <v>15</v>
      </c>
      <c r="B260" s="21">
        <v>500000</v>
      </c>
      <c r="C260" s="21" t="e">
        <f>VLOOKUP(A260&amp;"|"&amp;B260,$O$3:$P$18,2,FALSE)</f>
        <v>#N/A</v>
      </c>
      <c r="D260" s="21">
        <f>VLOOKUP(A260&amp;"|"&amp;B260,$Q$3:$R$18,2,FALSE)</f>
        <v>24300</v>
      </c>
      <c r="E260" s="2"/>
      <c r="F260" s="21">
        <v>19</v>
      </c>
      <c r="G260" s="21">
        <v>500000</v>
      </c>
      <c r="H260" s="21">
        <f>VLOOKUP(F260&amp;"|"&amp;G260,$O$3:$P$16,2,FALSE)</f>
        <v>75</v>
      </c>
      <c r="I260" s="21">
        <f>VLOOKUP(F260&amp;"|"&amp;G260,$Q$3:$R$16,2,FALSE)</f>
        <v>24925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21">
        <v>4</v>
      </c>
      <c r="B261" s="21">
        <v>1000000</v>
      </c>
      <c r="C261" s="21">
        <f>VLOOKUP(A261&amp;"|"&amp;B261,$O$3:$P$18,2,FALSE)</f>
        <v>5500</v>
      </c>
      <c r="D261" s="21">
        <f>VLOOKUP(A261&amp;"|"&amp;B261,$Q$3:$R$18,2,FALSE)</f>
        <v>44500</v>
      </c>
      <c r="E261" s="2"/>
      <c r="F261" s="21"/>
      <c r="G261" s="21"/>
      <c r="H261" s="21"/>
      <c r="I261" s="2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1"/>
      <c r="B262" s="21"/>
      <c r="C262" s="21"/>
      <c r="D262" s="21"/>
      <c r="E262" s="2"/>
      <c r="F262" s="21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1"/>
      <c r="B263" s="21"/>
      <c r="C263" s="21"/>
      <c r="D263" s="21"/>
      <c r="E263" s="2"/>
      <c r="F263" s="21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1"/>
      <c r="B264" s="21"/>
      <c r="C264" s="21"/>
      <c r="D264" s="21"/>
      <c r="E264" s="2"/>
      <c r="F264" s="21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1" t="s">
        <v>16</v>
      </c>
      <c r="B265" s="21"/>
      <c r="C265" s="21"/>
      <c r="D265" s="21">
        <f>SUM(D260:D264)</f>
        <v>68800</v>
      </c>
      <c r="E265" s="2"/>
      <c r="F265" s="84" t="s">
        <v>16</v>
      </c>
      <c r="G265" s="85"/>
      <c r="H265" s="86"/>
      <c r="I265" s="21">
        <f>SUM(I260:I264)</f>
        <v>24925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thickTop="1" thickBo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1" t="s">
        <v>0</v>
      </c>
      <c r="B267" s="21" t="s">
        <v>114</v>
      </c>
      <c r="C267" s="21" t="s">
        <v>24</v>
      </c>
      <c r="D267" s="9">
        <v>45872</v>
      </c>
      <c r="E267" s="2"/>
      <c r="F267" s="21" t="s">
        <v>0</v>
      </c>
      <c r="G267" s="21" t="s">
        <v>21</v>
      </c>
      <c r="H267" s="21" t="s">
        <v>43</v>
      </c>
      <c r="I267" s="9">
        <v>45872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1" t="s">
        <v>6</v>
      </c>
      <c r="B268" s="21" t="s">
        <v>7</v>
      </c>
      <c r="C268" s="21" t="s">
        <v>8</v>
      </c>
      <c r="D268" s="21" t="s">
        <v>9</v>
      </c>
      <c r="E268" s="2"/>
      <c r="F268" s="21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21">
        <v>4</v>
      </c>
      <c r="B269" s="21">
        <v>500000</v>
      </c>
      <c r="C269" s="21">
        <f>VLOOKUP(A269&amp;"|"&amp;B269,$O$3:$P$17,2,FALSE)</f>
        <v>3400</v>
      </c>
      <c r="D269" s="21">
        <f>VLOOKUP(A269&amp;"|"&amp;B269,$Q$3:$R$16,2,FALSE)</f>
        <v>21600</v>
      </c>
      <c r="E269" s="2"/>
      <c r="F269" s="21">
        <v>4</v>
      </c>
      <c r="G269" s="21">
        <v>500000</v>
      </c>
      <c r="H269" s="21">
        <f>VLOOKUP(F269&amp;"|"&amp;G269,$O$3:$P$16,2,FALSE)</f>
        <v>3400</v>
      </c>
      <c r="I269" s="21">
        <f>VLOOKUP(F269&amp;"|"&amp;G269,$Q$3:$R$16,2,FALSE)</f>
        <v>21600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1"/>
      <c r="B270" s="21"/>
      <c r="C270" s="21"/>
      <c r="D270" s="21"/>
      <c r="E270" s="2"/>
      <c r="F270" s="21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1"/>
      <c r="B271" s="21"/>
      <c r="C271" s="21"/>
      <c r="D271" s="21"/>
      <c r="E271" s="2"/>
      <c r="F271" s="21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1"/>
      <c r="B272" s="21"/>
      <c r="C272" s="21"/>
      <c r="D272" s="21"/>
      <c r="E272" s="2"/>
      <c r="F272" s="21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1"/>
      <c r="B273" s="21"/>
      <c r="C273" s="21"/>
      <c r="D273" s="21"/>
      <c r="E273" s="2"/>
      <c r="F273" s="21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1" t="s">
        <v>16</v>
      </c>
      <c r="B274" s="21"/>
      <c r="C274" s="21"/>
      <c r="D274" s="21">
        <f>SUM(D269:D273)</f>
        <v>21600</v>
      </c>
      <c r="E274" s="2"/>
      <c r="F274" s="84" t="s">
        <v>16</v>
      </c>
      <c r="G274" s="85"/>
      <c r="H274" s="86"/>
      <c r="I274" s="21">
        <f>SUM(I269:I273)</f>
        <v>21600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thickTop="1" thickBo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1" t="s">
        <v>0</v>
      </c>
      <c r="B276" s="21" t="s">
        <v>115</v>
      </c>
      <c r="C276" s="21" t="s">
        <v>28</v>
      </c>
      <c r="D276" s="9">
        <v>45872</v>
      </c>
      <c r="E276" s="2"/>
      <c r="F276" s="21" t="s">
        <v>0</v>
      </c>
      <c r="G276" s="21" t="s">
        <v>61</v>
      </c>
      <c r="H276" s="21" t="s">
        <v>28</v>
      </c>
      <c r="I276" s="9">
        <v>45872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1" t="s">
        <v>6</v>
      </c>
      <c r="B277" s="21" t="s">
        <v>7</v>
      </c>
      <c r="C277" s="21" t="s">
        <v>8</v>
      </c>
      <c r="D277" s="21" t="s">
        <v>9</v>
      </c>
      <c r="E277" s="2"/>
      <c r="F277" s="21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21">
        <v>4</v>
      </c>
      <c r="B278" s="21">
        <v>1000000</v>
      </c>
      <c r="C278" s="21">
        <f>VLOOKUP(A278&amp;"|"&amp;B278,$O$3:$P$16,2,FALSE)</f>
        <v>5500</v>
      </c>
      <c r="D278" s="21">
        <f>VLOOKUP(A278&amp;"|"&amp;B278,$Q$3:$R$16,2,FALSE)</f>
        <v>44500</v>
      </c>
      <c r="E278" s="2"/>
      <c r="F278" s="21">
        <v>4</v>
      </c>
      <c r="G278" s="21">
        <v>1000000</v>
      </c>
      <c r="H278" s="21">
        <f>VLOOKUP(F278&amp;"|"&amp;G278,$O$3:$P$18,2,FALSE)</f>
        <v>5500</v>
      </c>
      <c r="I278" s="21">
        <f>VLOOKUP(F278&amp;"|"&amp;G278,$Q$3:$R$18,2,FALSE)</f>
        <v>44500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21">
        <v>19</v>
      </c>
      <c r="B279" s="21">
        <v>1000000</v>
      </c>
      <c r="C279" s="21">
        <f>VLOOKUP(A279&amp;"|"&amp;B279,$O$3:$P$16,2,FALSE)</f>
        <v>150</v>
      </c>
      <c r="D279" s="21">
        <f>VLOOKUP(A279&amp;"|"&amp;B279,$Q$3:$R$16,2,FALSE)</f>
        <v>49850</v>
      </c>
      <c r="E279" s="2"/>
      <c r="F279" s="21">
        <v>19</v>
      </c>
      <c r="G279" s="21">
        <v>500000</v>
      </c>
      <c r="H279" s="21">
        <f>VLOOKUP(F279&amp;"|"&amp;G279,$O$3:$P$16,2,FALSE)</f>
        <v>75</v>
      </c>
      <c r="I279" s="21">
        <f>VLOOKUP(F279&amp;"|"&amp;G279,$Q$3:$R$16,2,FALSE)</f>
        <v>24925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1"/>
      <c r="B280" s="21"/>
      <c r="C280" s="21"/>
      <c r="D280" s="21"/>
      <c r="E280" s="2"/>
      <c r="F280" s="21">
        <v>12</v>
      </c>
      <c r="G280" s="21">
        <v>500000</v>
      </c>
      <c r="H280" s="21">
        <f>VLOOKUP(F280&amp;"|"&amp;G280,$O$3:$P$16,2,FALSE)</f>
        <v>1300</v>
      </c>
      <c r="I280" s="21">
        <f>VLOOKUP(F280&amp;"|"&amp;G280,$Q$3:$R$16,2,FALSE)</f>
        <v>23700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1"/>
      <c r="B281" s="21"/>
      <c r="C281" s="21"/>
      <c r="D281" s="21"/>
      <c r="E281" s="2"/>
      <c r="F281" s="21">
        <v>12</v>
      </c>
      <c r="G281" s="21">
        <v>500000</v>
      </c>
      <c r="H281" s="21">
        <f>VLOOKUP(F281&amp;"|"&amp;G281,$O$3:$P$16,2,FALSE)</f>
        <v>1300</v>
      </c>
      <c r="I281" s="21">
        <f>VLOOKUP(F281&amp;"|"&amp;G281,$Q$3:$R$16,2,FALSE)</f>
        <v>23700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1"/>
      <c r="B282" s="21"/>
      <c r="C282" s="21"/>
      <c r="D282" s="21"/>
      <c r="E282" s="2"/>
      <c r="F282" s="21">
        <v>4</v>
      </c>
      <c r="G282" s="21">
        <v>1000000</v>
      </c>
      <c r="H282" s="21">
        <f>VLOOKUP(F282&amp;"|"&amp;G282,$O$3:$P$16,2,FALSE)</f>
        <v>5500</v>
      </c>
      <c r="I282" s="21">
        <f>VLOOKUP(F282&amp;"|"&amp;G282,$Q$3:$R$16,2,FALSE)</f>
        <v>44500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1"/>
      <c r="B283" s="21"/>
      <c r="C283" s="21"/>
      <c r="D283" s="21"/>
      <c r="E283" s="2"/>
      <c r="F283" s="21">
        <v>9</v>
      </c>
      <c r="G283" s="21">
        <v>500000</v>
      </c>
      <c r="H283" s="21">
        <f>VLOOKUP(F283&amp;"|"&amp;G283,$O$3:$P$16,2,FALSE)</f>
        <v>2100</v>
      </c>
      <c r="I283" s="21">
        <f>VLOOKUP(F283&amp;"|"&amp;G283,$Q$3:$R$16,2,FALSE)</f>
        <v>22900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1" t="s">
        <v>16</v>
      </c>
      <c r="B284" s="21"/>
      <c r="C284" s="21"/>
      <c r="D284" s="21">
        <f>SUM(D278:D283)</f>
        <v>94350</v>
      </c>
      <c r="E284" s="2"/>
      <c r="F284" s="84" t="s">
        <v>16</v>
      </c>
      <c r="G284" s="85"/>
      <c r="H284" s="86"/>
      <c r="I284" s="21">
        <f>SUM(I278:I283)</f>
        <v>184225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10"/>
      <c r="B285" s="10"/>
      <c r="C285" s="10"/>
      <c r="D285" s="10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2" t="s">
        <v>0</v>
      </c>
      <c r="B286" s="12" t="s">
        <v>116</v>
      </c>
      <c r="C286" s="12" t="s">
        <v>34</v>
      </c>
      <c r="D286" s="9">
        <v>45872</v>
      </c>
      <c r="E286" s="2"/>
      <c r="F286" s="21" t="s">
        <v>0</v>
      </c>
      <c r="G286" s="21" t="s">
        <v>73</v>
      </c>
      <c r="H286" s="21" t="s">
        <v>76</v>
      </c>
      <c r="I286" s="9">
        <v>45872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1" t="s">
        <v>6</v>
      </c>
      <c r="B287" s="21" t="s">
        <v>7</v>
      </c>
      <c r="C287" s="21" t="s">
        <v>8</v>
      </c>
      <c r="D287" s="21" t="s">
        <v>9</v>
      </c>
      <c r="E287" s="2"/>
      <c r="F287" s="21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21">
        <v>4</v>
      </c>
      <c r="B288" s="21">
        <v>2000000</v>
      </c>
      <c r="C288" s="21">
        <f>VLOOKUP(A288&amp;"|"&amp;B288,$O$3:$P$17,2,FALSE)</f>
        <v>12000</v>
      </c>
      <c r="D288" s="21">
        <f>VLOOKUP(A288&amp;"|"&amp;B288,$Q$3:$R$17,2,FALSE)</f>
        <v>88000</v>
      </c>
      <c r="E288" s="2"/>
      <c r="F288" s="21">
        <v>4</v>
      </c>
      <c r="G288" s="21">
        <v>1000000</v>
      </c>
      <c r="H288" s="21">
        <f>VLOOKUP(F288&amp;"|"&amp;G288,$O$3:$P$16,2,FALSE)</f>
        <v>5500</v>
      </c>
      <c r="I288" s="21">
        <f>VLOOKUP(F288&amp;"|"&amp;G288,$Q$3:$R$16,2,FALSE)</f>
        <v>44500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21">
        <v>4</v>
      </c>
      <c r="B289" s="21">
        <v>500000</v>
      </c>
      <c r="C289" s="21">
        <f>VLOOKUP(A289&amp;"|"&amp;B289,$O$3:$P$17,2,FALSE)</f>
        <v>3400</v>
      </c>
      <c r="D289" s="21">
        <f>VLOOKUP(A289&amp;"|"&amp;B289,$Q$3:$R$17,2,FALSE)</f>
        <v>21600</v>
      </c>
      <c r="E289" s="2"/>
      <c r="F289" s="21">
        <v>9</v>
      </c>
      <c r="G289" s="21">
        <v>500000</v>
      </c>
      <c r="H289" s="21">
        <f>VLOOKUP(F289&amp;"|"&amp;G289,$O$3:$P$16,2,FALSE)</f>
        <v>2100</v>
      </c>
      <c r="I289" s="21">
        <f>VLOOKUP(F289&amp;"|"&amp;G289,$Q$3:$R$16,2,FALSE)</f>
        <v>22900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1">
        <v>19</v>
      </c>
      <c r="B290" s="21">
        <v>1000000</v>
      </c>
      <c r="C290" s="21">
        <f>VLOOKUP(A290&amp;"|"&amp;B290,$O$3:$P$17,2,FALSE)</f>
        <v>150</v>
      </c>
      <c r="D290" s="21">
        <f>VLOOKUP(A290&amp;"|"&amp;B290,$Q$3:$R$17,2,FALSE)</f>
        <v>49850</v>
      </c>
      <c r="E290" s="2"/>
      <c r="F290" s="21">
        <v>12</v>
      </c>
      <c r="G290" s="21">
        <v>500000</v>
      </c>
      <c r="H290" s="21">
        <f>VLOOKUP(F290&amp;"|"&amp;G290,$O$3:$P$16,2,FALSE)</f>
        <v>1300</v>
      </c>
      <c r="I290" s="21">
        <f>VLOOKUP(F290&amp;"|"&amp;G290,$Q$3:$R$16,2,FALSE)</f>
        <v>23700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1"/>
      <c r="B291" s="21"/>
      <c r="C291" s="21"/>
      <c r="D291" s="21"/>
      <c r="E291" s="2"/>
      <c r="F291" s="21">
        <v>12</v>
      </c>
      <c r="G291" s="21">
        <v>500000</v>
      </c>
      <c r="H291" s="21">
        <f>VLOOKUP(F291&amp;"|"&amp;G291,$O$3:$P$16,2,FALSE)</f>
        <v>1300</v>
      </c>
      <c r="I291" s="21">
        <f>VLOOKUP(F291&amp;"|"&amp;G291,$Q$3:$R$16,2,FALSE)</f>
        <v>23700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1"/>
      <c r="B292" s="21"/>
      <c r="C292" s="21"/>
      <c r="D292" s="21"/>
      <c r="E292" s="2"/>
      <c r="F292" s="21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59" t="s">
        <v>49</v>
      </c>
      <c r="B293" s="53"/>
      <c r="C293" s="54"/>
      <c r="D293" s="21">
        <f>SUM(D288:D292)</f>
        <v>159450</v>
      </c>
      <c r="E293" s="2"/>
      <c r="F293" s="84" t="s">
        <v>16</v>
      </c>
      <c r="G293" s="85"/>
      <c r="H293" s="86"/>
      <c r="I293" s="21">
        <f>SUM(I288:I292)</f>
        <v>114800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thickTop="1" thickBo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1" t="s">
        <v>0</v>
      </c>
      <c r="B295" s="21" t="s">
        <v>117</v>
      </c>
      <c r="C295" s="21" t="s">
        <v>24</v>
      </c>
      <c r="D295" s="9">
        <v>45872</v>
      </c>
      <c r="E295" s="2"/>
      <c r="F295" s="21" t="s">
        <v>0</v>
      </c>
      <c r="G295" s="21" t="s">
        <v>118</v>
      </c>
      <c r="H295" s="21" t="s">
        <v>119</v>
      </c>
      <c r="I295" s="9">
        <v>45872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1" t="s">
        <v>6</v>
      </c>
      <c r="B296" s="21" t="s">
        <v>7</v>
      </c>
      <c r="C296" s="21" t="s">
        <v>8</v>
      </c>
      <c r="D296" s="21" t="s">
        <v>9</v>
      </c>
      <c r="E296" s="2"/>
      <c r="F296" s="21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21">
        <v>4</v>
      </c>
      <c r="B297" s="21">
        <v>2000000</v>
      </c>
      <c r="C297" s="21">
        <f>VLOOKUP(A297&amp;"|"&amp;B297,$O$3:$P$16,2,FALSE)</f>
        <v>12000</v>
      </c>
      <c r="D297" s="21">
        <f>VLOOKUP(A297&amp;"|"&amp;B297,$Q$3:$R$16,2,FALSE)</f>
        <v>88000</v>
      </c>
      <c r="E297" s="2"/>
      <c r="F297" s="21">
        <v>4</v>
      </c>
      <c r="G297" s="21">
        <v>2000000</v>
      </c>
      <c r="H297" s="21">
        <f>VLOOKUP(F297&amp;"|"&amp;G297,$O$3:$P$16,2,FALSE)</f>
        <v>12000</v>
      </c>
      <c r="I297" s="21">
        <f>VLOOKUP(F297&amp;"|"&amp;G297,$Q$3:$R$16,2,FALSE)</f>
        <v>88000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21">
        <v>12</v>
      </c>
      <c r="B298" s="21">
        <v>500000</v>
      </c>
      <c r="C298" s="21">
        <f>VLOOKUP(A298&amp;"|"&amp;B298,$O$3:$P$16,2,FALSE)</f>
        <v>1300</v>
      </c>
      <c r="D298" s="21">
        <f>VLOOKUP(A298&amp;"|"&amp;B298,$Q$3:$R$16,2,FALSE)</f>
        <v>23700</v>
      </c>
      <c r="E298" s="2"/>
      <c r="F298" s="21">
        <v>4</v>
      </c>
      <c r="G298" s="21">
        <v>1000000</v>
      </c>
      <c r="H298" s="21">
        <f>VLOOKUP(F298&amp;"|"&amp;G298,$O$3:$P$16,2,FALSE)</f>
        <v>5500</v>
      </c>
      <c r="I298" s="21">
        <f>VLOOKUP(F298&amp;"|"&amp;G298,$Q$3:$R$16,2,FALSE)</f>
        <v>44500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21">
        <v>15</v>
      </c>
      <c r="B299" s="21">
        <v>1000000</v>
      </c>
      <c r="C299" s="21">
        <f>VLOOKUP(A299&amp;"|"&amp;B299,$O$3:$P$17,2,FALSE)</f>
        <v>1250</v>
      </c>
      <c r="D299" s="21">
        <f>VLOOKUP(A299&amp;"|"&amp;B299,$Q$3:$R$17,2,FALSE)</f>
        <v>48750</v>
      </c>
      <c r="E299" s="2"/>
      <c r="F299" s="21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1"/>
      <c r="B300" s="21"/>
      <c r="C300" s="21"/>
      <c r="D300" s="21"/>
      <c r="E300" s="2"/>
      <c r="F300" s="21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1"/>
      <c r="B301" s="21"/>
      <c r="C301" s="21"/>
      <c r="D301" s="21"/>
      <c r="E301" s="2"/>
      <c r="F301" s="21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1" t="s">
        <v>16</v>
      </c>
      <c r="B302" s="21"/>
      <c r="C302" s="21"/>
      <c r="D302" s="21">
        <f>SUM(D297:D301)</f>
        <v>160450</v>
      </c>
      <c r="E302" s="2"/>
      <c r="F302" s="84" t="s">
        <v>16</v>
      </c>
      <c r="G302" s="85"/>
      <c r="H302" s="86"/>
      <c r="I302" s="21">
        <f>SUM(I297:I301)</f>
        <v>132500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thickTop="1" thickBot="1">
      <c r="A303" s="2"/>
      <c r="B303" s="2"/>
      <c r="C303" s="2" t="s">
        <v>191</v>
      </c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1" t="s">
        <v>0</v>
      </c>
      <c r="B304" s="21" t="s">
        <v>35</v>
      </c>
      <c r="C304" s="21" t="s">
        <v>120</v>
      </c>
      <c r="D304" s="9">
        <v>45872</v>
      </c>
      <c r="E304" s="2"/>
      <c r="F304" s="21" t="s">
        <v>0</v>
      </c>
      <c r="G304" s="21" t="s">
        <v>121</v>
      </c>
      <c r="H304" s="21" t="s">
        <v>28</v>
      </c>
      <c r="I304" s="9">
        <v>45872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1" t="s">
        <v>6</v>
      </c>
      <c r="B305" s="21" t="s">
        <v>7</v>
      </c>
      <c r="C305" s="21" t="s">
        <v>8</v>
      </c>
      <c r="D305" s="21" t="s">
        <v>9</v>
      </c>
      <c r="E305" s="2"/>
      <c r="F305" s="21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21">
        <v>4</v>
      </c>
      <c r="B306" s="21">
        <v>1000000</v>
      </c>
      <c r="C306" s="21">
        <f>VLOOKUP(A306&amp;"|"&amp;B306,$O$3:$P$17,2,FALSE)</f>
        <v>5500</v>
      </c>
      <c r="D306" s="21">
        <f>VLOOKUP(A306&amp;"|"&amp;B306,$Q$3:$R$17,2,FALSE)</f>
        <v>44500</v>
      </c>
      <c r="E306" s="2"/>
      <c r="F306" s="21">
        <v>4</v>
      </c>
      <c r="G306" s="21">
        <v>1000000</v>
      </c>
      <c r="H306" s="21">
        <f>VLOOKUP(F306&amp;"|"&amp;G306,$O$3:$P$18,2,FALSE)</f>
        <v>5500</v>
      </c>
      <c r="I306" s="21">
        <f>VLOOKUP(F306&amp;"|"&amp;G306,$Q$3:$R$17,2,FALSE)</f>
        <v>44500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21">
        <v>19</v>
      </c>
      <c r="B307" s="21">
        <v>1000000</v>
      </c>
      <c r="C307" s="21">
        <f>VLOOKUP(A307&amp;"|"&amp;B307,$O$3:$P$16,2,FALSE)</f>
        <v>150</v>
      </c>
      <c r="D307" s="21">
        <f>VLOOKUP(A307&amp;"|"&amp;B307,$Q$3:$R$16,2,FALSE)</f>
        <v>49850</v>
      </c>
      <c r="E307" s="2"/>
      <c r="F307" s="21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1"/>
      <c r="B308" s="21"/>
      <c r="C308" s="21"/>
      <c r="D308" s="21"/>
      <c r="E308" s="2"/>
      <c r="F308" s="21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1"/>
      <c r="B309" s="21"/>
      <c r="C309" s="21"/>
      <c r="D309" s="21"/>
      <c r="E309" s="2"/>
      <c r="F309" s="21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1"/>
      <c r="B310" s="21"/>
      <c r="C310" s="21"/>
      <c r="D310" s="21"/>
      <c r="E310" s="2"/>
      <c r="F310" s="21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1" t="s">
        <v>16</v>
      </c>
      <c r="B311" s="21"/>
      <c r="C311" s="21"/>
      <c r="D311" s="21">
        <f>SUM(D306:D310)</f>
        <v>94350</v>
      </c>
      <c r="E311" s="2"/>
      <c r="F311" s="84" t="s">
        <v>16</v>
      </c>
      <c r="G311" s="85"/>
      <c r="H311" s="86"/>
      <c r="I311" s="21">
        <f>SUM(I306:I310)</f>
        <v>44500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thickTop="1" thickBo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1" t="s">
        <v>0</v>
      </c>
      <c r="B313" s="21" t="s">
        <v>122</v>
      </c>
      <c r="C313" s="21" t="s">
        <v>76</v>
      </c>
      <c r="D313" s="9">
        <v>45872</v>
      </c>
      <c r="E313" s="2"/>
      <c r="F313" s="21" t="s">
        <v>0</v>
      </c>
      <c r="G313" s="21" t="s">
        <v>61</v>
      </c>
      <c r="H313" s="21" t="s">
        <v>123</v>
      </c>
      <c r="I313" s="9">
        <v>45872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1" t="s">
        <v>6</v>
      </c>
      <c r="B314" s="21" t="s">
        <v>7</v>
      </c>
      <c r="C314" s="21" t="s">
        <v>8</v>
      </c>
      <c r="D314" s="21" t="s">
        <v>9</v>
      </c>
      <c r="E314" s="2"/>
      <c r="F314" s="21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21">
        <v>4</v>
      </c>
      <c r="B315" s="21">
        <v>500000</v>
      </c>
      <c r="C315" s="21">
        <f>VLOOKUP(A315&amp;"|"&amp;B315,$O$3:$P$16,2,FALSE)</f>
        <v>3400</v>
      </c>
      <c r="D315" s="21">
        <f>VLOOKUP(A315&amp;"|"&amp;B315,$Q$3:$R$16,2,FALSE)</f>
        <v>21600</v>
      </c>
      <c r="E315" s="2"/>
      <c r="F315" s="21">
        <v>15</v>
      </c>
      <c r="G315" s="21">
        <v>500000</v>
      </c>
      <c r="H315" s="21" t="e">
        <f>VLOOKUP(F315&amp;"|"&amp;G315,$O$3:$P$16,2,FALSE)</f>
        <v>#N/A</v>
      </c>
      <c r="I315" s="21">
        <f>VLOOKUP(F315&amp;"|"&amp;G315,$Q$3:$R$16,2,FALSE)</f>
        <v>24300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21">
        <v>9</v>
      </c>
      <c r="B316" s="21">
        <v>500000</v>
      </c>
      <c r="C316" s="21">
        <f>VLOOKUP(A316&amp;"|"&amp;B316,$O$3:$P$16,2,FALSE)</f>
        <v>2100</v>
      </c>
      <c r="D316" s="21">
        <f>VLOOKUP(A316&amp;"|"&amp;B316,$Q$3:$R$16,2,FALSE)</f>
        <v>22900</v>
      </c>
      <c r="E316" s="2"/>
      <c r="F316" s="21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1"/>
      <c r="B317" s="21"/>
      <c r="C317" s="21"/>
      <c r="D317" s="21"/>
      <c r="E317" s="2"/>
      <c r="F317" s="21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1"/>
      <c r="B318" s="21"/>
      <c r="C318" s="21"/>
      <c r="D318" s="21"/>
      <c r="E318" s="2"/>
      <c r="F318" s="21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1"/>
      <c r="B319" s="21"/>
      <c r="C319" s="21"/>
      <c r="D319" s="21"/>
      <c r="E319" s="2"/>
      <c r="F319" s="21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1" t="s">
        <v>16</v>
      </c>
      <c r="B320" s="21"/>
      <c r="C320" s="21"/>
      <c r="D320" s="21">
        <f>SUM(D315:D319)</f>
        <v>44500</v>
      </c>
      <c r="E320" s="2"/>
      <c r="F320" s="84" t="s">
        <v>16</v>
      </c>
      <c r="G320" s="85"/>
      <c r="H320" s="86"/>
      <c r="I320" s="21">
        <f>SUM(I315:I319)</f>
        <v>24300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thickTop="1" thickBo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1" t="s">
        <v>0</v>
      </c>
      <c r="B322" s="21" t="s">
        <v>124</v>
      </c>
      <c r="C322" s="21" t="s">
        <v>125</v>
      </c>
      <c r="D322" s="9">
        <v>45872</v>
      </c>
      <c r="E322" s="2"/>
      <c r="F322" s="21" t="s">
        <v>0</v>
      </c>
      <c r="G322" s="21" t="s">
        <v>126</v>
      </c>
      <c r="H322" s="21" t="s">
        <v>22</v>
      </c>
      <c r="I322" s="9">
        <v>45872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1" t="s">
        <v>6</v>
      </c>
      <c r="B323" s="21" t="s">
        <v>7</v>
      </c>
      <c r="C323" s="21" t="s">
        <v>8</v>
      </c>
      <c r="D323" s="21" t="s">
        <v>9</v>
      </c>
      <c r="E323" s="2"/>
      <c r="F323" s="21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21">
        <v>19</v>
      </c>
      <c r="B324" s="21">
        <v>500000</v>
      </c>
      <c r="C324" s="21">
        <f>VLOOKUP(A324&amp;"|"&amp;B324,$O$3:$P$16,2,FALSE)</f>
        <v>75</v>
      </c>
      <c r="D324" s="21">
        <f>VLOOKUP(A324&amp;"|"&amp;B324,$Q$3:$R$16,2,FALSE)</f>
        <v>24925</v>
      </c>
      <c r="E324" s="2"/>
      <c r="F324" s="21">
        <v>9</v>
      </c>
      <c r="G324" s="21">
        <v>500000</v>
      </c>
      <c r="H324" s="21">
        <f>VLOOKUP(F324&amp;"|"&amp;G324,$O$3:$P$16,2,FALSE)</f>
        <v>2100</v>
      </c>
      <c r="I324" s="21">
        <f>VLOOKUP(F324&amp;"|"&amp;G324,$Q$3:$R$16,2,FALSE)</f>
        <v>22900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1"/>
      <c r="B325" s="21"/>
      <c r="C325" s="21"/>
      <c r="D325" s="21"/>
      <c r="E325" s="2"/>
      <c r="F325" s="21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1"/>
      <c r="B326" s="21"/>
      <c r="C326" s="21"/>
      <c r="D326" s="21"/>
      <c r="E326" s="2"/>
      <c r="F326" s="21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1"/>
      <c r="B327" s="21"/>
      <c r="C327" s="21"/>
      <c r="D327" s="21"/>
      <c r="E327" s="10"/>
      <c r="F327" s="21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1"/>
      <c r="B328" s="21"/>
      <c r="C328" s="21"/>
      <c r="D328" s="21"/>
      <c r="E328" s="2"/>
      <c r="F328" s="21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1" t="s">
        <v>16</v>
      </c>
      <c r="B329" s="21"/>
      <c r="C329" s="21"/>
      <c r="D329" s="21">
        <f>SUM(D324:D328)</f>
        <v>24925</v>
      </c>
      <c r="E329" s="2"/>
      <c r="F329" s="84" t="s">
        <v>16</v>
      </c>
      <c r="G329" s="85"/>
      <c r="H329" s="86"/>
      <c r="I329" s="21">
        <f>SUM(I324:I328)</f>
        <v>22900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thickTop="1" thickBo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1" t="s">
        <v>0</v>
      </c>
      <c r="B331" s="21" t="s">
        <v>127</v>
      </c>
      <c r="C331" s="21" t="s">
        <v>24</v>
      </c>
      <c r="D331" s="9">
        <v>45872</v>
      </c>
      <c r="E331" s="2"/>
      <c r="F331" s="21" t="s">
        <v>0</v>
      </c>
      <c r="G331" s="21" t="s">
        <v>73</v>
      </c>
      <c r="H331" s="21" t="s">
        <v>18</v>
      </c>
      <c r="I331" s="9">
        <v>45872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1" t="s">
        <v>6</v>
      </c>
      <c r="B332" s="21" t="s">
        <v>7</v>
      </c>
      <c r="C332" s="21" t="s">
        <v>8</v>
      </c>
      <c r="D332" s="21" t="s">
        <v>9</v>
      </c>
      <c r="E332" s="2"/>
      <c r="F332" s="21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21">
        <v>9</v>
      </c>
      <c r="B333" s="21">
        <v>500000</v>
      </c>
      <c r="C333" s="21">
        <f>VLOOKUP(A333&amp;"|"&amp;B333,$O$3:$P$16,2,FALSE)</f>
        <v>2100</v>
      </c>
      <c r="D333" s="21">
        <f>VLOOKUP(A333&amp;"|"&amp;B333,$Q$3:$R$16,2,FALSE)</f>
        <v>22900</v>
      </c>
      <c r="E333" s="2"/>
      <c r="F333" s="21">
        <v>9</v>
      </c>
      <c r="G333" s="21">
        <v>500000</v>
      </c>
      <c r="H333" s="21">
        <f>VLOOKUP(F333&amp;"|"&amp;G333,$O$3:$P$16,2,FALSE)</f>
        <v>2100</v>
      </c>
      <c r="I333" s="21">
        <f>VLOOKUP(F333&amp;"|"&amp;G333,$Q$3:$R$16,2,FALSE)</f>
        <v>22900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21">
        <v>12</v>
      </c>
      <c r="B334" s="21">
        <v>500000</v>
      </c>
      <c r="C334" s="21">
        <f>VLOOKUP(A334&amp;"|"&amp;B334,$O$3:$P$16,2,FALSE)</f>
        <v>1300</v>
      </c>
      <c r="D334" s="21">
        <f>VLOOKUP(A334&amp;"|"&amp;B334,$Q$3:$R$16,2,FALSE)</f>
        <v>23700</v>
      </c>
      <c r="E334" s="2"/>
      <c r="F334" s="21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1"/>
      <c r="B335" s="21"/>
      <c r="C335" s="21"/>
      <c r="D335" s="21"/>
      <c r="E335" s="2"/>
      <c r="F335" s="21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1"/>
      <c r="B336" s="21"/>
      <c r="C336" s="21"/>
      <c r="D336" s="21"/>
      <c r="E336" s="2"/>
      <c r="F336" s="21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1"/>
      <c r="B337" s="21"/>
      <c r="C337" s="21"/>
      <c r="D337" s="21"/>
      <c r="E337" s="2"/>
      <c r="F337" s="21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1" t="s">
        <v>16</v>
      </c>
      <c r="B338" s="21"/>
      <c r="C338" s="21"/>
      <c r="D338" s="21">
        <f>SUM(D333:D337)</f>
        <v>46600</v>
      </c>
      <c r="E338" s="10"/>
      <c r="F338" s="84" t="s">
        <v>16</v>
      </c>
      <c r="G338" s="85"/>
      <c r="H338" s="86"/>
      <c r="I338" s="21">
        <f>SUM(I333:I337)</f>
        <v>22900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thickTop="1" thickBo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1" t="s">
        <v>0</v>
      </c>
      <c r="B340" s="21" t="s">
        <v>128</v>
      </c>
      <c r="C340" s="21" t="s">
        <v>34</v>
      </c>
      <c r="D340" s="9">
        <v>45872</v>
      </c>
      <c r="E340" s="2"/>
      <c r="F340" s="21" t="s">
        <v>0</v>
      </c>
      <c r="G340" s="21" t="s">
        <v>129</v>
      </c>
      <c r="H340" s="21" t="s">
        <v>39</v>
      </c>
      <c r="I340" s="9">
        <v>45872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1" t="s">
        <v>6</v>
      </c>
      <c r="B341" s="21" t="s">
        <v>7</v>
      </c>
      <c r="C341" s="21" t="s">
        <v>8</v>
      </c>
      <c r="D341" s="21" t="s">
        <v>9</v>
      </c>
      <c r="E341" s="2"/>
      <c r="F341" s="21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21">
        <v>12</v>
      </c>
      <c r="B342" s="21">
        <v>500000</v>
      </c>
      <c r="C342" s="21">
        <f>VLOOKUP(A342&amp;"|"&amp;B342,$O$3:$P$16,2,FALSE)</f>
        <v>1300</v>
      </c>
      <c r="D342" s="21">
        <f>VLOOKUP(A342&amp;"|"&amp;B342,$Q$3:$R$16,2,FALSE)</f>
        <v>23700</v>
      </c>
      <c r="E342" s="2"/>
      <c r="F342" s="21">
        <v>19</v>
      </c>
      <c r="G342" s="21">
        <v>500000</v>
      </c>
      <c r="H342" s="21">
        <f>VLOOKUP(F342&amp;"|"&amp;G342,$O$3:$P$16,2,FALSE)</f>
        <v>75</v>
      </c>
      <c r="I342" s="21">
        <f>VLOOKUP(F342&amp;"|"&amp;G342,$Q$3:$R$16,2,FALSE)</f>
        <v>24925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1"/>
      <c r="B343" s="21"/>
      <c r="C343" s="21"/>
      <c r="D343" s="21"/>
      <c r="E343" s="2"/>
      <c r="F343" s="21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1"/>
      <c r="B344" s="21"/>
      <c r="C344" s="21"/>
      <c r="D344" s="21"/>
      <c r="E344" s="2"/>
      <c r="F344" s="21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1"/>
      <c r="B345" s="21"/>
      <c r="C345" s="21"/>
      <c r="D345" s="21"/>
      <c r="E345" s="2"/>
      <c r="F345" s="21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1"/>
      <c r="B346" s="21"/>
      <c r="C346" s="21"/>
      <c r="D346" s="21"/>
      <c r="E346" s="2"/>
      <c r="F346" s="21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1" t="s">
        <v>16</v>
      </c>
      <c r="B347" s="21"/>
      <c r="C347" s="21"/>
      <c r="D347" s="21">
        <f>SUM(D342:D346)</f>
        <v>23700</v>
      </c>
      <c r="E347" s="2"/>
      <c r="F347" s="84" t="s">
        <v>16</v>
      </c>
      <c r="G347" s="85"/>
      <c r="H347" s="86"/>
      <c r="I347" s="21">
        <f>SUM(I342:I346)</f>
        <v>24925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10"/>
      <c r="B348" s="10"/>
      <c r="C348" s="10"/>
      <c r="D348" s="10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1" t="s">
        <v>0</v>
      </c>
      <c r="B349" s="21" t="s">
        <v>130</v>
      </c>
      <c r="C349" s="21" t="s">
        <v>104</v>
      </c>
      <c r="D349" s="9">
        <v>45872</v>
      </c>
      <c r="E349" s="2"/>
      <c r="F349" s="21" t="s">
        <v>0</v>
      </c>
      <c r="G349" s="21"/>
      <c r="H349" s="21"/>
      <c r="I349" s="9">
        <v>45872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1" t="s">
        <v>6</v>
      </c>
      <c r="B350" s="21" t="s">
        <v>7</v>
      </c>
      <c r="C350" s="21" t="s">
        <v>8</v>
      </c>
      <c r="D350" s="21" t="s">
        <v>9</v>
      </c>
      <c r="E350" s="2"/>
      <c r="F350" s="21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21">
        <v>15</v>
      </c>
      <c r="B351" s="21">
        <v>500000</v>
      </c>
      <c r="C351" s="21" t="e">
        <f>VLOOKUP(A351&amp;"|"&amp;B351,$O$3:$P$16,2,FALSE)</f>
        <v>#N/A</v>
      </c>
      <c r="D351" s="21">
        <f>VLOOKUP(A351&amp;"|"&amp;B351,$Q$3:$R$16,2,FALSE)</f>
        <v>24300</v>
      </c>
      <c r="E351" s="2"/>
      <c r="F351" s="21"/>
      <c r="G351" s="21"/>
      <c r="H351" s="21"/>
      <c r="I351" s="2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1"/>
      <c r="B352" s="21"/>
      <c r="C352" s="21"/>
      <c r="D352" s="21"/>
      <c r="E352" s="2"/>
      <c r="F352" s="21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1"/>
      <c r="B353" s="21"/>
      <c r="C353" s="21"/>
      <c r="D353" s="21"/>
      <c r="E353" s="2"/>
      <c r="F353" s="21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1"/>
      <c r="B354" s="21"/>
      <c r="C354" s="21"/>
      <c r="D354" s="21"/>
      <c r="E354" s="2"/>
      <c r="F354" s="21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1"/>
      <c r="B355" s="21"/>
      <c r="C355" s="21"/>
      <c r="D355" s="21"/>
      <c r="E355" s="2"/>
      <c r="F355" s="21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1" t="s">
        <v>16</v>
      </c>
      <c r="B356" s="21"/>
      <c r="C356" s="21"/>
      <c r="D356" s="21">
        <f>SUM(D351:D355)</f>
        <v>24300</v>
      </c>
      <c r="E356" s="2"/>
      <c r="F356" s="84" t="s">
        <v>16</v>
      </c>
      <c r="G356" s="85"/>
      <c r="H356" s="86"/>
      <c r="I356" s="21">
        <f>SUM(I351:I355)</f>
        <v>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10"/>
      <c r="B357" s="10"/>
      <c r="C357" s="10"/>
      <c r="D357" s="10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1" t="s">
        <v>0</v>
      </c>
      <c r="B358" s="21" t="s">
        <v>132</v>
      </c>
      <c r="C358" s="21" t="s">
        <v>133</v>
      </c>
      <c r="D358" s="9">
        <v>45872</v>
      </c>
      <c r="E358" s="2"/>
      <c r="F358" s="21" t="s">
        <v>0</v>
      </c>
      <c r="G358" s="21" t="s">
        <v>63</v>
      </c>
      <c r="H358" s="21" t="s">
        <v>43</v>
      </c>
      <c r="I358" s="9">
        <v>45872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1" t="s">
        <v>6</v>
      </c>
      <c r="B359" s="21" t="s">
        <v>7</v>
      </c>
      <c r="C359" s="21" t="s">
        <v>8</v>
      </c>
      <c r="D359" s="21" t="s">
        <v>9</v>
      </c>
      <c r="E359" s="2"/>
      <c r="F359" s="21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21">
        <v>4</v>
      </c>
      <c r="B360" s="21">
        <v>500000</v>
      </c>
      <c r="C360" s="21">
        <f>VLOOKUP(A360&amp;"|"&amp;B360,$O$3:$P$16,2,FALSE)</f>
        <v>3400</v>
      </c>
      <c r="D360" s="21">
        <f>VLOOKUP(A360&amp;"|"&amp;B360,$Q$3:$R$16,2,FALSE)</f>
        <v>21600</v>
      </c>
      <c r="E360" s="2"/>
      <c r="F360" s="21">
        <v>12</v>
      </c>
      <c r="G360" s="21">
        <v>500000</v>
      </c>
      <c r="H360" s="21">
        <f>VLOOKUP(F360&amp;"|"&amp;G360,$O$3:$P$16,2,FALSE)</f>
        <v>1300</v>
      </c>
      <c r="I360" s="21">
        <f>VLOOKUP(F360&amp;"|"&amp;G360,$Q$3:$R$16,2,FALSE)</f>
        <v>23700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21"/>
      <c r="B361" s="21"/>
      <c r="C361" s="21"/>
      <c r="D361" s="21"/>
      <c r="E361" s="2"/>
      <c r="F361" s="21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1"/>
      <c r="B362" s="21"/>
      <c r="C362" s="21"/>
      <c r="D362" s="21"/>
      <c r="E362" s="2"/>
      <c r="F362" s="21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1"/>
      <c r="B363" s="21"/>
      <c r="C363" s="21"/>
      <c r="D363" s="21"/>
      <c r="E363" s="2"/>
      <c r="F363" s="21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1"/>
      <c r="B364" s="21"/>
      <c r="C364" s="21"/>
      <c r="D364" s="21"/>
      <c r="E364" s="2"/>
      <c r="F364" s="21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1" t="s">
        <v>16</v>
      </c>
      <c r="B365" s="21"/>
      <c r="C365" s="21"/>
      <c r="D365" s="21">
        <f>SUM(D360:D364)</f>
        <v>21600</v>
      </c>
      <c r="E365" s="2"/>
      <c r="F365" s="84" t="s">
        <v>16</v>
      </c>
      <c r="G365" s="85"/>
      <c r="H365" s="86"/>
      <c r="I365" s="21">
        <f>SUM(I360:I364)</f>
        <v>23700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thickTop="1" thickBo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1" t="s">
        <v>0</v>
      </c>
      <c r="B367" s="21" t="s">
        <v>187</v>
      </c>
      <c r="C367" s="21" t="s">
        <v>28</v>
      </c>
      <c r="D367" s="9">
        <v>45872</v>
      </c>
      <c r="E367" s="2"/>
      <c r="F367" s="21" t="s">
        <v>0</v>
      </c>
      <c r="G367" s="21" t="s">
        <v>126</v>
      </c>
      <c r="H367" s="21" t="s">
        <v>43</v>
      </c>
      <c r="I367" s="9">
        <v>45872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1" t="s">
        <v>6</v>
      </c>
      <c r="B368" s="21" t="s">
        <v>7</v>
      </c>
      <c r="C368" s="21" t="s">
        <v>8</v>
      </c>
      <c r="D368" s="21" t="s">
        <v>9</v>
      </c>
      <c r="E368" s="2"/>
      <c r="F368" s="21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21">
        <v>4</v>
      </c>
      <c r="B369" s="21">
        <v>1000000</v>
      </c>
      <c r="C369" s="21">
        <f>VLOOKUP(A369&amp;"|"&amp;B369,$O$3:$P$16,2,FALSE)</f>
        <v>5500</v>
      </c>
      <c r="D369" s="21">
        <f>VLOOKUP(A369&amp;"|"&amp;B369,$Q$3:$R$16,2,FALSE)</f>
        <v>44500</v>
      </c>
      <c r="E369" s="2"/>
      <c r="F369" s="21">
        <v>12</v>
      </c>
      <c r="G369" s="21">
        <v>500000</v>
      </c>
      <c r="H369" s="21">
        <f>VLOOKUP(F369&amp;"|"&amp;G369,$O$3:$P$16,2,FALSE)</f>
        <v>1300</v>
      </c>
      <c r="I369" s="21">
        <f>VLOOKUP(F369&amp;"|"&amp;G369,$Q$3:$R$16,2,FALSE)</f>
        <v>23700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21">
        <v>19</v>
      </c>
      <c r="B370" s="21">
        <v>500000</v>
      </c>
      <c r="C370" s="21">
        <f>VLOOKUP(A370&amp;"|"&amp;B370,$O$3:$P$16,2,FALSE)</f>
        <v>75</v>
      </c>
      <c r="D370" s="21">
        <f>VLOOKUP(A370&amp;"|"&amp;B370,$Q$3:$R$16,2,FALSE)</f>
        <v>24925</v>
      </c>
      <c r="E370" s="4"/>
      <c r="F370" s="21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1"/>
      <c r="B371" s="21"/>
      <c r="C371" s="21"/>
      <c r="D371" s="21"/>
      <c r="E371" s="4"/>
      <c r="F371" s="21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1"/>
      <c r="B372" s="21"/>
      <c r="C372" s="21"/>
      <c r="D372" s="21"/>
      <c r="E372" s="4"/>
      <c r="F372" s="21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1"/>
      <c r="B373" s="21"/>
      <c r="C373" s="21"/>
      <c r="D373" s="21"/>
      <c r="E373" s="4"/>
      <c r="F373" s="21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1" t="s">
        <v>16</v>
      </c>
      <c r="B374" s="21"/>
      <c r="C374" s="21"/>
      <c r="D374" s="21">
        <f>SUM(D369:D373)</f>
        <v>69425</v>
      </c>
      <c r="E374" s="4"/>
      <c r="F374" s="84" t="s">
        <v>16</v>
      </c>
      <c r="G374" s="85"/>
      <c r="H374" s="86"/>
      <c r="I374" s="21">
        <f>SUM(I369:I373)</f>
        <v>23700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thickTop="1" thickBo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1" t="s">
        <v>0</v>
      </c>
      <c r="B376" s="21" t="s">
        <v>35</v>
      </c>
      <c r="C376" s="21" t="s">
        <v>62</v>
      </c>
      <c r="D376" s="9">
        <v>45872</v>
      </c>
      <c r="E376" s="4"/>
      <c r="F376" s="21" t="s">
        <v>0</v>
      </c>
      <c r="G376" s="21" t="s">
        <v>109</v>
      </c>
      <c r="H376" s="21" t="s">
        <v>134</v>
      </c>
      <c r="I376" s="9">
        <v>45872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1" t="s">
        <v>6</v>
      </c>
      <c r="B377" s="21" t="s">
        <v>7</v>
      </c>
      <c r="C377" s="21" t="s">
        <v>8</v>
      </c>
      <c r="D377" s="21" t="s">
        <v>9</v>
      </c>
      <c r="E377" s="4"/>
      <c r="F377" s="21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21">
        <v>4</v>
      </c>
      <c r="B378" s="21">
        <v>500000</v>
      </c>
      <c r="C378" s="21">
        <f>VLOOKUP(A378&amp;"|"&amp;B378,$O$3:$P$17,2,FALSE)</f>
        <v>3400</v>
      </c>
      <c r="D378" s="21">
        <f>VLOOKUP(A378&amp;"|"&amp;B378,$Q$3:$R$17,2,FALSE)</f>
        <v>21600</v>
      </c>
      <c r="E378" s="4"/>
      <c r="F378" s="21">
        <v>4</v>
      </c>
      <c r="G378" s="21">
        <v>500000</v>
      </c>
      <c r="H378" s="21">
        <f>VLOOKUP(F378&amp;"|"&amp;G378,$O$3:$P$17,2,FALSE)</f>
        <v>3400</v>
      </c>
      <c r="I378" s="21">
        <f>VLOOKUP(F378&amp;"|"&amp;G378,$Q$3:$R$17,2,FALSE)</f>
        <v>21600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1"/>
      <c r="B379" s="21"/>
      <c r="C379" s="21"/>
      <c r="D379" s="21"/>
      <c r="E379" s="4"/>
      <c r="F379" s="21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1"/>
      <c r="B380" s="21"/>
      <c r="C380" s="21"/>
      <c r="D380" s="21"/>
      <c r="E380" s="4"/>
      <c r="F380" s="21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1"/>
      <c r="B381" s="21"/>
      <c r="C381" s="21"/>
      <c r="D381" s="21"/>
      <c r="E381" s="4"/>
      <c r="F381" s="21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1"/>
      <c r="B382" s="21"/>
      <c r="C382" s="21"/>
      <c r="D382" s="21"/>
      <c r="E382" s="4"/>
      <c r="F382" s="21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1" t="s">
        <v>16</v>
      </c>
      <c r="B383" s="21"/>
      <c r="C383" s="21"/>
      <c r="D383" s="21">
        <f>SUM(D378:D382)</f>
        <v>21600</v>
      </c>
      <c r="E383" s="4"/>
      <c r="F383" s="84" t="s">
        <v>16</v>
      </c>
      <c r="G383" s="85"/>
      <c r="H383" s="86"/>
      <c r="I383" s="21">
        <f>SUM(I378:I382)</f>
        <v>21600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thickTop="1" thickBo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1" t="s">
        <v>0</v>
      </c>
      <c r="B385" s="21" t="s">
        <v>128</v>
      </c>
      <c r="C385" s="21" t="s">
        <v>134</v>
      </c>
      <c r="D385" s="9">
        <v>45872</v>
      </c>
      <c r="E385" s="4"/>
      <c r="F385" s="21" t="s">
        <v>0</v>
      </c>
      <c r="G385" s="21" t="s">
        <v>135</v>
      </c>
      <c r="H385" s="21" t="s">
        <v>136</v>
      </c>
      <c r="I385" s="9">
        <v>45872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1" t="s">
        <v>6</v>
      </c>
      <c r="B386" s="21" t="s">
        <v>7</v>
      </c>
      <c r="C386" s="21" t="s">
        <v>8</v>
      </c>
      <c r="D386" s="21" t="s">
        <v>9</v>
      </c>
      <c r="E386" s="4"/>
      <c r="F386" s="21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21">
        <v>15</v>
      </c>
      <c r="B387" s="21">
        <v>1000000</v>
      </c>
      <c r="C387" s="21">
        <f>VLOOKUP(A387&amp;"|"&amp;B387,$O$3:$P$16,2,FALSE)</f>
        <v>1250</v>
      </c>
      <c r="D387" s="21">
        <f>VLOOKUP(A387&amp;"|"&amp;B387,$Q$3:$R$16,2,FALSE)</f>
        <v>48750</v>
      </c>
      <c r="E387" s="4"/>
      <c r="F387" s="21">
        <v>9</v>
      </c>
      <c r="G387" s="21">
        <v>500000</v>
      </c>
      <c r="H387" s="21">
        <f>VLOOKUP(F387&amp;"|"&amp;G387,$O$3:$P$16,2,FALSE)</f>
        <v>2100</v>
      </c>
      <c r="I387" s="21">
        <f>VLOOKUP(F387&amp;"|"&amp;G387,$Q$3:$R$16,2,FALSE)</f>
        <v>22900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21">
        <v>15.1</v>
      </c>
      <c r="B388" s="21">
        <v>1000000</v>
      </c>
      <c r="C388" s="21">
        <f>VLOOKUP(A388&amp;"|"&amp;B388,$O$3:$P$16,2,FALSE)</f>
        <v>1250</v>
      </c>
      <c r="D388" s="21">
        <f>VLOOKUP(A388&amp;"|"&amp;B388,$Q$3:$R$16,2,FALSE)</f>
        <v>48750</v>
      </c>
      <c r="E388" s="4"/>
      <c r="F388" s="21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1"/>
      <c r="B389" s="21"/>
      <c r="C389" s="21"/>
      <c r="D389" s="21"/>
      <c r="E389" s="4"/>
      <c r="F389" s="21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1"/>
      <c r="B390" s="21"/>
      <c r="C390" s="21"/>
      <c r="D390" s="21"/>
      <c r="E390" s="4"/>
      <c r="F390" s="21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1"/>
      <c r="B391" s="21"/>
      <c r="C391" s="21"/>
      <c r="D391" s="21"/>
      <c r="E391" s="4"/>
      <c r="F391" s="21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59" t="s">
        <v>49</v>
      </c>
      <c r="B392" s="53"/>
      <c r="C392" s="54"/>
      <c r="D392" s="21">
        <f>SUM(D387:D391)</f>
        <v>97500</v>
      </c>
      <c r="E392" s="4"/>
      <c r="F392" s="84" t="s">
        <v>16</v>
      </c>
      <c r="G392" s="85"/>
      <c r="H392" s="86"/>
      <c r="I392" s="21">
        <f>SUM(I387:I391)</f>
        <v>22900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2"/>
      <c r="B393" s="2"/>
      <c r="C393" s="2"/>
      <c r="D393" s="10"/>
      <c r="E393" s="4"/>
      <c r="F393" s="2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1" t="s">
        <v>0</v>
      </c>
      <c r="B394" s="21" t="s">
        <v>137</v>
      </c>
      <c r="C394" s="21" t="s">
        <v>138</v>
      </c>
      <c r="D394" s="9">
        <v>45872</v>
      </c>
      <c r="E394" s="4"/>
      <c r="F394" s="21" t="s">
        <v>0</v>
      </c>
      <c r="G394" s="21" t="s">
        <v>139</v>
      </c>
      <c r="H394" s="21" t="s">
        <v>140</v>
      </c>
      <c r="I394" s="9">
        <v>45872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1" t="s">
        <v>6</v>
      </c>
      <c r="B395" s="21" t="s">
        <v>7</v>
      </c>
      <c r="C395" s="21" t="s">
        <v>8</v>
      </c>
      <c r="D395" s="21" t="s">
        <v>9</v>
      </c>
      <c r="E395" s="4"/>
      <c r="F395" s="21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21">
        <v>15</v>
      </c>
      <c r="B396" s="21">
        <v>1000000</v>
      </c>
      <c r="C396" s="21">
        <f>VLOOKUP(A396&amp;"|"&amp;B396,$O$3:$P$16,2,FALSE)</f>
        <v>1250</v>
      </c>
      <c r="D396" s="21">
        <f>VLOOKUP(A396&amp;"|"&amp;B396,$Q$3:$R$16,2,FALSE)</f>
        <v>48750</v>
      </c>
      <c r="E396" s="4"/>
      <c r="F396" s="21">
        <v>4</v>
      </c>
      <c r="G396" s="21">
        <v>1000000</v>
      </c>
      <c r="H396" s="21">
        <f>VLOOKUP(F396&amp;"|"&amp;G396,$O$3:$P$16,2,FALSE)</f>
        <v>5500</v>
      </c>
      <c r="I396" s="21">
        <f>VLOOKUP(F396&amp;"|"&amp;G396,$Q$3:$R$16,2,FALSE)</f>
        <v>44500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1"/>
      <c r="B397" s="21"/>
      <c r="C397" s="21"/>
      <c r="D397" s="21"/>
      <c r="E397" s="4"/>
      <c r="F397" s="21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1"/>
      <c r="B398" s="21"/>
      <c r="C398" s="21"/>
      <c r="D398" s="21"/>
      <c r="E398" s="4"/>
      <c r="F398" s="21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1"/>
      <c r="B399" s="21"/>
      <c r="C399" s="21"/>
      <c r="D399" s="21"/>
      <c r="E399" s="4"/>
      <c r="F399" s="21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1"/>
      <c r="B400" s="21"/>
      <c r="C400" s="21"/>
      <c r="D400" s="21"/>
      <c r="E400" s="4"/>
      <c r="F400" s="21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59" t="s">
        <v>49</v>
      </c>
      <c r="B401" s="53"/>
      <c r="C401" s="54"/>
      <c r="D401" s="21">
        <f>SUM(D396:D400)</f>
        <v>48750</v>
      </c>
      <c r="E401" s="4"/>
      <c r="F401" s="84" t="s">
        <v>16</v>
      </c>
      <c r="G401" s="85"/>
      <c r="H401" s="86"/>
      <c r="I401" s="21">
        <f>SUM(I396:I400)</f>
        <v>44500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2"/>
      <c r="B402" s="2"/>
      <c r="C402" s="2"/>
      <c r="D402" s="2"/>
      <c r="E402" s="4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2" t="s">
        <v>0</v>
      </c>
      <c r="B403" s="12" t="s">
        <v>141</v>
      </c>
      <c r="C403" s="12" t="s">
        <v>142</v>
      </c>
      <c r="D403" s="9">
        <v>45872</v>
      </c>
      <c r="E403" s="4"/>
      <c r="F403" s="21" t="s">
        <v>0</v>
      </c>
      <c r="G403" s="21" t="s">
        <v>143</v>
      </c>
      <c r="H403" s="21" t="s">
        <v>144</v>
      </c>
      <c r="I403" s="9">
        <v>45872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1" t="s">
        <v>6</v>
      </c>
      <c r="B404" s="21" t="s">
        <v>7</v>
      </c>
      <c r="C404" s="21" t="s">
        <v>8</v>
      </c>
      <c r="D404" s="21" t="s">
        <v>9</v>
      </c>
      <c r="E404" s="4"/>
      <c r="F404" s="21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21">
        <v>15.1</v>
      </c>
      <c r="B405" s="21">
        <v>1000000</v>
      </c>
      <c r="C405" s="21">
        <f>VLOOKUP(A405&amp;"|"&amp;B405,$O$3:$P$16,2,FALSE)</f>
        <v>1250</v>
      </c>
      <c r="D405" s="21">
        <f>VLOOKUP(A405&amp;"|"&amp;B405,$Q$3:$R$16,2,FALSE)</f>
        <v>48750</v>
      </c>
      <c r="E405" s="4"/>
      <c r="F405" s="21">
        <v>15</v>
      </c>
      <c r="G405" s="21">
        <v>500000</v>
      </c>
      <c r="H405" s="21" t="e">
        <f>VLOOKUP(F405&amp;"|"&amp;G405,$O$3:$P$16,2,FALSE)</f>
        <v>#N/A</v>
      </c>
      <c r="I405" s="21">
        <f>VLOOKUP(F405&amp;"|"&amp;G405,$Q$3:$R$16,2,FALSE)</f>
        <v>24300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1"/>
      <c r="B406" s="21"/>
      <c r="C406" s="21"/>
      <c r="D406" s="21"/>
      <c r="E406" s="4"/>
      <c r="F406" s="21">
        <v>19</v>
      </c>
      <c r="G406" s="21">
        <v>500000</v>
      </c>
      <c r="H406" s="21">
        <f>VLOOKUP(F406&amp;"|"&amp;G406,$O$3:$P$16,2,FALSE)</f>
        <v>75</v>
      </c>
      <c r="I406" s="21">
        <f>VLOOKUP(F406&amp;"|"&amp;G406,$Q$3:$R$16,2,FALSE)</f>
        <v>24925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1"/>
      <c r="B407" s="21"/>
      <c r="C407" s="21"/>
      <c r="D407" s="21"/>
      <c r="E407" s="4"/>
      <c r="F407" s="21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1"/>
      <c r="B408" s="21"/>
      <c r="C408" s="21"/>
      <c r="D408" s="21"/>
      <c r="E408" s="4"/>
      <c r="F408" s="21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1"/>
      <c r="B409" s="21"/>
      <c r="C409" s="21"/>
      <c r="D409" s="21"/>
      <c r="E409" s="4"/>
      <c r="F409" s="21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59" t="s">
        <v>49</v>
      </c>
      <c r="B410" s="53"/>
      <c r="C410" s="54"/>
      <c r="D410" s="21">
        <f>SUM(D405:D409)</f>
        <v>48750</v>
      </c>
      <c r="E410" s="4"/>
      <c r="F410" s="84" t="s">
        <v>16</v>
      </c>
      <c r="G410" s="85"/>
      <c r="H410" s="86"/>
      <c r="I410" s="21">
        <f>SUM(I405:I409)</f>
        <v>49225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thickTop="1" thickBot="1">
      <c r="A411" s="2"/>
      <c r="B411" s="2"/>
      <c r="C411" s="2"/>
      <c r="D411" s="2"/>
      <c r="E411" s="4"/>
      <c r="F411" s="2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2" t="s">
        <v>0</v>
      </c>
      <c r="B412" s="12" t="s">
        <v>145</v>
      </c>
      <c r="C412" s="12" t="s">
        <v>43</v>
      </c>
      <c r="D412" s="9">
        <v>45872</v>
      </c>
      <c r="E412" s="4"/>
      <c r="F412" s="21" t="s">
        <v>0</v>
      </c>
      <c r="G412" s="21" t="s">
        <v>146</v>
      </c>
      <c r="H412" s="21" t="s">
        <v>147</v>
      </c>
      <c r="I412" s="9">
        <v>45872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1" t="s">
        <v>6</v>
      </c>
      <c r="B413" s="21" t="s">
        <v>7</v>
      </c>
      <c r="C413" s="21" t="s">
        <v>8</v>
      </c>
      <c r="D413" s="21" t="s">
        <v>9</v>
      </c>
      <c r="E413" s="4"/>
      <c r="F413" s="21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1">
        <v>4</v>
      </c>
      <c r="B414" s="21">
        <v>500000</v>
      </c>
      <c r="C414" s="21">
        <f>VLOOKUP(A414&amp;"|"&amp;B414,$O$3:$P$17,2,FALSE)</f>
        <v>3400</v>
      </c>
      <c r="D414" s="21">
        <f>VLOOKUP(A414&amp;"|"&amp;B414,$Q$3:$R$17,2,FALSE)</f>
        <v>21600</v>
      </c>
      <c r="E414" s="4"/>
      <c r="F414" s="21">
        <v>4</v>
      </c>
      <c r="G414" s="21">
        <v>1000000</v>
      </c>
      <c r="H414" s="21">
        <f>VLOOKUP(F414&amp;"|"&amp;G414,$O$3:$P$16,2,FALSE)</f>
        <v>5500</v>
      </c>
      <c r="I414" s="21">
        <f>VLOOKUP(F414&amp;"|"&amp;G414,$Q$3:$R$16,2,FALSE)</f>
        <v>44500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1"/>
      <c r="B415" s="21"/>
      <c r="C415" s="21"/>
      <c r="D415" s="21"/>
      <c r="E415" s="4"/>
      <c r="F415" s="21">
        <v>19</v>
      </c>
      <c r="G415" s="21">
        <v>500000</v>
      </c>
      <c r="H415" s="21">
        <f>VLOOKUP(F415&amp;"|"&amp;G415,$O$3:$P$16,2,FALSE)</f>
        <v>75</v>
      </c>
      <c r="I415" s="21">
        <f>VLOOKUP(F415&amp;"|"&amp;G415,$Q$3:$R$16,2,FALSE)</f>
        <v>24925</v>
      </c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1"/>
      <c r="B416" s="21"/>
      <c r="C416" s="21"/>
      <c r="D416" s="21"/>
      <c r="E416" s="4"/>
      <c r="F416" s="21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1"/>
      <c r="B417" s="21"/>
      <c r="C417" s="21"/>
      <c r="D417" s="21"/>
      <c r="E417" s="4"/>
      <c r="F417" s="21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1"/>
      <c r="B418" s="21"/>
      <c r="C418" s="21"/>
      <c r="D418" s="21"/>
      <c r="E418" s="4"/>
      <c r="F418" s="21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59" t="s">
        <v>49</v>
      </c>
      <c r="B419" s="53"/>
      <c r="C419" s="54"/>
      <c r="D419" s="21">
        <f>SUM(D414:D418)</f>
        <v>21600</v>
      </c>
      <c r="E419" s="4"/>
      <c r="F419" s="84" t="s">
        <v>16</v>
      </c>
      <c r="G419" s="85"/>
      <c r="H419" s="86"/>
      <c r="I419" s="21">
        <f>SUM(I414:I418)</f>
        <v>69425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thickTop="1" thickBot="1">
      <c r="A420" s="2"/>
      <c r="B420" s="2"/>
      <c r="C420" s="2"/>
      <c r="D420" s="2"/>
      <c r="E420" s="4"/>
      <c r="F420" s="2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2" t="s">
        <v>0</v>
      </c>
      <c r="B421" s="12" t="s">
        <v>148</v>
      </c>
      <c r="C421" s="12" t="s">
        <v>62</v>
      </c>
      <c r="D421" s="9">
        <v>45872</v>
      </c>
      <c r="E421" s="4"/>
      <c r="F421" s="12" t="s">
        <v>0</v>
      </c>
      <c r="G421" s="12" t="s">
        <v>33</v>
      </c>
      <c r="H421" s="12" t="s">
        <v>76</v>
      </c>
      <c r="I421" s="9">
        <v>45872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1" t="s">
        <v>6</v>
      </c>
      <c r="B422" s="21" t="s">
        <v>7</v>
      </c>
      <c r="C422" s="21" t="s">
        <v>8</v>
      </c>
      <c r="D422" s="21" t="s">
        <v>9</v>
      </c>
      <c r="E422" s="4"/>
      <c r="F422" s="21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21">
        <v>4.0999999999999996</v>
      </c>
      <c r="B423" s="21">
        <v>1000000</v>
      </c>
      <c r="C423" s="21">
        <f>VLOOKUP(A423&amp;"|"&amp;B423,$O$3:$P$17,2,FALSE)</f>
        <v>6000</v>
      </c>
      <c r="D423" s="21">
        <f>VLOOKUP(A423&amp;"|"&amp;B423,$Q$3:$R$17,2,FALSE)</f>
        <v>44000</v>
      </c>
      <c r="E423" s="4"/>
      <c r="F423" s="21">
        <v>4</v>
      </c>
      <c r="G423" s="21">
        <v>2000000</v>
      </c>
      <c r="H423" s="21">
        <f>VLOOKUP(F423&amp;"|"&amp;G423,$O$3:$P$16,2,FALSE)</f>
        <v>12000</v>
      </c>
      <c r="I423" s="21">
        <f>VLOOKUP(F423&amp;"|"&amp;G423,$Q$3:$R$16,2,FALSE)</f>
        <v>88000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1"/>
      <c r="B424" s="21"/>
      <c r="C424" s="21"/>
      <c r="D424" s="21"/>
      <c r="E424" s="4"/>
      <c r="F424" s="21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1"/>
      <c r="B425" s="21"/>
      <c r="C425" s="21"/>
      <c r="D425" s="21"/>
      <c r="E425" s="4"/>
      <c r="F425" s="21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1"/>
      <c r="B426" s="21"/>
      <c r="C426" s="21"/>
      <c r="D426" s="21"/>
      <c r="E426" s="4"/>
      <c r="F426" s="21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1"/>
      <c r="B427" s="21"/>
      <c r="C427" s="21"/>
      <c r="D427" s="21"/>
      <c r="E427" s="4"/>
      <c r="F427" s="21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59" t="s">
        <v>49</v>
      </c>
      <c r="B428" s="53"/>
      <c r="C428" s="54"/>
      <c r="D428" s="21">
        <f>SUM(D423:D427)</f>
        <v>44000</v>
      </c>
      <c r="E428" s="4"/>
      <c r="F428" s="81" t="s">
        <v>49</v>
      </c>
      <c r="G428" s="82"/>
      <c r="H428" s="83"/>
      <c r="I428" s="21">
        <f>SUM(I423:I427)</f>
        <v>88000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thickTop="1" thickBot="1">
      <c r="A429" s="2"/>
      <c r="B429" s="2"/>
      <c r="C429" s="2"/>
      <c r="D429" s="2"/>
      <c r="E429" s="4"/>
      <c r="F429" s="2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2" t="s">
        <v>0</v>
      </c>
      <c r="B430" s="12" t="s">
        <v>149</v>
      </c>
      <c r="C430" s="12" t="s">
        <v>24</v>
      </c>
      <c r="D430" s="9">
        <v>45872</v>
      </c>
      <c r="E430" s="4"/>
      <c r="F430" s="12" t="s">
        <v>0</v>
      </c>
      <c r="G430" s="12" t="s">
        <v>57</v>
      </c>
      <c r="H430" s="12" t="s">
        <v>150</v>
      </c>
      <c r="I430" s="9">
        <v>45872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1" t="s">
        <v>6</v>
      </c>
      <c r="B431" s="21" t="s">
        <v>7</v>
      </c>
      <c r="C431" s="21" t="s">
        <v>8</v>
      </c>
      <c r="D431" s="21" t="s">
        <v>9</v>
      </c>
      <c r="E431" s="4"/>
      <c r="F431" s="21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21">
        <v>4</v>
      </c>
      <c r="B432" s="21">
        <v>1000000</v>
      </c>
      <c r="C432" s="21">
        <f>VLOOKUP(A432&amp;"|"&amp;B432,$O$3:$P$16,2,FALSE)</f>
        <v>5500</v>
      </c>
      <c r="D432" s="21">
        <f>VLOOKUP(A432&amp;"|"&amp;B432,$Q$3:$R$16,2,FALSE)</f>
        <v>44500</v>
      </c>
      <c r="E432" s="4"/>
      <c r="F432" s="21">
        <v>4</v>
      </c>
      <c r="G432" s="21">
        <v>1000000</v>
      </c>
      <c r="H432" s="21">
        <f>VLOOKUP(F432&amp;"|"&amp;G432,$O$3:$P$16,2,FALSE)</f>
        <v>5500</v>
      </c>
      <c r="I432" s="21">
        <f>VLOOKUP(F432&amp;"|"&amp;G432,$Q$3:$R$16,2,FALSE)</f>
        <v>44500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1"/>
      <c r="B433" s="21"/>
      <c r="C433" s="21"/>
      <c r="D433" s="21"/>
      <c r="E433" s="4"/>
      <c r="F433" s="21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1"/>
      <c r="B434" s="21"/>
      <c r="C434" s="21"/>
      <c r="D434" s="21"/>
      <c r="E434" s="4"/>
      <c r="F434" s="21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1"/>
      <c r="B435" s="21"/>
      <c r="C435" s="21"/>
      <c r="D435" s="21"/>
      <c r="E435" s="4"/>
      <c r="F435" s="21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1"/>
      <c r="B436" s="21"/>
      <c r="C436" s="21"/>
      <c r="D436" s="21"/>
      <c r="E436" s="4"/>
      <c r="F436" s="21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59" t="s">
        <v>49</v>
      </c>
      <c r="B437" s="53"/>
      <c r="C437" s="54"/>
      <c r="D437" s="21">
        <f>SUM(D432:D436)</f>
        <v>44500</v>
      </c>
      <c r="E437" s="4"/>
      <c r="F437" s="81" t="s">
        <v>49</v>
      </c>
      <c r="G437" s="82"/>
      <c r="H437" s="83"/>
      <c r="I437" s="21">
        <f>SUM(I432:I436)</f>
        <v>44500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2"/>
      <c r="B438" s="6"/>
      <c r="C438" s="2"/>
      <c r="D438" s="10"/>
      <c r="E438" s="4"/>
      <c r="F438" s="2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2" t="s">
        <v>0</v>
      </c>
      <c r="B439" s="12" t="s">
        <v>151</v>
      </c>
      <c r="C439" s="12" t="s">
        <v>43</v>
      </c>
      <c r="D439" s="9">
        <v>45872</v>
      </c>
      <c r="E439" s="4"/>
      <c r="F439" s="12" t="s">
        <v>0</v>
      </c>
      <c r="G439" s="12" t="s">
        <v>152</v>
      </c>
      <c r="H439" s="12" t="s">
        <v>43</v>
      </c>
      <c r="I439" s="9">
        <v>45872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1" t="s">
        <v>6</v>
      </c>
      <c r="B440" s="21" t="s">
        <v>7</v>
      </c>
      <c r="C440" s="21" t="s">
        <v>8</v>
      </c>
      <c r="D440" s="21" t="s">
        <v>9</v>
      </c>
      <c r="E440" s="4"/>
      <c r="F440" s="21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21">
        <v>19</v>
      </c>
      <c r="B441" s="21">
        <v>500000</v>
      </c>
      <c r="C441" s="21">
        <f>VLOOKUP(A441&amp;"|"&amp;B441,$O$3:$P$16,2,FALSE)</f>
        <v>75</v>
      </c>
      <c r="D441" s="21">
        <f>VLOOKUP(A441&amp;"|"&amp;B441,$Q$3:$R$16,2,FALSE)</f>
        <v>24925</v>
      </c>
      <c r="E441" s="4"/>
      <c r="F441" s="21">
        <v>4</v>
      </c>
      <c r="G441" s="21">
        <v>2000000</v>
      </c>
      <c r="H441" s="21">
        <f>VLOOKUP(F441&amp;"|"&amp;G441,$O$3:$P$16,2,FALSE)</f>
        <v>12000</v>
      </c>
      <c r="I441" s="21">
        <f>VLOOKUP(F441&amp;"|"&amp;G441,$Q$3:$R$16,2,FALSE)</f>
        <v>88000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1"/>
      <c r="B442" s="21"/>
      <c r="C442" s="21"/>
      <c r="D442" s="21"/>
      <c r="E442" s="4"/>
      <c r="F442" s="21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1"/>
      <c r="B443" s="21"/>
      <c r="C443" s="21"/>
      <c r="D443" s="21"/>
      <c r="E443" s="4"/>
      <c r="F443" s="21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1"/>
      <c r="B444" s="21"/>
      <c r="C444" s="21"/>
      <c r="D444" s="21"/>
      <c r="E444" s="4"/>
      <c r="F444" s="21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1"/>
      <c r="B445" s="21"/>
      <c r="C445" s="21"/>
      <c r="D445" s="21"/>
      <c r="E445" s="4"/>
      <c r="F445" s="21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59" t="s">
        <v>49</v>
      </c>
      <c r="B446" s="53"/>
      <c r="C446" s="54"/>
      <c r="D446" s="21">
        <f>SUM(D441:D445)</f>
        <v>24925</v>
      </c>
      <c r="E446" s="4"/>
      <c r="F446" s="81" t="s">
        <v>49</v>
      </c>
      <c r="G446" s="82"/>
      <c r="H446" s="83"/>
      <c r="I446" s="21">
        <f>SUM(I441:I445)</f>
        <v>88000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2"/>
      <c r="B447" s="2"/>
      <c r="C447" s="2"/>
      <c r="D447" s="2"/>
      <c r="E447" s="4"/>
      <c r="F447" s="2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2" t="s">
        <v>0</v>
      </c>
      <c r="B448" s="12" t="s">
        <v>128</v>
      </c>
      <c r="C448" s="12" t="s">
        <v>101</v>
      </c>
      <c r="D448" s="9">
        <v>45872</v>
      </c>
      <c r="E448" s="4"/>
      <c r="F448" s="12" t="s">
        <v>0</v>
      </c>
      <c r="G448" s="12" t="s">
        <v>153</v>
      </c>
      <c r="H448" s="12" t="s">
        <v>101</v>
      </c>
      <c r="I448" s="9">
        <v>45872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1" t="s">
        <v>6</v>
      </c>
      <c r="B449" s="21" t="s">
        <v>7</v>
      </c>
      <c r="C449" s="21" t="s">
        <v>8</v>
      </c>
      <c r="D449" s="21" t="s">
        <v>9</v>
      </c>
      <c r="E449" s="4"/>
      <c r="F449" s="21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21">
        <v>19</v>
      </c>
      <c r="B450" s="21">
        <v>500000</v>
      </c>
      <c r="C450" s="21">
        <f>VLOOKUP(A450&amp;"|"&amp;B450,$O$3:$P$16,2,FALSE)</f>
        <v>75</v>
      </c>
      <c r="D450" s="21">
        <f>VLOOKUP(A450&amp;"|"&amp;B450,$Q$3:$R$16,2,FALSE)</f>
        <v>24925</v>
      </c>
      <c r="E450" s="4"/>
      <c r="F450" s="21">
        <v>19</v>
      </c>
      <c r="G450" s="21">
        <v>500000</v>
      </c>
      <c r="H450" s="21">
        <f>VLOOKUP(F450&amp;"|"&amp;G450,$O$3:$P$19,2,FALSE)</f>
        <v>75</v>
      </c>
      <c r="I450" s="21">
        <f>VLOOKUP(F450&amp;"|"&amp;G450,$Q$3:$R$19,2,FALSE)</f>
        <v>24925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1"/>
      <c r="B451" s="21"/>
      <c r="C451" s="21"/>
      <c r="D451" s="21"/>
      <c r="E451" s="4"/>
      <c r="F451" s="21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1"/>
      <c r="B452" s="21"/>
      <c r="C452" s="21"/>
      <c r="D452" s="21"/>
      <c r="E452" s="4"/>
      <c r="F452" s="21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1"/>
      <c r="B453" s="21"/>
      <c r="C453" s="21"/>
      <c r="D453" s="21"/>
      <c r="E453" s="4"/>
      <c r="F453" s="21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1"/>
      <c r="B454" s="21"/>
      <c r="C454" s="21"/>
      <c r="D454" s="21"/>
      <c r="E454" s="4"/>
      <c r="F454" s="21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59" t="s">
        <v>49</v>
      </c>
      <c r="B455" s="53"/>
      <c r="C455" s="54"/>
      <c r="D455" s="21">
        <f>SUM(D450:D454)</f>
        <v>24925</v>
      </c>
      <c r="E455" s="4"/>
      <c r="F455" s="81" t="s">
        <v>49</v>
      </c>
      <c r="G455" s="82"/>
      <c r="H455" s="83"/>
      <c r="I455" s="21">
        <f>SUM(I450:I454)</f>
        <v>24925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thickTop="1" thickBot="1">
      <c r="A456" s="2"/>
      <c r="B456" s="2"/>
      <c r="C456" s="2"/>
      <c r="D456" s="2"/>
      <c r="E456" s="4"/>
      <c r="F456" s="2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2" t="s">
        <v>0</v>
      </c>
      <c r="B457" s="12" t="s">
        <v>35</v>
      </c>
      <c r="C457" s="12" t="s">
        <v>154</v>
      </c>
      <c r="D457" s="9">
        <v>45872</v>
      </c>
      <c r="E457" s="4"/>
      <c r="F457" s="12" t="s">
        <v>0</v>
      </c>
      <c r="G457" s="12" t="s">
        <v>155</v>
      </c>
      <c r="H457" s="12" t="s">
        <v>156</v>
      </c>
      <c r="I457" s="9">
        <v>45872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1" t="s">
        <v>6</v>
      </c>
      <c r="B458" s="21" t="s">
        <v>7</v>
      </c>
      <c r="C458" s="21" t="s">
        <v>8</v>
      </c>
      <c r="D458" s="21" t="s">
        <v>9</v>
      </c>
      <c r="E458" s="4"/>
      <c r="F458" s="21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21">
        <v>15</v>
      </c>
      <c r="B459" s="21">
        <v>500000</v>
      </c>
      <c r="C459" s="21" t="e">
        <f>VLOOKUP(A459&amp;"|"&amp;B459,$O$3:$P$16,2,FALSE)</f>
        <v>#N/A</v>
      </c>
      <c r="D459" s="21">
        <f>VLOOKUP(A459&amp;"|"&amp;B459,$Q$3:$R$16,2,FALSE)</f>
        <v>24300</v>
      </c>
      <c r="E459" s="4"/>
      <c r="F459" s="21">
        <v>4</v>
      </c>
      <c r="G459" s="21">
        <v>1000000</v>
      </c>
      <c r="H459" s="21">
        <f>VLOOKUP(F459&amp;"|"&amp;G459,$O$3:$P$17,2,FALSE)</f>
        <v>5500</v>
      </c>
      <c r="I459" s="21">
        <f>VLOOKUP(F459&amp;"|"&amp;G459,$Q$3:$R$17,2,FALSE)</f>
        <v>44500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21">
        <v>4</v>
      </c>
      <c r="B460" s="21">
        <v>1000000</v>
      </c>
      <c r="C460" s="21">
        <f>VLOOKUP(A460&amp;"|"&amp;B460,$O$3:$P$16,2,FALSE)</f>
        <v>5500</v>
      </c>
      <c r="D460" s="21">
        <f>VLOOKUP(A460&amp;"|"&amp;B460,$Q$3:$R$16,2,FALSE)</f>
        <v>44500</v>
      </c>
      <c r="E460" s="4"/>
      <c r="F460" s="21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1"/>
      <c r="B461" s="21"/>
      <c r="C461" s="21"/>
      <c r="D461" s="21"/>
      <c r="E461" s="4"/>
      <c r="F461" s="21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1"/>
      <c r="B462" s="21"/>
      <c r="C462" s="21"/>
      <c r="D462" s="21"/>
      <c r="E462" s="4"/>
      <c r="F462" s="21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1"/>
      <c r="B463" s="21"/>
      <c r="C463" s="21"/>
      <c r="D463" s="21"/>
      <c r="E463" s="4"/>
      <c r="F463" s="21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59" t="s">
        <v>49</v>
      </c>
      <c r="B464" s="53"/>
      <c r="C464" s="54"/>
      <c r="D464" s="21">
        <f>SUM(D459:D463)</f>
        <v>68800</v>
      </c>
      <c r="E464" s="4"/>
      <c r="F464" s="81" t="s">
        <v>49</v>
      </c>
      <c r="G464" s="82"/>
      <c r="H464" s="83"/>
      <c r="I464" s="21">
        <f>SUM(I459:I463)</f>
        <v>44500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thickTop="1" thickBot="1">
      <c r="A465" s="2"/>
      <c r="B465" s="2"/>
      <c r="C465" s="2"/>
      <c r="D465" s="2"/>
      <c r="E465" s="4"/>
      <c r="F465" s="2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2" t="s">
        <v>0</v>
      </c>
      <c r="B466" s="12" t="s">
        <v>157</v>
      </c>
      <c r="C466" s="12" t="s">
        <v>48</v>
      </c>
      <c r="D466" s="9">
        <v>45872</v>
      </c>
      <c r="E466" s="4"/>
      <c r="F466" s="12" t="s">
        <v>0</v>
      </c>
      <c r="G466" s="12" t="s">
        <v>59</v>
      </c>
      <c r="H466" s="12" t="s">
        <v>158</v>
      </c>
      <c r="I466" s="9">
        <v>45872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1" t="s">
        <v>6</v>
      </c>
      <c r="B467" s="21" t="s">
        <v>7</v>
      </c>
      <c r="C467" s="21" t="s">
        <v>8</v>
      </c>
      <c r="D467" s="21" t="s">
        <v>9</v>
      </c>
      <c r="E467" s="4"/>
      <c r="F467" s="21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21">
        <v>15</v>
      </c>
      <c r="B468" s="21">
        <v>1000000</v>
      </c>
      <c r="C468" s="21">
        <f>VLOOKUP(A468&amp;"|"&amp;B468,$O$3:$P$16,2,FALSE)</f>
        <v>1250</v>
      </c>
      <c r="D468" s="21">
        <f>VLOOKUP(A468&amp;"|"&amp;B468,$Q$3:$R$16,2,FALSE)</f>
        <v>48750</v>
      </c>
      <c r="E468" s="4"/>
      <c r="F468" s="21">
        <v>15</v>
      </c>
      <c r="G468" s="21">
        <v>1000000</v>
      </c>
      <c r="H468" s="21">
        <f>VLOOKUP(F468&amp;"|"&amp;G468,$O$3:$P$16,2,FALSE)</f>
        <v>1250</v>
      </c>
      <c r="I468" s="21">
        <f>VLOOKUP(F468&amp;"|"&amp;G468,$Q$3:$R$16,2,FALSE)</f>
        <v>48750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21">
        <v>19</v>
      </c>
      <c r="B469" s="21">
        <v>1000000</v>
      </c>
      <c r="C469" s="21">
        <f>VLOOKUP(A469&amp;"|"&amp;B469,$O$3:$P$17,2,FALSE)</f>
        <v>150</v>
      </c>
      <c r="D469" s="21">
        <f>VLOOKUP(A469&amp;"|"&amp;B469,$Q$3:$R$17,2,FALSE)</f>
        <v>49850</v>
      </c>
      <c r="E469" s="4"/>
      <c r="F469" s="21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1"/>
      <c r="B470" s="21"/>
      <c r="C470" s="21"/>
      <c r="D470" s="21"/>
      <c r="E470" s="4"/>
      <c r="F470" s="21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1"/>
      <c r="B471" s="21"/>
      <c r="C471" s="21"/>
      <c r="D471" s="21"/>
      <c r="E471" s="4"/>
      <c r="F471" s="21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1"/>
      <c r="B472" s="21"/>
      <c r="C472" s="21"/>
      <c r="D472" s="21"/>
      <c r="E472" s="4"/>
      <c r="F472" s="21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59" t="s">
        <v>49</v>
      </c>
      <c r="B473" s="53"/>
      <c r="C473" s="54"/>
      <c r="D473" s="21">
        <f>SUM(D468:D472)</f>
        <v>98600</v>
      </c>
      <c r="E473" s="4"/>
      <c r="F473" s="81" t="s">
        <v>49</v>
      </c>
      <c r="G473" s="82"/>
      <c r="H473" s="83"/>
      <c r="I473" s="21">
        <f>SUM(I468:I472)</f>
        <v>48750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thickTop="1" thickBot="1">
      <c r="A474" s="2"/>
      <c r="B474" s="2"/>
      <c r="C474" s="2"/>
      <c r="D474" s="2"/>
      <c r="E474" s="4"/>
      <c r="F474" s="2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2" t="s">
        <v>0</v>
      </c>
      <c r="B475" s="12" t="s">
        <v>66</v>
      </c>
      <c r="C475" s="12" t="s">
        <v>43</v>
      </c>
      <c r="D475" s="9">
        <v>45872</v>
      </c>
      <c r="E475" s="4"/>
      <c r="F475" s="12" t="s">
        <v>0</v>
      </c>
      <c r="G475" s="12" t="s">
        <v>159</v>
      </c>
      <c r="H475" s="12" t="s">
        <v>41</v>
      </c>
      <c r="I475" s="9">
        <v>45872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1" t="s">
        <v>6</v>
      </c>
      <c r="B476" s="21" t="s">
        <v>7</v>
      </c>
      <c r="C476" s="21" t="s">
        <v>8</v>
      </c>
      <c r="D476" s="21" t="s">
        <v>9</v>
      </c>
      <c r="E476" s="4"/>
      <c r="F476" s="21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21">
        <v>15</v>
      </c>
      <c r="B477" s="21">
        <v>500000</v>
      </c>
      <c r="C477" s="21" t="e">
        <f>VLOOKUP(A477&amp;"|"&amp;B477,$O$3:$P$16,2,FALSE)</f>
        <v>#N/A</v>
      </c>
      <c r="D477" s="21">
        <f>VLOOKUP(A477&amp;"|"&amp;B477,$Q$3:$R$16,2,FALSE)</f>
        <v>24300</v>
      </c>
      <c r="E477" s="4"/>
      <c r="F477" s="21">
        <v>19.100000000000001</v>
      </c>
      <c r="G477" s="21">
        <v>500000</v>
      </c>
      <c r="H477" s="21">
        <f>VLOOKUP(F477&amp;"|"&amp;G477,$O$3:$P$16,2,FALSE)</f>
        <v>75</v>
      </c>
      <c r="I477" s="21">
        <f>VLOOKUP(F477&amp;"|"&amp;G477,$Q$3:$R$16,2,FALSE)</f>
        <v>24925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1"/>
      <c r="B478" s="21"/>
      <c r="C478" s="21"/>
      <c r="D478" s="21"/>
      <c r="E478" s="4"/>
      <c r="F478" s="21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1"/>
      <c r="B479" s="21"/>
      <c r="C479" s="21"/>
      <c r="D479" s="21"/>
      <c r="E479" s="4"/>
      <c r="F479" s="21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1"/>
      <c r="B480" s="21"/>
      <c r="C480" s="21"/>
      <c r="D480" s="21"/>
      <c r="E480" s="4"/>
      <c r="F480" s="21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1"/>
      <c r="B481" s="21"/>
      <c r="C481" s="21"/>
      <c r="D481" s="21"/>
      <c r="E481" s="4"/>
      <c r="F481" s="21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59" t="s">
        <v>49</v>
      </c>
      <c r="B482" s="53"/>
      <c r="C482" s="54"/>
      <c r="D482" s="21">
        <f>SUM(D477:D481)</f>
        <v>24300</v>
      </c>
      <c r="E482" s="4"/>
      <c r="F482" s="81" t="s">
        <v>49</v>
      </c>
      <c r="G482" s="82"/>
      <c r="H482" s="83"/>
      <c r="I482" s="21">
        <f>SUM(I477:I481)</f>
        <v>24925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2"/>
      <c r="B483" s="6"/>
      <c r="C483" s="2"/>
      <c r="D483" s="10"/>
      <c r="E483" s="4"/>
      <c r="F483" s="2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2" t="s">
        <v>0</v>
      </c>
      <c r="B484" s="12" t="s">
        <v>160</v>
      </c>
      <c r="C484" s="12" t="s">
        <v>43</v>
      </c>
      <c r="D484" s="9">
        <v>45872</v>
      </c>
      <c r="E484" s="4"/>
      <c r="F484" s="12" t="s">
        <v>0</v>
      </c>
      <c r="G484" s="12" t="s">
        <v>44</v>
      </c>
      <c r="H484" s="12" t="s">
        <v>43</v>
      </c>
      <c r="I484" s="9">
        <v>45872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1" t="s">
        <v>6</v>
      </c>
      <c r="B485" s="21" t="s">
        <v>7</v>
      </c>
      <c r="C485" s="21" t="s">
        <v>8</v>
      </c>
      <c r="D485" s="21" t="s">
        <v>9</v>
      </c>
      <c r="E485" s="4"/>
      <c r="F485" s="21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21">
        <v>12</v>
      </c>
      <c r="B486" s="21">
        <v>500000</v>
      </c>
      <c r="C486" s="21">
        <f>VLOOKUP(A486&amp;"|"&amp;B486,$O$3:$P$16,2,FALSE)</f>
        <v>1300</v>
      </c>
      <c r="D486" s="21">
        <f>VLOOKUP(A486&amp;"|"&amp;B486,$Q$3:$R$16,2,FALSE)</f>
        <v>23700</v>
      </c>
      <c r="E486" s="4"/>
      <c r="F486" s="21">
        <v>4</v>
      </c>
      <c r="G486" s="21">
        <v>500000</v>
      </c>
      <c r="H486" s="21">
        <f>VLOOKUP(F486&amp;"|"&amp;G486,$O$3:$P$16,2,FALSE)</f>
        <v>3400</v>
      </c>
      <c r="I486" s="21">
        <f>VLOOKUP(F486&amp;"|"&amp;G486,$Q$3:$R$16,2,FALSE)</f>
        <v>21600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21">
        <v>12</v>
      </c>
      <c r="B487" s="21">
        <v>500000</v>
      </c>
      <c r="C487" s="21">
        <f>VLOOKUP(A487&amp;"|"&amp;B487,$O$3:$P$16,2,FALSE)</f>
        <v>1300</v>
      </c>
      <c r="D487" s="21">
        <f>VLOOKUP(A487&amp;"|"&amp;B487,$Q$3:$R$16,2,FALSE)</f>
        <v>23700</v>
      </c>
      <c r="E487" s="4"/>
      <c r="F487" s="21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1"/>
      <c r="B488" s="21"/>
      <c r="C488" s="21"/>
      <c r="D488" s="21"/>
      <c r="E488" s="4"/>
      <c r="F488" s="21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1"/>
      <c r="B489" s="21"/>
      <c r="C489" s="21"/>
      <c r="D489" s="21"/>
      <c r="E489" s="4"/>
      <c r="F489" s="21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1"/>
      <c r="B490" s="21"/>
      <c r="C490" s="21"/>
      <c r="D490" s="21"/>
      <c r="E490" s="4"/>
      <c r="F490" s="21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59" t="s">
        <v>49</v>
      </c>
      <c r="B491" s="53"/>
      <c r="C491" s="54"/>
      <c r="D491" s="21">
        <f>SUM(D486:D490)</f>
        <v>47400</v>
      </c>
      <c r="E491" s="4"/>
      <c r="F491" s="81" t="s">
        <v>49</v>
      </c>
      <c r="G491" s="82"/>
      <c r="H491" s="83"/>
      <c r="I491" s="21">
        <f>SUM(I486:I490)</f>
        <v>21600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thickTop="1" thickBot="1">
      <c r="A492" s="2"/>
      <c r="B492" s="2"/>
      <c r="C492" s="2"/>
      <c r="D492" s="2"/>
      <c r="E492" s="4"/>
      <c r="F492" s="2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2" t="s">
        <v>0</v>
      </c>
      <c r="B493" s="12" t="s">
        <v>161</v>
      </c>
      <c r="C493" s="12" t="s">
        <v>43</v>
      </c>
      <c r="D493" s="9">
        <v>45872</v>
      </c>
      <c r="E493" s="4"/>
      <c r="F493" s="12" t="s">
        <v>0</v>
      </c>
      <c r="G493" s="12" t="s">
        <v>162</v>
      </c>
      <c r="H493" s="12" t="s">
        <v>163</v>
      </c>
      <c r="I493" s="9">
        <v>45872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1" t="s">
        <v>6</v>
      </c>
      <c r="B494" s="21" t="s">
        <v>7</v>
      </c>
      <c r="C494" s="21" t="s">
        <v>8</v>
      </c>
      <c r="D494" s="21" t="s">
        <v>9</v>
      </c>
      <c r="E494" s="4"/>
      <c r="F494" s="21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21">
        <v>9</v>
      </c>
      <c r="B495" s="21">
        <v>500000</v>
      </c>
      <c r="C495" s="21">
        <f>VLOOKUP(A495&amp;"|"&amp;B495,$O$3:$P$16,2,FALSE)</f>
        <v>2100</v>
      </c>
      <c r="D495" s="21">
        <f>VLOOKUP(A495&amp;"|"&amp;B495,$Q$3:$R$16,2,FALSE)</f>
        <v>22900</v>
      </c>
      <c r="E495" s="4"/>
      <c r="F495" s="21">
        <v>9</v>
      </c>
      <c r="G495" s="21">
        <v>500000</v>
      </c>
      <c r="H495" s="21">
        <f>VLOOKUP(F495&amp;"|"&amp;G495,$O$3:$P$16,2,FALSE)</f>
        <v>2100</v>
      </c>
      <c r="I495" s="21">
        <f>VLOOKUP(F495&amp;"|"&amp;G495,$Q$3:$R$16,2,FALSE)</f>
        <v>22900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1"/>
      <c r="B496" s="21"/>
      <c r="C496" s="21"/>
      <c r="D496" s="21"/>
      <c r="E496" s="4"/>
      <c r="F496" s="21">
        <v>9</v>
      </c>
      <c r="G496" s="21">
        <v>500000</v>
      </c>
      <c r="H496" s="21">
        <f>VLOOKUP(F496&amp;"|"&amp;G496,$O$3:$P$16,2,FALSE)</f>
        <v>2100</v>
      </c>
      <c r="I496" s="21">
        <f>VLOOKUP(F496&amp;"|"&amp;G496,$Q$3:$R$16,2,FALSE)</f>
        <v>22900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1"/>
      <c r="B497" s="21"/>
      <c r="C497" s="21"/>
      <c r="D497" s="21"/>
      <c r="E497" s="4"/>
      <c r="F497" s="21">
        <v>4</v>
      </c>
      <c r="G497" s="21">
        <v>500000</v>
      </c>
      <c r="H497" s="21">
        <f>VLOOKUP(F497&amp;"|"&amp;G497,$O$3:$P$17,2,FALSE)</f>
        <v>3400</v>
      </c>
      <c r="I497" s="21">
        <f>VLOOKUP(F497&amp;"|"&amp;G497,$Q$3:$R$17,2,FALSE)</f>
        <v>21600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1"/>
      <c r="B498" s="21"/>
      <c r="C498" s="21"/>
      <c r="D498" s="21"/>
      <c r="E498" s="4"/>
      <c r="F498" s="21">
        <v>19</v>
      </c>
      <c r="G498" s="21">
        <v>1000000</v>
      </c>
      <c r="H498" s="21">
        <f>VLOOKUP(F498&amp;"|"&amp;G498,$O$3:$P$17,2,FALSE)</f>
        <v>150</v>
      </c>
      <c r="I498" s="21">
        <f>VLOOKUP(F498&amp;"|"&amp;G498,$Q$3:$R$17,2,FALSE)</f>
        <v>49850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1"/>
      <c r="B499" s="21"/>
      <c r="C499" s="21"/>
      <c r="D499" s="21"/>
      <c r="E499" s="4"/>
      <c r="F499" s="21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59" t="s">
        <v>49</v>
      </c>
      <c r="B500" s="53"/>
      <c r="C500" s="54"/>
      <c r="D500" s="21">
        <f>SUM(D495:D499)</f>
        <v>22900</v>
      </c>
      <c r="E500" s="4"/>
      <c r="F500" s="81" t="s">
        <v>49</v>
      </c>
      <c r="G500" s="82"/>
      <c r="H500" s="83"/>
      <c r="I500" s="21">
        <f>SUM(I495:I499)</f>
        <v>117250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2" t="s">
        <v>0</v>
      </c>
      <c r="B502" s="12" t="s">
        <v>164</v>
      </c>
      <c r="C502" s="12" t="s">
        <v>165</v>
      </c>
      <c r="D502" s="9">
        <v>45872</v>
      </c>
      <c r="E502" s="4"/>
      <c r="F502" s="12" t="s">
        <v>3</v>
      </c>
      <c r="G502" s="12" t="s">
        <v>166</v>
      </c>
      <c r="H502" s="12" t="s">
        <v>167</v>
      </c>
      <c r="I502" s="9">
        <v>45872</v>
      </c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1" t="s">
        <v>6</v>
      </c>
      <c r="B503" s="21" t="s">
        <v>7</v>
      </c>
      <c r="C503" s="21" t="s">
        <v>8</v>
      </c>
      <c r="D503" s="21" t="s">
        <v>9</v>
      </c>
      <c r="E503" s="4"/>
      <c r="F503" s="21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21">
        <v>4</v>
      </c>
      <c r="B504" s="21">
        <v>2000000</v>
      </c>
      <c r="C504" s="21">
        <f>VLOOKUP(A504&amp;"|"&amp;B504,$O$3:$P$16,2,FALSE)</f>
        <v>12000</v>
      </c>
      <c r="D504" s="21">
        <f>VLOOKUP(A504&amp;"|"&amp;B504,$Q$3:$R$16,2,FALSE)</f>
        <v>88000</v>
      </c>
      <c r="E504" s="4"/>
      <c r="F504" s="21">
        <v>4</v>
      </c>
      <c r="G504" s="21">
        <v>500000</v>
      </c>
      <c r="H504" s="21">
        <f>VLOOKUP(F504&amp;"|"&amp;G504,$O$3:$P$17,2,FALSE)</f>
        <v>3400</v>
      </c>
      <c r="I504" s="21">
        <f>VLOOKUP(F504&amp;"|"&amp;G504,$Q$3:$R$17,2,FALSE)</f>
        <v>21600</v>
      </c>
    </row>
    <row r="505" spans="1:26" ht="20.25" thickTop="1" thickBot="1">
      <c r="A505" s="21"/>
      <c r="B505" s="21"/>
      <c r="C505" s="21"/>
      <c r="D505" s="21"/>
      <c r="E505" s="4"/>
      <c r="F505" s="21"/>
      <c r="G505" s="21"/>
      <c r="H505" s="21"/>
      <c r="I505" s="21"/>
    </row>
    <row r="506" spans="1:26" ht="20.25" thickTop="1" thickBot="1">
      <c r="A506" s="21"/>
      <c r="B506" s="21"/>
      <c r="C506" s="21"/>
      <c r="D506" s="21"/>
      <c r="E506" s="4"/>
      <c r="F506" s="21"/>
      <c r="G506" s="21"/>
      <c r="H506" s="21"/>
      <c r="I506" s="21"/>
    </row>
    <row r="507" spans="1:26" ht="20.25" thickTop="1" thickBot="1">
      <c r="A507" s="21"/>
      <c r="B507" s="21"/>
      <c r="C507" s="21"/>
      <c r="D507" s="21"/>
      <c r="E507" s="4"/>
      <c r="F507" s="21"/>
      <c r="G507" s="21"/>
      <c r="H507" s="21"/>
      <c r="I507" s="21"/>
    </row>
    <row r="508" spans="1:26" ht="20.25" thickTop="1" thickBot="1">
      <c r="A508" s="21"/>
      <c r="B508" s="21"/>
      <c r="C508" s="21"/>
      <c r="D508" s="21"/>
      <c r="E508" s="4"/>
      <c r="F508" s="21"/>
      <c r="G508" s="21"/>
      <c r="H508" s="21"/>
      <c r="I508" s="21"/>
    </row>
    <row r="509" spans="1:26" ht="20.25" thickTop="1" thickBot="1">
      <c r="A509" s="59" t="s">
        <v>49</v>
      </c>
      <c r="B509" s="53"/>
      <c r="C509" s="54"/>
      <c r="D509" s="21">
        <f>SUM(D504:D508)</f>
        <v>88000</v>
      </c>
      <c r="E509" s="4"/>
      <c r="F509" s="59" t="s">
        <v>49</v>
      </c>
      <c r="G509" s="53"/>
      <c r="H509" s="54"/>
      <c r="I509" s="21">
        <f>SUM(I504:I508)</f>
        <v>21600</v>
      </c>
    </row>
    <row r="510" spans="1:26" ht="16.5" thickTop="1" thickBot="1"/>
    <row r="511" spans="1:26" ht="20.25" thickTop="1" thickBot="1">
      <c r="A511" s="12" t="s">
        <v>0</v>
      </c>
      <c r="B511" s="12" t="s">
        <v>146</v>
      </c>
      <c r="C511" s="12" t="s">
        <v>38</v>
      </c>
      <c r="D511" s="9">
        <v>45872</v>
      </c>
      <c r="E511" s="4"/>
      <c r="F511" s="12" t="s">
        <v>3</v>
      </c>
      <c r="G511" s="12" t="s">
        <v>57</v>
      </c>
      <c r="H511" s="12" t="s">
        <v>168</v>
      </c>
      <c r="I511" s="9">
        <v>45872</v>
      </c>
    </row>
    <row r="512" spans="1:26" ht="20.25" thickTop="1" thickBot="1">
      <c r="A512" s="21" t="s">
        <v>6</v>
      </c>
      <c r="B512" s="21" t="s">
        <v>7</v>
      </c>
      <c r="C512" s="21" t="s">
        <v>8</v>
      </c>
      <c r="D512" s="21" t="s">
        <v>9</v>
      </c>
      <c r="E512" s="4"/>
      <c r="F512" s="21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21">
        <v>4</v>
      </c>
      <c r="B513" s="21">
        <v>500000</v>
      </c>
      <c r="C513" s="21">
        <f>VLOOKUP(A513&amp;"|"&amp;B513,$O$3:$P$17,2,FALSE)</f>
        <v>3400</v>
      </c>
      <c r="D513" s="21">
        <f>VLOOKUP(A513&amp;"|"&amp;B513,$Q$3:$R$17,2,FALSE)</f>
        <v>21600</v>
      </c>
      <c r="E513" s="4"/>
      <c r="F513" s="21">
        <v>4</v>
      </c>
      <c r="G513" s="21">
        <v>500000</v>
      </c>
      <c r="H513" s="21">
        <f>VLOOKUP(F513&amp;"|"&amp;G513,$O$3:$P$17,2,FALSE)</f>
        <v>3400</v>
      </c>
      <c r="I513" s="21">
        <f>VLOOKUP(F513&amp;"|"&amp;G513,$Q$3:$R$17,2,FALSE)</f>
        <v>21600</v>
      </c>
    </row>
    <row r="514" spans="1:9" ht="20.25" thickTop="1" thickBot="1">
      <c r="A514" s="21"/>
      <c r="B514" s="21"/>
      <c r="C514" s="21"/>
      <c r="D514" s="21"/>
      <c r="E514" s="4"/>
      <c r="F514" s="21"/>
      <c r="G514" s="21"/>
      <c r="H514" s="21"/>
      <c r="I514" s="21"/>
    </row>
    <row r="515" spans="1:9" ht="20.25" thickTop="1" thickBot="1">
      <c r="A515" s="21"/>
      <c r="B515" s="21"/>
      <c r="C515" s="21"/>
      <c r="D515" s="21"/>
      <c r="E515" s="4"/>
      <c r="F515" s="21"/>
      <c r="G515" s="21"/>
      <c r="H515" s="21"/>
      <c r="I515" s="21"/>
    </row>
    <row r="516" spans="1:9" ht="20.25" thickTop="1" thickBot="1">
      <c r="A516" s="21"/>
      <c r="B516" s="21"/>
      <c r="C516" s="21"/>
      <c r="D516" s="21"/>
      <c r="E516" s="4"/>
      <c r="F516" s="21"/>
      <c r="G516" s="21"/>
      <c r="H516" s="21"/>
      <c r="I516" s="21"/>
    </row>
    <row r="517" spans="1:9" ht="20.25" thickTop="1" thickBot="1">
      <c r="A517" s="21"/>
      <c r="B517" s="21"/>
      <c r="C517" s="21"/>
      <c r="D517" s="21"/>
      <c r="E517" s="4"/>
      <c r="F517" s="21"/>
      <c r="G517" s="21"/>
      <c r="H517" s="21"/>
      <c r="I517" s="21"/>
    </row>
    <row r="518" spans="1:9" ht="20.25" thickTop="1" thickBot="1">
      <c r="A518" s="59" t="s">
        <v>49</v>
      </c>
      <c r="B518" s="53"/>
      <c r="C518" s="54"/>
      <c r="D518" s="21">
        <f>SUM(D513:D517)</f>
        <v>21600</v>
      </c>
      <c r="E518" s="4"/>
      <c r="F518" s="81" t="s">
        <v>25</v>
      </c>
      <c r="G518" s="82"/>
      <c r="H518" s="83"/>
      <c r="I518" s="21">
        <f>SUM(I513:I517)</f>
        <v>21600</v>
      </c>
    </row>
    <row r="519" spans="1:9" ht="16.5" thickTop="1" thickBot="1"/>
    <row r="520" spans="1:9" ht="20.25" thickTop="1" thickBot="1">
      <c r="A520" s="12" t="s">
        <v>3</v>
      </c>
      <c r="B520" s="12" t="s">
        <v>169</v>
      </c>
      <c r="C520" s="12" t="s">
        <v>170</v>
      </c>
      <c r="D520" s="9">
        <v>45872</v>
      </c>
      <c r="F520" s="12" t="s">
        <v>3</v>
      </c>
      <c r="G520" s="12" t="s">
        <v>171</v>
      </c>
      <c r="H520" s="12" t="s">
        <v>172</v>
      </c>
      <c r="I520" s="9">
        <v>45872</v>
      </c>
    </row>
    <row r="521" spans="1:9" ht="20.25" thickTop="1" thickBot="1">
      <c r="A521" s="21" t="s">
        <v>6</v>
      </c>
      <c r="B521" s="21" t="s">
        <v>7</v>
      </c>
      <c r="C521" s="21" t="s">
        <v>8</v>
      </c>
      <c r="D521" s="21" t="s">
        <v>9</v>
      </c>
      <c r="F521" s="21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21">
        <v>15</v>
      </c>
      <c r="B522" s="21">
        <v>500000</v>
      </c>
      <c r="C522" s="21" t="e">
        <f>VLOOKUP(A522&amp;"|"&amp;B522,$O$3:$P$17,2,FALSE)</f>
        <v>#N/A</v>
      </c>
      <c r="D522" s="21">
        <f>VLOOKUP(A522&amp;"|"&amp;B522,$Q$3:$R$17,2,FALSE)</f>
        <v>24300</v>
      </c>
      <c r="F522" s="21">
        <v>4</v>
      </c>
      <c r="G522" s="21">
        <v>1000000</v>
      </c>
      <c r="H522" s="21">
        <f>VLOOKUP(F522&amp;"|"&amp;G522,$O$3:$P$17,2,FALSE)</f>
        <v>5500</v>
      </c>
      <c r="I522" s="21">
        <f>VLOOKUP(F522&amp;"|"&amp;G522,$Q$3:$R$17,2,FALSE)</f>
        <v>44500</v>
      </c>
    </row>
    <row r="523" spans="1:9" ht="20.25" thickTop="1" thickBot="1">
      <c r="A523" s="21"/>
      <c r="B523" s="21"/>
      <c r="C523" s="21"/>
      <c r="D523" s="21"/>
      <c r="F523" s="21">
        <v>4</v>
      </c>
      <c r="G523" s="21">
        <v>1000000</v>
      </c>
      <c r="H523" s="21">
        <f>VLOOKUP(F523&amp;"|"&amp;G523,$O$3:$P$17,2,FALSE)</f>
        <v>5500</v>
      </c>
      <c r="I523" s="21">
        <f>VLOOKUP(F523&amp;"|"&amp;G523,$Q$3:$R$17,2,FALSE)</f>
        <v>44500</v>
      </c>
    </row>
    <row r="524" spans="1:9" ht="20.25" thickTop="1" thickBot="1">
      <c r="A524" s="21"/>
      <c r="B524" s="21"/>
      <c r="C524" s="21"/>
      <c r="D524" s="21"/>
      <c r="F524" s="21"/>
      <c r="G524" s="21"/>
      <c r="H524" s="21"/>
      <c r="I524" s="21"/>
    </row>
    <row r="525" spans="1:9" ht="20.25" thickTop="1" thickBot="1">
      <c r="A525" s="21"/>
      <c r="B525" s="21"/>
      <c r="C525" s="21"/>
      <c r="D525" s="21"/>
      <c r="F525" s="21"/>
      <c r="G525" s="21"/>
      <c r="H525" s="21"/>
      <c r="I525" s="21"/>
    </row>
    <row r="526" spans="1:9" ht="20.25" thickTop="1" thickBot="1">
      <c r="A526" s="21"/>
      <c r="B526" s="21"/>
      <c r="C526" s="21"/>
      <c r="D526" s="21"/>
      <c r="F526" s="21"/>
      <c r="G526" s="21"/>
      <c r="H526" s="21"/>
      <c r="I526" s="21"/>
    </row>
    <row r="527" spans="1:9" ht="20.25" thickTop="1" thickBot="1">
      <c r="A527" s="59" t="s">
        <v>49</v>
      </c>
      <c r="B527" s="53"/>
      <c r="C527" s="54"/>
      <c r="D527" s="21">
        <f>SUM(D522:D526)</f>
        <v>24300</v>
      </c>
      <c r="F527" s="81" t="s">
        <v>25</v>
      </c>
      <c r="G527" s="82"/>
      <c r="H527" s="83"/>
      <c r="I527" s="21">
        <f>SUM(I522:I526)</f>
        <v>89000</v>
      </c>
    </row>
    <row r="528" spans="1:9" ht="16.5" thickTop="1" thickBot="1"/>
    <row r="529" spans="1:4" ht="20.25" thickTop="1" thickBot="1">
      <c r="A529" s="12" t="s">
        <v>3</v>
      </c>
      <c r="B529" s="12" t="s">
        <v>61</v>
      </c>
      <c r="C529" s="12" t="s">
        <v>173</v>
      </c>
      <c r="D529" s="9">
        <v>45872</v>
      </c>
    </row>
    <row r="530" spans="1:4" ht="20.25" thickTop="1" thickBot="1">
      <c r="A530" s="21" t="s">
        <v>6</v>
      </c>
      <c r="B530" s="21" t="s">
        <v>7</v>
      </c>
      <c r="C530" s="21" t="s">
        <v>8</v>
      </c>
      <c r="D530" s="21" t="s">
        <v>9</v>
      </c>
    </row>
    <row r="531" spans="1:4" ht="20.25" thickTop="1" thickBot="1">
      <c r="A531" s="21">
        <v>4</v>
      </c>
      <c r="B531" s="21">
        <v>2000000</v>
      </c>
      <c r="C531" s="21">
        <f>VLOOKUP(A531&amp;"|"&amp;B531,$O$3:$P$17,2,FALSE)</f>
        <v>12000</v>
      </c>
      <c r="D531" s="21">
        <f>VLOOKUP(A531&amp;"|"&amp;B531,$Q$3:$R$17,2,FALSE)</f>
        <v>88000</v>
      </c>
    </row>
    <row r="532" spans="1:4" ht="20.25" thickTop="1" thickBot="1">
      <c r="A532" s="21"/>
      <c r="B532" s="21"/>
      <c r="C532" s="21"/>
      <c r="D532" s="21"/>
    </row>
    <row r="533" spans="1:4" ht="20.25" thickTop="1" thickBot="1">
      <c r="A533" s="21"/>
      <c r="B533" s="21"/>
      <c r="C533" s="21"/>
      <c r="D533" s="21"/>
    </row>
    <row r="534" spans="1:4" ht="20.25" thickTop="1" thickBot="1">
      <c r="A534" s="21"/>
      <c r="B534" s="21"/>
      <c r="C534" s="21"/>
      <c r="D534" s="21"/>
    </row>
    <row r="535" spans="1:4" ht="20.25" thickTop="1" thickBot="1">
      <c r="A535" s="21"/>
      <c r="B535" s="21"/>
      <c r="C535" s="21"/>
      <c r="D535" s="21"/>
    </row>
    <row r="536" spans="1:4" ht="20.25" thickTop="1" thickBot="1">
      <c r="A536" s="59" t="s">
        <v>49</v>
      </c>
      <c r="B536" s="53"/>
      <c r="C536" s="54"/>
      <c r="D536" s="21">
        <f>SUM(D531:D535)</f>
        <v>88000</v>
      </c>
    </row>
    <row r="537" spans="1:4" ht="15.75" thickTop="1"/>
  </sheetData>
  <mergeCells count="64">
    <mergeCell ref="A8:C8"/>
    <mergeCell ref="F8:H8"/>
    <mergeCell ref="A17:C17"/>
    <mergeCell ref="F17:H17"/>
    <mergeCell ref="A26:C26"/>
    <mergeCell ref="F26:H26"/>
    <mergeCell ref="F103:H103"/>
    <mergeCell ref="A35:C35"/>
    <mergeCell ref="F35:H35"/>
    <mergeCell ref="A44:C44"/>
    <mergeCell ref="F44:H44"/>
    <mergeCell ref="A53:C53"/>
    <mergeCell ref="F53:H53"/>
    <mergeCell ref="A62:C62"/>
    <mergeCell ref="F62:H62"/>
    <mergeCell ref="F71:H71"/>
    <mergeCell ref="F85:H85"/>
    <mergeCell ref="F94:H94"/>
    <mergeCell ref="F211:H211"/>
    <mergeCell ref="F112:H112"/>
    <mergeCell ref="F121:H121"/>
    <mergeCell ref="F130:H130"/>
    <mergeCell ref="F139:H139"/>
    <mergeCell ref="F148:H148"/>
    <mergeCell ref="F157:H157"/>
    <mergeCell ref="F166:H166"/>
    <mergeCell ref="F175:H175"/>
    <mergeCell ref="F184:H184"/>
    <mergeCell ref="F193:H193"/>
    <mergeCell ref="F202:H202"/>
    <mergeCell ref="F320:H320"/>
    <mergeCell ref="F220:H220"/>
    <mergeCell ref="F229:H229"/>
    <mergeCell ref="F238:H238"/>
    <mergeCell ref="F247:H247"/>
    <mergeCell ref="F256:H256"/>
    <mergeCell ref="F265:H265"/>
    <mergeCell ref="F274:H274"/>
    <mergeCell ref="F284:H284"/>
    <mergeCell ref="F293:H293"/>
    <mergeCell ref="F302:H302"/>
    <mergeCell ref="F311:H311"/>
    <mergeCell ref="F428:H428"/>
    <mergeCell ref="F329:H329"/>
    <mergeCell ref="F338:H338"/>
    <mergeCell ref="F347:H347"/>
    <mergeCell ref="F356:H356"/>
    <mergeCell ref="F365:H365"/>
    <mergeCell ref="F374:H374"/>
    <mergeCell ref="F383:H383"/>
    <mergeCell ref="F392:H392"/>
    <mergeCell ref="F401:H401"/>
    <mergeCell ref="F410:H410"/>
    <mergeCell ref="F419:H419"/>
    <mergeCell ref="F491:H491"/>
    <mergeCell ref="F500:H500"/>
    <mergeCell ref="F518:H518"/>
    <mergeCell ref="F527:H527"/>
    <mergeCell ref="F437:H437"/>
    <mergeCell ref="F446:H446"/>
    <mergeCell ref="F455:H455"/>
    <mergeCell ref="F464:H464"/>
    <mergeCell ref="F473:H473"/>
    <mergeCell ref="F482:H48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67F9-0DC1-4E4E-B881-B6E80CD837AE}">
  <dimension ref="A1:Z537"/>
  <sheetViews>
    <sheetView tabSelected="1" workbookViewId="0">
      <selection sqref="A1:Z536"/>
    </sheetView>
  </sheetViews>
  <sheetFormatPr defaultRowHeight="15"/>
  <sheetData>
    <row r="1" spans="1:26" ht="20.25" thickTop="1" thickBot="1">
      <c r="A1" s="8" t="s">
        <v>0</v>
      </c>
      <c r="B1" s="8" t="s">
        <v>1</v>
      </c>
      <c r="C1" s="8" t="s">
        <v>2</v>
      </c>
      <c r="D1" s="9">
        <v>45844</v>
      </c>
      <c r="E1" s="10"/>
      <c r="F1" s="12" t="s">
        <v>3</v>
      </c>
      <c r="G1" s="12" t="s">
        <v>4</v>
      </c>
      <c r="H1" s="12" t="s">
        <v>5</v>
      </c>
      <c r="I1" s="9">
        <v>45844</v>
      </c>
      <c r="J1" s="13"/>
      <c r="L1" s="1"/>
      <c r="M1" s="1"/>
      <c r="N1" s="14"/>
      <c r="O1" s="15"/>
      <c r="P1" s="16"/>
      <c r="Q1" s="15"/>
      <c r="R1" s="17"/>
      <c r="S1" s="1"/>
      <c r="U1" s="1"/>
      <c r="V1" s="1"/>
      <c r="W1" s="1"/>
      <c r="X1" s="1"/>
      <c r="Y1" s="1"/>
      <c r="Z1" s="1"/>
    </row>
    <row r="2" spans="1:26" ht="46.5" thickTop="1" thickBot="1">
      <c r="A2" s="8" t="s">
        <v>6</v>
      </c>
      <c r="B2" s="8" t="s">
        <v>7</v>
      </c>
      <c r="C2" s="8" t="s">
        <v>8</v>
      </c>
      <c r="D2" s="8" t="s">
        <v>9</v>
      </c>
      <c r="E2" s="10"/>
      <c r="F2" s="21" t="s">
        <v>6</v>
      </c>
      <c r="G2" s="21" t="s">
        <v>7</v>
      </c>
      <c r="H2" s="21" t="s">
        <v>8</v>
      </c>
      <c r="I2" s="21" t="s">
        <v>9</v>
      </c>
      <c r="K2" s="1"/>
      <c r="L2" s="22" t="s">
        <v>6</v>
      </c>
      <c r="M2" s="14" t="s">
        <v>10</v>
      </c>
      <c r="N2" s="23" t="s">
        <v>11</v>
      </c>
      <c r="O2" s="15"/>
      <c r="P2" s="24" t="s">
        <v>8</v>
      </c>
      <c r="Q2" s="15" t="s">
        <v>12</v>
      </c>
      <c r="R2" s="17" t="s">
        <v>9</v>
      </c>
      <c r="S2" s="1"/>
      <c r="T2" s="73" t="s">
        <v>13</v>
      </c>
      <c r="U2" s="73" t="s">
        <v>14</v>
      </c>
      <c r="V2" s="73" t="s">
        <v>15</v>
      </c>
      <c r="W2" s="1"/>
      <c r="X2" s="73" t="s">
        <v>13</v>
      </c>
      <c r="Y2" s="73" t="s">
        <v>3</v>
      </c>
      <c r="Z2" s="73" t="s">
        <v>15</v>
      </c>
    </row>
    <row r="3" spans="1:26" ht="20.25" thickTop="1" thickBot="1">
      <c r="A3" s="8">
        <v>14</v>
      </c>
      <c r="B3" s="8">
        <v>1000000</v>
      </c>
      <c r="C3" s="8">
        <f>VLOOKUP(A3&amp;"|"&amp;B3,$O$3:$P$16,2,FALSE)</f>
        <v>1900</v>
      </c>
      <c r="D3" s="8">
        <f>VLOOKUP(A3&amp;"|"&amp;B3,$Q$3:$R$16,2,FALSE)</f>
        <v>48100</v>
      </c>
      <c r="E3" s="10"/>
      <c r="F3" s="21">
        <v>14</v>
      </c>
      <c r="G3" s="21">
        <v>500000</v>
      </c>
      <c r="H3" s="21">
        <f>VLOOKUP(F3&amp;"|"&amp;G3,$O$3:$P$19,2,FALSE)</f>
        <v>1000</v>
      </c>
      <c r="I3" s="21">
        <f>VLOOKUP(F3&amp;"|"&amp;G3,$Q$3:$R$19,2,FALSE)</f>
        <v>24000</v>
      </c>
      <c r="J3" s="13"/>
      <c r="K3" s="1"/>
      <c r="L3" s="46">
        <v>8</v>
      </c>
      <c r="M3" s="74">
        <v>500000</v>
      </c>
      <c r="N3" s="46">
        <v>50000</v>
      </c>
      <c r="O3" s="46" t="str">
        <f t="shared" ref="O3:O18" si="0">L3&amp;"|"&amp;M3</f>
        <v>8|500000</v>
      </c>
      <c r="P3" s="46">
        <f t="shared" ref="P3:P18" si="1">N3/20</f>
        <v>2500</v>
      </c>
      <c r="Q3" s="46" t="str">
        <f t="shared" ref="Q3:Q18" si="2">L3&amp;"|"&amp;M3</f>
        <v>8|500000</v>
      </c>
      <c r="R3" s="47">
        <f t="shared" ref="R3:R18" si="3">(M3-N3)/20</f>
        <v>22500</v>
      </c>
      <c r="S3" s="1"/>
      <c r="T3" s="49">
        <f>D8</f>
        <v>69500</v>
      </c>
      <c r="U3" s="49" t="str">
        <f>B1</f>
        <v>SOHANJI</v>
      </c>
      <c r="V3" s="49" t="str">
        <f>C1</f>
        <v>ALWN.CO</v>
      </c>
      <c r="W3" s="1"/>
      <c r="X3" s="49">
        <f>I8</f>
        <v>24000</v>
      </c>
      <c r="Y3" s="49" t="str">
        <f>G1</f>
        <v>SURESH</v>
      </c>
      <c r="Z3" s="49" t="str">
        <f>H1</f>
        <v>JODHPUR</v>
      </c>
    </row>
    <row r="4" spans="1:26" ht="20.25" thickTop="1" thickBot="1">
      <c r="A4" s="8">
        <v>3</v>
      </c>
      <c r="B4" s="8">
        <v>500000</v>
      </c>
      <c r="C4" s="8">
        <f>VLOOKUP(A4&amp;"|"&amp;B4,$O$3:$P$16,2,FALSE)</f>
        <v>3600</v>
      </c>
      <c r="D4" s="8">
        <f>VLOOKUP(A4&amp;"|"&amp;B4,$Q$3:$R$16,2,FALSE)</f>
        <v>21400</v>
      </c>
      <c r="E4" s="10"/>
      <c r="F4" s="21"/>
      <c r="G4" s="21"/>
      <c r="H4" s="21"/>
      <c r="I4" s="21"/>
      <c r="J4" s="13"/>
      <c r="K4" s="1"/>
      <c r="L4" s="46">
        <v>8</v>
      </c>
      <c r="M4" s="74">
        <v>250000</v>
      </c>
      <c r="N4" s="45">
        <v>25000</v>
      </c>
      <c r="O4" s="46" t="str">
        <f t="shared" si="0"/>
        <v>8|250000</v>
      </c>
      <c r="P4" s="46">
        <f t="shared" si="1"/>
        <v>1250</v>
      </c>
      <c r="Q4" s="46" t="str">
        <f t="shared" si="2"/>
        <v>8|250000</v>
      </c>
      <c r="R4" s="47">
        <f t="shared" si="3"/>
        <v>11250</v>
      </c>
      <c r="S4" s="1"/>
      <c r="T4" s="49">
        <f>D17</f>
        <v>24000</v>
      </c>
      <c r="U4" s="49" t="str">
        <f>B10</f>
        <v>JIVARAMJI</v>
      </c>
      <c r="V4" s="49" t="str">
        <f>C10</f>
        <v>YAMJAL</v>
      </c>
      <c r="W4" s="1"/>
      <c r="X4" s="49">
        <f>I17</f>
        <v>24000</v>
      </c>
      <c r="Y4" s="49" t="str">
        <f>G10</f>
        <v>BHAWARJI</v>
      </c>
      <c r="Z4" s="49" t="str">
        <f>H10</f>
        <v>BAJPLY</v>
      </c>
    </row>
    <row r="5" spans="1:26" ht="20.25" thickTop="1" thickBot="1">
      <c r="A5" s="8"/>
      <c r="B5" s="8"/>
      <c r="C5" s="8"/>
      <c r="D5" s="8"/>
      <c r="E5" s="10"/>
      <c r="F5" s="21"/>
      <c r="G5" s="21"/>
      <c r="H5" s="21"/>
      <c r="I5" s="21"/>
      <c r="J5" s="13"/>
      <c r="K5" s="1"/>
      <c r="L5" s="1">
        <v>3</v>
      </c>
      <c r="M5" s="1">
        <v>2000000</v>
      </c>
      <c r="N5" s="1">
        <v>270000</v>
      </c>
      <c r="O5" s="45" t="str">
        <f t="shared" si="0"/>
        <v>3|2000000</v>
      </c>
      <c r="P5" s="46">
        <f t="shared" si="1"/>
        <v>13500</v>
      </c>
      <c r="Q5" s="45" t="str">
        <f t="shared" si="2"/>
        <v>3|2000000</v>
      </c>
      <c r="R5" s="47">
        <f t="shared" si="3"/>
        <v>86500</v>
      </c>
      <c r="S5" s="1"/>
      <c r="T5" s="49">
        <f>D26</f>
        <v>134600</v>
      </c>
      <c r="U5" s="49" t="str">
        <f>B19</f>
        <v>MANGILALJI</v>
      </c>
      <c r="V5" s="49" t="str">
        <f>C19</f>
        <v>BOLARAM</v>
      </c>
      <c r="W5" s="1"/>
      <c r="X5" s="49">
        <f>I26</f>
        <v>144400</v>
      </c>
      <c r="Y5" s="49" t="str">
        <f>G19</f>
        <v>NETHIRAMJI</v>
      </c>
      <c r="Z5" s="49" t="str">
        <f>H19</f>
        <v>RAMARAM</v>
      </c>
    </row>
    <row r="6" spans="1:26" ht="20.25" thickTop="1" thickBot="1">
      <c r="A6" s="8"/>
      <c r="B6" s="8"/>
      <c r="C6" s="8"/>
      <c r="D6" s="8"/>
      <c r="E6" s="10"/>
      <c r="F6" s="21"/>
      <c r="G6" s="21"/>
      <c r="H6" s="21"/>
      <c r="I6" s="21"/>
      <c r="J6" s="13"/>
      <c r="K6" s="1"/>
      <c r="L6" s="48">
        <v>3</v>
      </c>
      <c r="M6" s="45">
        <v>500000</v>
      </c>
      <c r="N6" s="45">
        <v>72000</v>
      </c>
      <c r="O6" s="45" t="str">
        <f t="shared" si="0"/>
        <v>3|500000</v>
      </c>
      <c r="P6" s="46">
        <f t="shared" si="1"/>
        <v>3600</v>
      </c>
      <c r="Q6" s="45" t="str">
        <f t="shared" si="2"/>
        <v>3|500000</v>
      </c>
      <c r="R6" s="47">
        <f t="shared" si="3"/>
        <v>21400</v>
      </c>
      <c r="S6" s="1"/>
      <c r="T6" s="49">
        <f>D35</f>
        <v>143000</v>
      </c>
      <c r="U6" s="49" t="str">
        <f>B28</f>
        <v>KISHANJI</v>
      </c>
      <c r="V6" s="49" t="str">
        <f>C28</f>
        <v>KAMAN</v>
      </c>
      <c r="W6" s="1"/>
      <c r="X6" s="49">
        <f>I35</f>
        <v>21400</v>
      </c>
      <c r="Y6" s="49" t="str">
        <f>G28</f>
        <v>TARARAMJI</v>
      </c>
      <c r="Z6" s="49" t="str">
        <f>H28</f>
        <v>PRGATI NG</v>
      </c>
    </row>
    <row r="7" spans="1:26" ht="20.25" thickTop="1" thickBot="1">
      <c r="A7" s="8"/>
      <c r="B7" s="8"/>
      <c r="C7" s="8"/>
      <c r="D7" s="8"/>
      <c r="E7" s="10"/>
      <c r="F7" s="21"/>
      <c r="G7" s="21"/>
      <c r="H7" s="21"/>
      <c r="I7" s="21"/>
      <c r="J7" s="13"/>
      <c r="K7" s="1"/>
      <c r="L7" s="48">
        <v>14.1</v>
      </c>
      <c r="M7" s="45">
        <v>500000</v>
      </c>
      <c r="N7" s="45">
        <v>19000</v>
      </c>
      <c r="O7" s="45" t="str">
        <f t="shared" si="0"/>
        <v>14.1|500000</v>
      </c>
      <c r="P7" s="46">
        <f t="shared" si="1"/>
        <v>950</v>
      </c>
      <c r="Q7" s="46" t="str">
        <f t="shared" si="2"/>
        <v>14.1|500000</v>
      </c>
      <c r="R7" s="47">
        <f t="shared" si="3"/>
        <v>24050</v>
      </c>
      <c r="S7" s="1"/>
      <c r="T7" s="49">
        <f>D44</f>
        <v>23250</v>
      </c>
      <c r="U7" s="49" t="str">
        <f>B37</f>
        <v>BHONARAMJI</v>
      </c>
      <c r="V7" s="49" t="str">
        <f>C37</f>
        <v>G.MAISAMA</v>
      </c>
      <c r="W7" s="1"/>
      <c r="X7" s="49">
        <f>I44</f>
        <v>134650</v>
      </c>
      <c r="Y7" s="49" t="str">
        <f>G37</f>
        <v>SESHARAMJI</v>
      </c>
      <c r="Z7" s="49" t="str">
        <f>H37</f>
        <v>MEDCHAL</v>
      </c>
    </row>
    <row r="8" spans="1:26" ht="20.25" thickTop="1" thickBot="1">
      <c r="A8" s="87" t="s">
        <v>16</v>
      </c>
      <c r="B8" s="88"/>
      <c r="C8" s="89"/>
      <c r="D8" s="8">
        <f>SUM(D3:D7)</f>
        <v>69500</v>
      </c>
      <c r="E8" s="10"/>
      <c r="F8" s="84" t="s">
        <v>16</v>
      </c>
      <c r="G8" s="85"/>
      <c r="H8" s="86"/>
      <c r="I8" s="21">
        <f>SUM(I3:I7)</f>
        <v>24000</v>
      </c>
      <c r="J8" s="13"/>
      <c r="K8" s="1"/>
      <c r="L8" s="48">
        <v>14</v>
      </c>
      <c r="M8" s="45">
        <v>1000000</v>
      </c>
      <c r="N8" s="45">
        <v>38000</v>
      </c>
      <c r="O8" s="45" t="str">
        <f t="shared" si="0"/>
        <v>14|1000000</v>
      </c>
      <c r="P8" s="46">
        <f t="shared" si="1"/>
        <v>1900</v>
      </c>
      <c r="Q8" s="45" t="str">
        <f t="shared" si="2"/>
        <v>14|1000000</v>
      </c>
      <c r="R8" s="47">
        <f t="shared" si="3"/>
        <v>48100</v>
      </c>
      <c r="S8" s="1"/>
      <c r="T8" s="49">
        <f>D53</f>
        <v>24050</v>
      </c>
      <c r="U8" s="49" t="str">
        <f>B46</f>
        <v>RAMESHJI</v>
      </c>
      <c r="V8" s="49" t="str">
        <f>C46</f>
        <v>HITECH</v>
      </c>
      <c r="W8" s="1"/>
      <c r="X8" s="49">
        <f>I53</f>
        <v>23350</v>
      </c>
      <c r="Y8" s="49" t="str">
        <f>G46</f>
        <v>CHANDUJI</v>
      </c>
      <c r="Z8" s="49" t="str">
        <f>H46</f>
        <v>KAMMAN</v>
      </c>
    </row>
    <row r="9" spans="1:26" ht="20.25" thickTop="1" thickBot="1">
      <c r="A9" s="41"/>
      <c r="B9" s="40"/>
      <c r="C9" s="41"/>
      <c r="D9" s="41"/>
      <c r="E9" s="42"/>
      <c r="F9" s="42"/>
      <c r="G9" s="42"/>
      <c r="H9" s="42"/>
      <c r="I9" s="42"/>
      <c r="J9" s="13"/>
      <c r="K9" s="1"/>
      <c r="L9" s="48">
        <v>14.1</v>
      </c>
      <c r="M9" s="45">
        <v>1000000</v>
      </c>
      <c r="N9" s="45">
        <v>37000</v>
      </c>
      <c r="O9" s="45" t="str">
        <f t="shared" si="0"/>
        <v>14.1|1000000</v>
      </c>
      <c r="P9" s="46">
        <f t="shared" si="1"/>
        <v>1850</v>
      </c>
      <c r="Q9" s="45" t="str">
        <f t="shared" si="2"/>
        <v>14.1|1000000</v>
      </c>
      <c r="R9" s="47">
        <f t="shared" si="3"/>
        <v>48150</v>
      </c>
      <c r="S9" s="1"/>
      <c r="T9" s="49">
        <f>D62</f>
        <v>73000</v>
      </c>
      <c r="U9" s="49" t="str">
        <f>B55</f>
        <v>SOHANJI</v>
      </c>
      <c r="V9" s="49" t="str">
        <f>C55</f>
        <v>KOTLAPUR</v>
      </c>
      <c r="W9" s="1"/>
      <c r="X9" s="49">
        <f>I62</f>
        <v>46250</v>
      </c>
      <c r="Y9" s="49" t="str">
        <f>G55</f>
        <v>DEEPAKJI</v>
      </c>
      <c r="Z9" s="49" t="str">
        <f>H55</f>
        <v>SUCHITRA</v>
      </c>
    </row>
    <row r="10" spans="1:26" ht="20.25" thickTop="1" thickBot="1">
      <c r="A10" s="21" t="s">
        <v>0</v>
      </c>
      <c r="B10" s="21" t="s">
        <v>17</v>
      </c>
      <c r="C10" s="21" t="s">
        <v>18</v>
      </c>
      <c r="D10" s="9">
        <v>45844</v>
      </c>
      <c r="E10" s="10"/>
      <c r="F10" s="21" t="s">
        <v>0</v>
      </c>
      <c r="G10" s="21" t="s">
        <v>19</v>
      </c>
      <c r="H10" s="21" t="s">
        <v>20</v>
      </c>
      <c r="I10" s="9">
        <v>45844</v>
      </c>
      <c r="J10" s="44"/>
      <c r="K10" s="1"/>
      <c r="L10" s="48">
        <v>11</v>
      </c>
      <c r="M10" s="45">
        <v>500000</v>
      </c>
      <c r="N10" s="45">
        <v>33000</v>
      </c>
      <c r="O10" s="45" t="str">
        <f t="shared" si="0"/>
        <v>11|500000</v>
      </c>
      <c r="P10" s="46">
        <f t="shared" si="1"/>
        <v>1650</v>
      </c>
      <c r="Q10" s="45" t="str">
        <f t="shared" si="2"/>
        <v>11|500000</v>
      </c>
      <c r="R10" s="47">
        <f t="shared" si="3"/>
        <v>23350</v>
      </c>
      <c r="S10" s="1"/>
      <c r="T10" s="49">
        <f>D71</f>
        <v>110550</v>
      </c>
      <c r="U10" s="49" t="str">
        <f>B64</f>
        <v>KUNARAMJI</v>
      </c>
      <c r="V10" s="49" t="str">
        <f>C64</f>
        <v>GANDHI NGR</v>
      </c>
      <c r="W10" s="1"/>
      <c r="X10" s="49">
        <f>I71</f>
        <v>45450</v>
      </c>
      <c r="Y10" s="49" t="str">
        <f>G64</f>
        <v>CHENARAMJI</v>
      </c>
      <c r="Z10" s="49" t="str">
        <f>H64</f>
        <v>CHINTAL</v>
      </c>
    </row>
    <row r="11" spans="1:26" ht="20.25" thickTop="1" thickBot="1">
      <c r="A11" s="21" t="s">
        <v>6</v>
      </c>
      <c r="B11" s="21" t="s">
        <v>7</v>
      </c>
      <c r="C11" s="21" t="s">
        <v>8</v>
      </c>
      <c r="D11" s="21" t="s">
        <v>9</v>
      </c>
      <c r="E11" s="10"/>
      <c r="F11" s="21" t="s">
        <v>6</v>
      </c>
      <c r="G11" s="21" t="s">
        <v>7</v>
      </c>
      <c r="H11" s="21" t="s">
        <v>8</v>
      </c>
      <c r="I11" s="21" t="s">
        <v>9</v>
      </c>
      <c r="J11" s="13"/>
      <c r="K11" s="1"/>
      <c r="L11" s="48">
        <v>18</v>
      </c>
      <c r="M11" s="45">
        <v>500000</v>
      </c>
      <c r="N11" s="45">
        <v>3000</v>
      </c>
      <c r="O11" s="45" t="str">
        <f t="shared" si="0"/>
        <v>18|500000</v>
      </c>
      <c r="P11" s="46">
        <f t="shared" si="1"/>
        <v>150</v>
      </c>
      <c r="Q11" s="45" t="str">
        <f t="shared" si="2"/>
        <v>18|500000</v>
      </c>
      <c r="R11" s="47">
        <f t="shared" si="3"/>
        <v>24850</v>
      </c>
      <c r="S11" s="1"/>
      <c r="T11" s="49">
        <f>D85</f>
        <v>329450</v>
      </c>
      <c r="U11" s="49" t="str">
        <f>B73</f>
        <v>MATAJI</v>
      </c>
      <c r="V11" s="49" t="str">
        <f>C73</f>
        <v>G.R</v>
      </c>
      <c r="W11" s="1"/>
      <c r="X11" s="49">
        <f>I85</f>
        <v>314850</v>
      </c>
      <c r="Y11" s="49" t="str">
        <f>G73</f>
        <v>MATAJI</v>
      </c>
      <c r="Z11" s="49" t="str">
        <f>H73</f>
        <v>J.E.W</v>
      </c>
    </row>
    <row r="12" spans="1:26" ht="20.25" thickTop="1" thickBot="1">
      <c r="A12" s="21">
        <v>14</v>
      </c>
      <c r="B12" s="21">
        <v>500000</v>
      </c>
      <c r="C12" s="21">
        <f>VLOOKUP(A12&amp;"|"&amp;B12,$O$3:$P$16,2,FALSE)</f>
        <v>1000</v>
      </c>
      <c r="D12" s="21">
        <f>VLOOKUP(A12&amp;"|"&amp;B12,$Q$3:$R$16,2,FALSE)</f>
        <v>24000</v>
      </c>
      <c r="E12" s="10"/>
      <c r="F12" s="21">
        <v>14</v>
      </c>
      <c r="G12" s="21">
        <v>500000</v>
      </c>
      <c r="H12" s="21">
        <f>VLOOKUP(F12&amp;"|"&amp;G12,$O$3:$P$16,2,FALSE)</f>
        <v>1000</v>
      </c>
      <c r="I12" s="21">
        <f>VLOOKUP(F12&amp;"|"&amp;G12,$Q$3:$R$16,2,FALSE)</f>
        <v>24000</v>
      </c>
      <c r="J12" s="13"/>
      <c r="K12" s="1"/>
      <c r="L12" s="48">
        <v>18</v>
      </c>
      <c r="M12" s="45">
        <v>1000000</v>
      </c>
      <c r="N12" s="45">
        <v>6000</v>
      </c>
      <c r="O12" s="45" t="str">
        <f t="shared" si="0"/>
        <v>18|1000000</v>
      </c>
      <c r="P12" s="46">
        <f t="shared" si="1"/>
        <v>300</v>
      </c>
      <c r="Q12" s="45" t="str">
        <f t="shared" si="2"/>
        <v>18|1000000</v>
      </c>
      <c r="R12" s="47">
        <f t="shared" si="3"/>
        <v>49700</v>
      </c>
      <c r="S12" s="1"/>
      <c r="T12" s="49">
        <f>D94</f>
        <v>270850</v>
      </c>
      <c r="U12" s="49" t="str">
        <f>B87</f>
        <v>MOHANLALJI</v>
      </c>
      <c r="V12" s="49" t="str">
        <f>C87</f>
        <v>SNT.NAGAR</v>
      </c>
      <c r="W12" s="1"/>
      <c r="X12" s="49">
        <f>I94</f>
        <v>24050</v>
      </c>
      <c r="Y12" s="49" t="str">
        <f>G87</f>
        <v>SUNILJI</v>
      </c>
      <c r="Z12" s="49" t="str">
        <f>H87</f>
        <v>S.P</v>
      </c>
    </row>
    <row r="13" spans="1:26" ht="20.25" thickTop="1" thickBot="1">
      <c r="A13" s="21"/>
      <c r="B13" s="21"/>
      <c r="C13" s="21"/>
      <c r="D13" s="21"/>
      <c r="E13" s="10"/>
      <c r="F13" s="21"/>
      <c r="G13" s="21"/>
      <c r="H13" s="21"/>
      <c r="I13" s="21"/>
      <c r="J13" s="13"/>
      <c r="K13" s="1"/>
      <c r="L13" s="48">
        <v>18.100000000000001</v>
      </c>
      <c r="M13" s="1">
        <v>500000</v>
      </c>
      <c r="N13" s="1">
        <v>3000</v>
      </c>
      <c r="O13" s="45" t="str">
        <f t="shared" si="0"/>
        <v>18.1|500000</v>
      </c>
      <c r="P13" s="46">
        <f t="shared" si="1"/>
        <v>150</v>
      </c>
      <c r="Q13" s="45" t="str">
        <f t="shared" si="2"/>
        <v>18.1|500000</v>
      </c>
      <c r="R13" s="47">
        <f t="shared" si="3"/>
        <v>24850</v>
      </c>
      <c r="S13" s="1"/>
      <c r="T13" s="49">
        <f>D103</f>
        <v>45400</v>
      </c>
      <c r="U13" s="49" t="str">
        <f>B96</f>
        <v>PRAKASHJI</v>
      </c>
      <c r="V13" s="49" t="str">
        <f>C96</f>
        <v>KONDAPUR</v>
      </c>
      <c r="W13" s="1"/>
      <c r="X13" s="49">
        <f>I103</f>
        <v>145950</v>
      </c>
      <c r="Y13" s="49" t="str">
        <f>G96</f>
        <v>NEMARAMJI</v>
      </c>
      <c r="Z13" s="49" t="str">
        <f>H96</f>
        <v>S.R NAGAR</v>
      </c>
    </row>
    <row r="14" spans="1:26" ht="20.25" thickTop="1" thickBot="1">
      <c r="A14" s="21"/>
      <c r="B14" s="21"/>
      <c r="C14" s="21"/>
      <c r="D14" s="21"/>
      <c r="E14" s="10"/>
      <c r="F14" s="21"/>
      <c r="G14" s="21"/>
      <c r="H14" s="21"/>
      <c r="I14" s="21"/>
      <c r="J14" s="13" t="s">
        <v>182</v>
      </c>
      <c r="K14" s="1"/>
      <c r="L14" s="48">
        <v>3</v>
      </c>
      <c r="M14" s="45">
        <v>1000000</v>
      </c>
      <c r="N14" s="45">
        <v>130000</v>
      </c>
      <c r="O14" s="45" t="str">
        <f t="shared" si="0"/>
        <v>3|1000000</v>
      </c>
      <c r="P14" s="46">
        <f t="shared" si="1"/>
        <v>6500</v>
      </c>
      <c r="Q14" s="45" t="str">
        <f t="shared" si="2"/>
        <v>3|1000000</v>
      </c>
      <c r="R14" s="47">
        <f t="shared" si="3"/>
        <v>43500</v>
      </c>
      <c r="S14" s="1"/>
      <c r="T14" s="49">
        <f>D112</f>
        <v>24000</v>
      </c>
      <c r="U14" s="49" t="str">
        <f>B105</f>
        <v>NARAYANJI</v>
      </c>
      <c r="V14" s="49" t="str">
        <f>C105</f>
        <v>SHAPUR</v>
      </c>
      <c r="W14" s="1"/>
      <c r="X14" s="49">
        <f>I112</f>
        <v>158600</v>
      </c>
      <c r="Y14" s="49" t="str">
        <f>G105</f>
        <v>HIMTARAMJI</v>
      </c>
      <c r="Z14" s="49" t="str">
        <f>H105</f>
        <v>MEDCHAL</v>
      </c>
    </row>
    <row r="15" spans="1:26" ht="20.25" thickTop="1" thickBot="1">
      <c r="A15" s="21"/>
      <c r="B15" s="21"/>
      <c r="C15" s="21"/>
      <c r="D15" s="21"/>
      <c r="E15" s="10"/>
      <c r="F15" s="21"/>
      <c r="G15" s="21"/>
      <c r="H15" s="21"/>
      <c r="I15" s="21"/>
      <c r="J15" s="13"/>
      <c r="K15" s="1"/>
      <c r="L15" s="75">
        <v>14</v>
      </c>
      <c r="M15" s="45">
        <v>500000</v>
      </c>
      <c r="N15" s="45">
        <v>20000</v>
      </c>
      <c r="O15" s="45" t="str">
        <f t="shared" si="0"/>
        <v>14|500000</v>
      </c>
      <c r="P15" s="46">
        <f t="shared" si="1"/>
        <v>1000</v>
      </c>
      <c r="Q15" s="45" t="str">
        <f t="shared" si="2"/>
        <v>14|500000</v>
      </c>
      <c r="R15" s="47">
        <f t="shared" si="3"/>
        <v>24000</v>
      </c>
      <c r="S15" s="1"/>
      <c r="T15" s="49">
        <f>D121</f>
        <v>93850</v>
      </c>
      <c r="U15" s="49" t="str">
        <f>B114</f>
        <v>CHENARAMJI</v>
      </c>
      <c r="V15" s="49" t="str">
        <f>C114</f>
        <v>KOTLAPUR</v>
      </c>
      <c r="W15" s="1"/>
      <c r="X15" s="49">
        <f>I121</f>
        <v>134600</v>
      </c>
      <c r="Y15" s="49" t="str">
        <f>G114</f>
        <v>GOVINDJI</v>
      </c>
      <c r="Z15" s="49" t="str">
        <f>H114</f>
        <v>MGD NAGAR</v>
      </c>
    </row>
    <row r="16" spans="1:26" ht="20.25" thickTop="1" thickBot="1">
      <c r="A16" s="21"/>
      <c r="B16" s="21"/>
      <c r="C16" s="21"/>
      <c r="D16" s="21"/>
      <c r="E16" s="2"/>
      <c r="F16" s="21"/>
      <c r="G16" s="21"/>
      <c r="H16" s="21"/>
      <c r="I16" s="21"/>
      <c r="J16" s="13"/>
      <c r="K16" s="1"/>
      <c r="L16" s="45">
        <v>3.1</v>
      </c>
      <c r="M16" s="46">
        <v>1000000</v>
      </c>
      <c r="N16" s="45">
        <v>135000</v>
      </c>
      <c r="O16" s="45" t="str">
        <f t="shared" si="0"/>
        <v>3.1|1000000</v>
      </c>
      <c r="P16" s="46">
        <f t="shared" si="1"/>
        <v>6750</v>
      </c>
      <c r="Q16" s="45" t="str">
        <f t="shared" si="2"/>
        <v>3.1|1000000</v>
      </c>
      <c r="R16" s="47">
        <f t="shared" si="3"/>
        <v>43250</v>
      </c>
      <c r="S16" s="1"/>
      <c r="T16" s="49">
        <f>D130</f>
        <v>110500</v>
      </c>
      <c r="U16" s="49" t="str">
        <f>B123</f>
        <v>NARAYANLALJI</v>
      </c>
      <c r="V16" s="49" t="str">
        <f>C123</f>
        <v>SUBASH NGR</v>
      </c>
      <c r="W16" s="1"/>
      <c r="X16" s="49">
        <f>I130</f>
        <v>117950</v>
      </c>
      <c r="Y16" s="49" t="str">
        <f>G123</f>
        <v>VAKTARAMJI</v>
      </c>
      <c r="Z16" s="49" t="str">
        <f>H123</f>
        <v>RMNTPUR</v>
      </c>
    </row>
    <row r="17" spans="1:26" ht="20.25" thickTop="1" thickBot="1">
      <c r="A17" s="84" t="s">
        <v>16</v>
      </c>
      <c r="B17" s="85"/>
      <c r="C17" s="86"/>
      <c r="D17" s="8">
        <f>SUM(D12:D16)</f>
        <v>24000</v>
      </c>
      <c r="E17" s="2"/>
      <c r="F17" s="84" t="s">
        <v>16</v>
      </c>
      <c r="G17" s="85"/>
      <c r="H17" s="86"/>
      <c r="I17" s="21">
        <f>SUM(I12:I13)</f>
        <v>24000</v>
      </c>
      <c r="J17" s="13"/>
      <c r="K17" s="1"/>
      <c r="L17" s="48"/>
      <c r="M17" s="1"/>
      <c r="N17" s="1"/>
      <c r="O17" s="45"/>
      <c r="P17" s="46"/>
      <c r="Q17" s="45"/>
      <c r="R17" s="47"/>
      <c r="S17" s="1"/>
      <c r="T17" s="49">
        <f>D139</f>
        <v>48850</v>
      </c>
      <c r="U17" s="49" t="str">
        <f>B132</f>
        <v>BHUNDARAMJI</v>
      </c>
      <c r="V17" s="49" t="str">
        <f>C132</f>
        <v>MIYAPUR</v>
      </c>
      <c r="W17" s="1"/>
      <c r="X17" s="49">
        <f>I139</f>
        <v>24000</v>
      </c>
      <c r="Y17" s="49" t="str">
        <f>G132</f>
        <v>MOHANJI</v>
      </c>
      <c r="Z17" s="49" t="str">
        <f>H132</f>
        <v>NARSAPUR</v>
      </c>
    </row>
    <row r="18" spans="1:26" ht="20.25" thickTop="1" thickBot="1">
      <c r="A18" s="3"/>
      <c r="B18" s="3"/>
      <c r="C18" s="3"/>
      <c r="D18" s="3"/>
      <c r="E18" s="3"/>
      <c r="F18" s="42"/>
      <c r="G18" s="42"/>
      <c r="H18" s="42"/>
      <c r="I18" s="42"/>
      <c r="J18" s="13"/>
      <c r="K18" s="1"/>
      <c r="L18" s="48">
        <v>14</v>
      </c>
      <c r="M18" s="1">
        <v>250000</v>
      </c>
      <c r="N18" s="1">
        <v>10000</v>
      </c>
      <c r="O18" s="45" t="str">
        <f t="shared" si="0"/>
        <v>14|250000</v>
      </c>
      <c r="P18" s="46">
        <f t="shared" si="1"/>
        <v>500</v>
      </c>
      <c r="Q18" s="45" t="str">
        <f t="shared" si="2"/>
        <v>14|250000</v>
      </c>
      <c r="R18" s="47">
        <f t="shared" si="3"/>
        <v>12000</v>
      </c>
      <c r="S18" s="1"/>
      <c r="T18" s="49">
        <f>D148</f>
        <v>119550</v>
      </c>
      <c r="U18" s="49" t="str">
        <f>B141</f>
        <v>POKARJI</v>
      </c>
      <c r="V18" s="49" t="str">
        <f>C141</f>
        <v>J GUTTA</v>
      </c>
      <c r="W18" s="1"/>
      <c r="X18" s="49">
        <f>I148</f>
        <v>99400</v>
      </c>
      <c r="Y18" s="49" t="str">
        <f>G141</f>
        <v>VAJJARAMJI</v>
      </c>
      <c r="Z18" s="49" t="str">
        <f>H141</f>
        <v>RING ROAD</v>
      </c>
    </row>
    <row r="19" spans="1:26" ht="20.25" thickTop="1" thickBot="1">
      <c r="A19" s="21" t="s">
        <v>0</v>
      </c>
      <c r="B19" s="21" t="s">
        <v>21</v>
      </c>
      <c r="C19" s="21" t="s">
        <v>22</v>
      </c>
      <c r="D19" s="9">
        <v>45844</v>
      </c>
      <c r="E19" s="2"/>
      <c r="F19" s="21" t="s">
        <v>0</v>
      </c>
      <c r="G19" s="21" t="s">
        <v>23</v>
      </c>
      <c r="H19" s="21" t="s">
        <v>24</v>
      </c>
      <c r="I19" s="9">
        <v>45844</v>
      </c>
      <c r="J19" s="13"/>
      <c r="K19" s="1"/>
      <c r="L19" s="48"/>
      <c r="M19" s="1"/>
      <c r="N19" s="1"/>
      <c r="O19" s="45"/>
      <c r="P19" s="46"/>
      <c r="Q19" s="45"/>
      <c r="R19" s="47"/>
      <c r="S19" s="1"/>
      <c r="T19" s="49">
        <f>D157</f>
        <v>49700</v>
      </c>
      <c r="U19" s="49" t="str">
        <f>B150</f>
        <v>AKASHJI</v>
      </c>
      <c r="V19" s="49" t="str">
        <f>C150</f>
        <v>SNGAREDDY</v>
      </c>
      <c r="W19" s="1"/>
      <c r="X19" s="49">
        <f>I157</f>
        <v>72200</v>
      </c>
      <c r="Y19" s="49" t="str">
        <f>G150</f>
        <v>SUMERSINGHJI</v>
      </c>
      <c r="Z19" s="49" t="str">
        <f>H150</f>
        <v>KU PALLY</v>
      </c>
    </row>
    <row r="20" spans="1:26" ht="20.25" thickTop="1" thickBot="1">
      <c r="A20" s="21" t="s">
        <v>6</v>
      </c>
      <c r="B20" s="21" t="s">
        <v>7</v>
      </c>
      <c r="C20" s="21" t="s">
        <v>8</v>
      </c>
      <c r="D20" s="21" t="s">
        <v>9</v>
      </c>
      <c r="E20" s="2"/>
      <c r="F20" s="21" t="s">
        <v>6</v>
      </c>
      <c r="G20" s="21" t="s">
        <v>7</v>
      </c>
      <c r="H20" s="21" t="s">
        <v>8</v>
      </c>
      <c r="I20" s="21" t="s">
        <v>9</v>
      </c>
      <c r="J20" s="13"/>
      <c r="K20" s="1"/>
      <c r="L20" s="1"/>
      <c r="M20" s="1"/>
      <c r="N20" s="1"/>
      <c r="O20" s="1"/>
      <c r="P20" s="1"/>
      <c r="Q20" s="1"/>
      <c r="R20" s="1"/>
      <c r="S20" s="1"/>
      <c r="T20" s="49">
        <f>D166</f>
        <v>48150</v>
      </c>
      <c r="U20" s="49" t="str">
        <f>B159</f>
        <v>HARISINGHJI</v>
      </c>
      <c r="V20" s="49" t="str">
        <f>C159</f>
        <v>RAMARAM</v>
      </c>
      <c r="W20" s="1"/>
      <c r="X20" s="49">
        <f>I166</f>
        <v>48150</v>
      </c>
      <c r="Y20" s="49" t="str">
        <f>G159</f>
        <v>MANGILALJI</v>
      </c>
      <c r="Z20" s="49" t="str">
        <f>H159</f>
        <v>MALLAPUR</v>
      </c>
    </row>
    <row r="21" spans="1:26" ht="20.25" thickTop="1" thickBot="1">
      <c r="A21" s="21">
        <v>14</v>
      </c>
      <c r="B21" s="21">
        <v>1000000</v>
      </c>
      <c r="C21" s="21">
        <f>VLOOKUP(A21&amp;"|"&amp;B21,$O$3:$P$16,2,FALSE)</f>
        <v>1900</v>
      </c>
      <c r="D21" s="21">
        <f>VLOOKUP(A21&amp;"|"&amp;B21,$Q$3:$R$16,2,FALSE)</f>
        <v>48100</v>
      </c>
      <c r="E21" s="2"/>
      <c r="F21" s="21">
        <v>14</v>
      </c>
      <c r="G21" s="21">
        <v>1000000</v>
      </c>
      <c r="H21" s="21">
        <f>VLOOKUP(F21&amp;"|"&amp;G21,$O$3:$P$16,2,FALSE)</f>
        <v>1900</v>
      </c>
      <c r="I21" s="21">
        <f>VLOOKUP(F21&amp;"|"&amp;G21,$Q$3:$R$16,2,FALSE)</f>
        <v>48100</v>
      </c>
      <c r="J21" s="1"/>
      <c r="K21" s="1"/>
      <c r="L21" s="1"/>
      <c r="M21" s="1"/>
      <c r="N21" s="1" t="s">
        <v>25</v>
      </c>
      <c r="O21" s="49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536)</f>
        <v>4132350</v>
      </c>
      <c r="P21" s="1"/>
      <c r="Q21" s="1" t="s">
        <v>25</v>
      </c>
      <c r="R21" s="49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527,)</f>
        <v>3708850</v>
      </c>
      <c r="S21" s="1"/>
      <c r="T21" s="49">
        <f>D175</f>
        <v>91650</v>
      </c>
      <c r="U21" s="49" t="str">
        <f>B168</f>
        <v>BHORARAMJI</v>
      </c>
      <c r="V21" s="49" t="str">
        <f>C168</f>
        <v>MIYAPUR</v>
      </c>
      <c r="W21" s="1"/>
      <c r="X21" s="49">
        <f>I175</f>
        <v>70600</v>
      </c>
      <c r="Y21" s="49" t="str">
        <f>G168</f>
        <v>TARARAMJI</v>
      </c>
      <c r="Z21" s="49" t="str">
        <f>H168</f>
        <v>SURARAM</v>
      </c>
    </row>
    <row r="22" spans="1:26" ht="20.25" thickTop="1" thickBot="1">
      <c r="A22" s="21">
        <v>3</v>
      </c>
      <c r="B22" s="21">
        <v>2000000</v>
      </c>
      <c r="C22" s="21">
        <f>VLOOKUP(A22&amp;"|"&amp;B22,$O$3:$P$17,2,FALSE)</f>
        <v>13500</v>
      </c>
      <c r="D22" s="21">
        <f>VLOOKUP(A22&amp;"|"&amp;B22,$Q$3:$R$17,2,FALSE)</f>
        <v>86500</v>
      </c>
      <c r="E22" s="2"/>
      <c r="F22" s="21">
        <v>14.1</v>
      </c>
      <c r="G22" s="21">
        <v>1000000</v>
      </c>
      <c r="H22" s="21">
        <f>VLOOKUP(F22&amp;"|"&amp;G22,$O$3:$P$16,2,FALSE)</f>
        <v>1850</v>
      </c>
      <c r="I22" s="21">
        <f>VLOOKUP(F22&amp;"|"&amp;G22,$Q$3:$R$16,2,FALSE)</f>
        <v>48150</v>
      </c>
      <c r="J22" s="1"/>
      <c r="K22" s="1"/>
      <c r="L22" s="1"/>
      <c r="M22" s="1"/>
      <c r="N22" s="1"/>
      <c r="O22" s="76"/>
      <c r="P22" s="1"/>
      <c r="Q22" s="1"/>
      <c r="R22" s="1"/>
      <c r="S22" s="1"/>
      <c r="T22" s="49">
        <f>D184</f>
        <v>109850</v>
      </c>
      <c r="U22" s="49" t="str">
        <f>B177</f>
        <v>MADARAMJI</v>
      </c>
      <c r="V22" s="49" t="str">
        <f>C177</f>
        <v>SHAPUR</v>
      </c>
      <c r="W22" s="1"/>
      <c r="X22" s="49">
        <f>I184</f>
        <v>48150</v>
      </c>
      <c r="Y22" s="49" t="str">
        <f>G177</f>
        <v>KUKARAMJI</v>
      </c>
      <c r="Z22" s="49" t="str">
        <f>H177</f>
        <v>J GUTTA</v>
      </c>
    </row>
    <row r="23" spans="1:26" ht="20.25" thickTop="1" thickBot="1">
      <c r="A23" s="21"/>
      <c r="B23" s="21"/>
      <c r="C23" s="21"/>
      <c r="D23" s="21"/>
      <c r="E23" s="2"/>
      <c r="F23" s="21">
        <v>14.1</v>
      </c>
      <c r="G23" s="21">
        <v>1000000</v>
      </c>
      <c r="H23" s="21">
        <f>VLOOKUP(F23&amp;"|"&amp;G23,$O$3:$P$16,2,FALSE)</f>
        <v>1850</v>
      </c>
      <c r="I23" s="21">
        <f>VLOOKUP(F23&amp;"|"&amp;G23,$Q$3:$R$16,2,FALSE)</f>
        <v>48150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49">
        <f>D193</f>
        <v>97850</v>
      </c>
      <c r="U23" s="49" t="str">
        <f>B186</f>
        <v>GENARAMJI</v>
      </c>
      <c r="V23" s="49" t="str">
        <f>C186</f>
        <v>J GUTTA</v>
      </c>
      <c r="W23" s="1"/>
      <c r="X23" s="49">
        <f>I193</f>
        <v>24050</v>
      </c>
      <c r="Y23" s="49" t="str">
        <f>G186</f>
        <v>NARENDRAJI</v>
      </c>
      <c r="Z23" s="49" t="str">
        <f>H186</f>
        <v>SACHINJI</v>
      </c>
    </row>
    <row r="24" spans="1:26" ht="20.25" thickTop="1" thickBot="1">
      <c r="A24" s="21"/>
      <c r="B24" s="21"/>
      <c r="C24" s="21"/>
      <c r="D24" s="21"/>
      <c r="E24" s="2"/>
      <c r="F24" s="21"/>
      <c r="G24" s="21"/>
      <c r="H24" s="21"/>
      <c r="I24" s="21"/>
      <c r="J24" s="1"/>
      <c r="K24" s="1"/>
      <c r="L24" s="1"/>
      <c r="M24" s="1"/>
      <c r="N24" s="1" t="s">
        <v>26</v>
      </c>
      <c r="O24" s="49">
        <f>SUM(O21,R21)</f>
        <v>7841200</v>
      </c>
      <c r="P24" s="1"/>
      <c r="Q24" s="1"/>
      <c r="R24" s="1"/>
      <c r="S24" s="1"/>
      <c r="T24" s="49">
        <f>D202</f>
        <v>91650</v>
      </c>
      <c r="U24" s="49" t="str">
        <f>B195</f>
        <v>HONARAMJI</v>
      </c>
      <c r="V24" s="49" t="str">
        <f>C195</f>
        <v>RAMARAM</v>
      </c>
      <c r="W24" s="1"/>
      <c r="X24" s="49">
        <f>I202</f>
        <v>48100</v>
      </c>
      <c r="Y24" s="49" t="str">
        <f>G195</f>
        <v>MEHNDARJI</v>
      </c>
      <c r="Z24" s="49" t="str">
        <f>H195</f>
        <v>SR NGR</v>
      </c>
    </row>
    <row r="25" spans="1:26" ht="20.25" thickTop="1" thickBot="1">
      <c r="A25" s="21"/>
      <c r="B25" s="21"/>
      <c r="C25" s="21"/>
      <c r="D25" s="21"/>
      <c r="E25" s="2"/>
      <c r="F25" s="21"/>
      <c r="G25" s="21"/>
      <c r="H25" s="21"/>
      <c r="I25" s="21"/>
      <c r="J25" s="1"/>
      <c r="K25" s="1"/>
      <c r="L25" s="1"/>
      <c r="M25" s="1" t="s">
        <v>182</v>
      </c>
      <c r="N25" s="1"/>
      <c r="O25" s="1"/>
      <c r="P25" s="1"/>
      <c r="Q25" s="1"/>
      <c r="R25" s="1"/>
      <c r="S25" s="1"/>
      <c r="T25" s="49">
        <f>D211</f>
        <v>96250</v>
      </c>
      <c r="U25" s="49" t="str">
        <f>B204</f>
        <v>KAILASHJI</v>
      </c>
      <c r="V25" s="49" t="str">
        <f>C204</f>
        <v>SHIVAMPET</v>
      </c>
      <c r="W25" s="1"/>
      <c r="X25" s="49">
        <f>I211</f>
        <v>68350</v>
      </c>
      <c r="Y25" s="49" t="str">
        <f>G204</f>
        <v>SOHANJI GUJAR</v>
      </c>
      <c r="Z25" s="49" t="str">
        <f>H204</f>
        <v>R R NGR</v>
      </c>
    </row>
    <row r="26" spans="1:26" ht="20.25" thickTop="1" thickBot="1">
      <c r="A26" s="84" t="s">
        <v>16</v>
      </c>
      <c r="B26" s="85"/>
      <c r="C26" s="86"/>
      <c r="D26" s="8">
        <f>SUM(D21:D25)</f>
        <v>134600</v>
      </c>
      <c r="E26" s="2"/>
      <c r="F26" s="84" t="s">
        <v>27</v>
      </c>
      <c r="G26" s="85"/>
      <c r="H26" s="86"/>
      <c r="I26" s="21">
        <f>SUM(I21:I25)</f>
        <v>144400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9">
        <f>D220</f>
        <v>24850</v>
      </c>
      <c r="U26" s="49" t="str">
        <f>B213</f>
        <v>PRAKASHJI</v>
      </c>
      <c r="V26" s="49" t="str">
        <f>C213</f>
        <v>GUTTA</v>
      </c>
      <c r="W26" s="1"/>
      <c r="X26" s="49">
        <f>I220</f>
        <v>48200</v>
      </c>
      <c r="Y26" s="49" t="str">
        <f>G213</f>
        <v>RAMESHJI</v>
      </c>
      <c r="Z26" s="49" t="str">
        <f>H213</f>
        <v>RR NAGAR</v>
      </c>
    </row>
    <row r="27" spans="1:26" ht="16.5" thickTop="1" thickBo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9">
        <f>D229</f>
        <v>22500</v>
      </c>
      <c r="U27" s="49" t="str">
        <f>B222</f>
        <v>GENARAMJI</v>
      </c>
      <c r="V27" s="49" t="str">
        <f>C222</f>
        <v>RAMARAM</v>
      </c>
      <c r="W27" s="1"/>
      <c r="X27" s="49">
        <f>I229</f>
        <v>22500</v>
      </c>
      <c r="Y27" s="49" t="str">
        <f>G222</f>
        <v>JAGDISHJI</v>
      </c>
      <c r="Z27" s="49" t="str">
        <f>H222</f>
        <v>PPR NGR</v>
      </c>
    </row>
    <row r="28" spans="1:26" ht="20.25" thickTop="1" thickBot="1">
      <c r="A28" s="21" t="s">
        <v>0</v>
      </c>
      <c r="B28" s="21" t="s">
        <v>187</v>
      </c>
      <c r="C28" s="21" t="s">
        <v>28</v>
      </c>
      <c r="D28" s="9">
        <v>45844</v>
      </c>
      <c r="E28" s="2"/>
      <c r="F28" s="21" t="s">
        <v>0</v>
      </c>
      <c r="G28" s="21" t="s">
        <v>29</v>
      </c>
      <c r="H28" s="21" t="s">
        <v>30</v>
      </c>
      <c r="I28" s="9">
        <v>45844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49">
        <f>D238</f>
        <v>21400</v>
      </c>
      <c r="U28" s="49" t="str">
        <f>B231</f>
        <v>BHUNDARAMJI</v>
      </c>
      <c r="V28" s="49" t="str">
        <f>C231</f>
        <v>PRAGTI NGR</v>
      </c>
      <c r="W28" s="1"/>
      <c r="X28" s="49">
        <f>I238</f>
        <v>86500</v>
      </c>
      <c r="Y28" s="49" t="str">
        <f>G231</f>
        <v>JOGARAMJI</v>
      </c>
      <c r="Z28" s="49" t="str">
        <f>H231</f>
        <v>KU PALLY</v>
      </c>
    </row>
    <row r="29" spans="1:26" ht="20.25" thickTop="1" thickBot="1">
      <c r="A29" s="21" t="s">
        <v>6</v>
      </c>
      <c r="B29" s="21" t="s">
        <v>7</v>
      </c>
      <c r="C29" s="21" t="s">
        <v>8</v>
      </c>
      <c r="D29" s="21" t="s">
        <v>9</v>
      </c>
      <c r="E29" s="2"/>
      <c r="F29" s="21" t="s">
        <v>6</v>
      </c>
      <c r="G29" s="21" t="s">
        <v>7</v>
      </c>
      <c r="H29" s="21" t="s">
        <v>8</v>
      </c>
      <c r="I29" s="21" t="s">
        <v>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9">
        <f>D247</f>
        <v>43500</v>
      </c>
      <c r="U29" s="49" t="str">
        <f>B240</f>
        <v>RUPARAMJI</v>
      </c>
      <c r="V29" s="49" t="str">
        <f>C240</f>
        <v>MIYAPUR</v>
      </c>
      <c r="W29" s="1"/>
      <c r="X29" s="49">
        <f>I247</f>
        <v>182900</v>
      </c>
      <c r="Y29" s="49" t="str">
        <f>G240</f>
        <v>MANOHARJI</v>
      </c>
      <c r="Z29" s="49" t="str">
        <f>H240</f>
        <v>PAPI REDDY</v>
      </c>
    </row>
    <row r="30" spans="1:26" ht="20.25" thickTop="1" thickBot="1">
      <c r="A30" s="21">
        <v>14.1</v>
      </c>
      <c r="B30" s="21">
        <v>1000000</v>
      </c>
      <c r="C30" s="21">
        <f>VLOOKUP(A30&amp;"|"&amp;B30,$O$3:$P$16,2,FALSE)</f>
        <v>1850</v>
      </c>
      <c r="D30" s="21">
        <f>VLOOKUP(A30&amp;"|"&amp;B30,$Q$3:$R$16,2,FALSE)</f>
        <v>48150</v>
      </c>
      <c r="E30" s="2"/>
      <c r="F30" s="21">
        <v>3</v>
      </c>
      <c r="G30" s="21">
        <v>500000</v>
      </c>
      <c r="H30" s="21">
        <f>VLOOKUP(F30&amp;"|"&amp;G30,$O$3:$P$16,2,FALSE)</f>
        <v>3600</v>
      </c>
      <c r="I30" s="21">
        <f>VLOOKUP(F30&amp;"|"&amp;G30,$Q$3:$R$16,2,FALSE)</f>
        <v>21400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49">
        <f>D256</f>
        <v>99400</v>
      </c>
      <c r="U30" s="49" t="str">
        <f>B249</f>
        <v>OMJI</v>
      </c>
      <c r="V30" s="49" t="str">
        <f>C249</f>
        <v>IDPL</v>
      </c>
      <c r="W30" s="1"/>
      <c r="X30" s="49">
        <f>I256</f>
        <v>22500</v>
      </c>
      <c r="Y30" s="49" t="str">
        <f>G249</f>
        <v>KISHANJI</v>
      </c>
      <c r="Z30" s="49" t="str">
        <f>H249</f>
        <v>KAMMAN</v>
      </c>
    </row>
    <row r="31" spans="1:26" ht="20.25" thickTop="1" thickBot="1">
      <c r="A31" s="21">
        <v>11</v>
      </c>
      <c r="B31" s="21">
        <v>500000</v>
      </c>
      <c r="C31" s="21">
        <f>VLOOKUP(A31&amp;"|"&amp;B31,$O$3:$P$16,2,FALSE)</f>
        <v>1650</v>
      </c>
      <c r="D31" s="21">
        <f>VLOOKUP(A31&amp;"|"&amp;B31,$Q$3:$R$16,2,FALSE)</f>
        <v>23350</v>
      </c>
      <c r="E31" s="2"/>
      <c r="F31" s="21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49">
        <f>D265</f>
        <v>67500</v>
      </c>
      <c r="U31" s="49" t="str">
        <f>B258</f>
        <v>HEMARAMJI</v>
      </c>
      <c r="V31" s="49" t="str">
        <f>C258</f>
        <v>YAMJAL</v>
      </c>
      <c r="W31" s="1"/>
      <c r="X31" s="49">
        <f>I265</f>
        <v>24850</v>
      </c>
      <c r="Y31" s="49" t="str">
        <f>G258</f>
        <v>SURENDER</v>
      </c>
      <c r="Z31" s="49" t="str">
        <f>H258</f>
        <v>P R NGR</v>
      </c>
    </row>
    <row r="32" spans="1:26" ht="20.25" thickTop="1" thickBot="1">
      <c r="A32" s="21">
        <v>11</v>
      </c>
      <c r="B32" s="21">
        <v>500000</v>
      </c>
      <c r="C32" s="21">
        <f>VLOOKUP(A32&amp;"|"&amp;B32,$O$3:$P$16,2,FALSE)</f>
        <v>1650</v>
      </c>
      <c r="D32" s="21">
        <f>VLOOKUP(A32&amp;"|"&amp;B32,$Q$3:$R$16,2,FALSE)</f>
        <v>23350</v>
      </c>
      <c r="E32" s="2"/>
      <c r="F32" s="21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49">
        <f>D274</f>
        <v>21400</v>
      </c>
      <c r="U32" s="49" t="str">
        <f>B267</f>
        <v>DURGARAMJI</v>
      </c>
      <c r="V32" s="49" t="str">
        <f>C267</f>
        <v>RAMARAM</v>
      </c>
      <c r="W32" s="1"/>
      <c r="X32" s="49">
        <f>I274</f>
        <v>21400</v>
      </c>
      <c r="Y32" s="49" t="str">
        <f>G267</f>
        <v>MANGILALJI</v>
      </c>
      <c r="Z32" s="49" t="str">
        <f>H267</f>
        <v>SURARAM</v>
      </c>
    </row>
    <row r="33" spans="1:26" ht="20.25" thickTop="1" thickBot="1">
      <c r="A33" s="21">
        <v>14.1</v>
      </c>
      <c r="B33" s="21">
        <v>1000000</v>
      </c>
      <c r="C33" s="21">
        <f>VLOOKUP(A33&amp;"|"&amp;B33,$O$3:$P$16,2,FALSE)</f>
        <v>1850</v>
      </c>
      <c r="D33" s="21">
        <f>VLOOKUP(A33&amp;"|"&amp;B33,$Q$3:$R$16,2,FALSE)</f>
        <v>48150</v>
      </c>
      <c r="E33" s="2"/>
      <c r="F33" s="21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49">
        <f>D284</f>
        <v>93200</v>
      </c>
      <c r="U33" s="49" t="str">
        <f>B276</f>
        <v>DHANARAMJI</v>
      </c>
      <c r="V33" s="49" t="str">
        <f>C276</f>
        <v>KAMAN</v>
      </c>
      <c r="W33" s="1"/>
      <c r="X33" s="49">
        <f>I284</f>
        <v>181050</v>
      </c>
      <c r="Y33" s="49" t="str">
        <f>G276</f>
        <v>NARAYANJI</v>
      </c>
      <c r="Z33" s="49" t="str">
        <f>H276</f>
        <v>KAMAN</v>
      </c>
    </row>
    <row r="34" spans="1:26" ht="20.25" thickTop="1" thickBot="1">
      <c r="A34" s="21"/>
      <c r="B34" s="21"/>
      <c r="C34" s="21"/>
      <c r="D34" s="21"/>
      <c r="E34" s="2"/>
      <c r="F34" s="21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49">
        <f>D293</f>
        <v>157600</v>
      </c>
      <c r="U34" s="49" t="str">
        <f>B286</f>
        <v>KHUSHVIRJI</v>
      </c>
      <c r="V34" s="49" t="str">
        <f>C286</f>
        <v>MEDCHAL</v>
      </c>
      <c r="W34" s="1"/>
      <c r="X34" s="49">
        <f>I293</f>
        <v>112700</v>
      </c>
      <c r="Y34" s="49" t="str">
        <f>G286</f>
        <v>MOHANJI</v>
      </c>
      <c r="Z34" s="49" t="str">
        <f>H286</f>
        <v>J GUTTA</v>
      </c>
    </row>
    <row r="35" spans="1:26" ht="20.25" thickTop="1" thickBot="1">
      <c r="A35" s="84" t="s">
        <v>16</v>
      </c>
      <c r="B35" s="85"/>
      <c r="C35" s="86"/>
      <c r="D35" s="8">
        <f>SUM(D30:D34)</f>
        <v>143000</v>
      </c>
      <c r="E35" s="2"/>
      <c r="F35" s="84" t="s">
        <v>16</v>
      </c>
      <c r="G35" s="85"/>
      <c r="H35" s="86"/>
      <c r="I35" s="21">
        <f>SUM(I30:I34)</f>
        <v>21400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9">
        <f>D302</f>
        <v>157950</v>
      </c>
      <c r="U35" s="49" t="str">
        <f>B295</f>
        <v>MUNJI</v>
      </c>
      <c r="V35" s="49" t="str">
        <f>C295</f>
        <v>RAMARAM</v>
      </c>
      <c r="W35" s="1"/>
      <c r="X35" s="49">
        <f>I302</f>
        <v>130000</v>
      </c>
      <c r="Y35" s="49" t="str">
        <f>G295</f>
        <v>JAIRUPRAMJI</v>
      </c>
      <c r="Z35" s="49" t="str">
        <f>H295</f>
        <v>RMTPUR</v>
      </c>
    </row>
    <row r="36" spans="1:26" ht="16.5" thickTop="1" thickBo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9">
        <f>D311</f>
        <v>93200</v>
      </c>
      <c r="U36" s="49" t="str">
        <f>B304</f>
        <v>RAMESHJI</v>
      </c>
      <c r="V36" s="49" t="str">
        <f>C304</f>
        <v>ALWN COL</v>
      </c>
      <c r="W36" s="1"/>
      <c r="X36" s="49">
        <f>I311</f>
        <v>43500</v>
      </c>
      <c r="Y36" s="49" t="str">
        <f>G304</f>
        <v>SURESHJI</v>
      </c>
      <c r="Z36" s="49" t="str">
        <f>H304</f>
        <v>KAMAN</v>
      </c>
    </row>
    <row r="37" spans="1:26" ht="20.25" thickTop="1" thickBot="1">
      <c r="A37" s="21" t="s">
        <v>0</v>
      </c>
      <c r="B37" s="21" t="s">
        <v>31</v>
      </c>
      <c r="C37" s="21" t="s">
        <v>32</v>
      </c>
      <c r="D37" s="9">
        <v>45844</v>
      </c>
      <c r="E37" s="2"/>
      <c r="F37" s="21" t="s">
        <v>0</v>
      </c>
      <c r="G37" s="21" t="s">
        <v>33</v>
      </c>
      <c r="H37" s="21" t="s">
        <v>34</v>
      </c>
      <c r="I37" s="9">
        <v>45844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9">
        <f>D320</f>
        <v>43900</v>
      </c>
      <c r="U37" s="49" t="str">
        <f>B313</f>
        <v>OM</v>
      </c>
      <c r="V37" s="49" t="str">
        <f>C313</f>
        <v>J GUTTA</v>
      </c>
      <c r="W37" s="1"/>
      <c r="X37" s="49">
        <f>I320</f>
        <v>24000</v>
      </c>
      <c r="Y37" s="49" t="str">
        <f>G313</f>
        <v>NARAYANJI</v>
      </c>
      <c r="Z37" s="49" t="str">
        <f>H313</f>
        <v>ALWAL</v>
      </c>
    </row>
    <row r="38" spans="1:26" ht="20.25" thickTop="1" thickBot="1">
      <c r="A38" s="21" t="s">
        <v>6</v>
      </c>
      <c r="B38" s="21" t="s">
        <v>7</v>
      </c>
      <c r="C38" s="21" t="s">
        <v>8</v>
      </c>
      <c r="D38" s="21" t="s">
        <v>9</v>
      </c>
      <c r="E38" s="2"/>
      <c r="F38" s="21" t="s">
        <v>6</v>
      </c>
      <c r="G38" s="21" t="s">
        <v>7</v>
      </c>
      <c r="H38" s="21" t="s">
        <v>8</v>
      </c>
      <c r="I38" s="21" t="s">
        <v>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9">
        <f>D329</f>
        <v>24850</v>
      </c>
      <c r="U38" s="49" t="str">
        <f>B322</f>
        <v>BABULALJI</v>
      </c>
      <c r="V38" s="49" t="str">
        <f>C322</f>
        <v>CHILKA NGR</v>
      </c>
      <c r="W38" s="1"/>
      <c r="X38" s="49">
        <f>I329</f>
        <v>22500</v>
      </c>
      <c r="Y38" s="49" t="str">
        <f>G322</f>
        <v>CHENJI</v>
      </c>
      <c r="Z38" s="49" t="str">
        <f>H322</f>
        <v>BOLARAM</v>
      </c>
    </row>
    <row r="39" spans="1:26" ht="20.25" thickTop="1" thickBot="1">
      <c r="A39" s="21">
        <v>8</v>
      </c>
      <c r="B39" s="21">
        <v>250000</v>
      </c>
      <c r="C39" s="21">
        <f>VLOOKUP(A39&amp;"|"&amp;B39,$O$3:$P$16,2,FALSE)</f>
        <v>1250</v>
      </c>
      <c r="D39" s="21">
        <f>VLOOKUP(A39&amp;"|"&amp;B39,$Q$3:$R$16,2,FALSE)</f>
        <v>11250</v>
      </c>
      <c r="E39" s="2"/>
      <c r="F39" s="21">
        <v>14.1</v>
      </c>
      <c r="G39" s="21">
        <v>1000000</v>
      </c>
      <c r="H39" s="21">
        <f>VLOOKUP(F39&amp;"|"&amp;G39,$O$3:$P$16,2,FALSE)</f>
        <v>1850</v>
      </c>
      <c r="I39" s="21">
        <f>VLOOKUP(F39&amp;"|"&amp;G39,$Q$3:$R$16,2,FALSE)</f>
        <v>48150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9">
        <f>D338</f>
        <v>45850</v>
      </c>
      <c r="U39" s="49" t="str">
        <f>B331</f>
        <v>MUKESHJI</v>
      </c>
      <c r="V39" s="49" t="str">
        <f>C331</f>
        <v>RAMARAM</v>
      </c>
      <c r="W39" s="1"/>
      <c r="X39" s="49">
        <f>I338</f>
        <v>22500</v>
      </c>
      <c r="Y39" s="49" t="str">
        <f>G331</f>
        <v>MOHANJI</v>
      </c>
      <c r="Z39" s="49" t="str">
        <f>H331</f>
        <v>YAMJAL</v>
      </c>
    </row>
    <row r="40" spans="1:26" ht="20.25" thickTop="1" thickBot="1">
      <c r="A40" s="21">
        <v>14</v>
      </c>
      <c r="B40" s="21">
        <v>250000</v>
      </c>
      <c r="C40" s="21">
        <f>VLOOKUP(A40&amp;"|"&amp;B40,$O$3:$P$18,2,FALSE)</f>
        <v>500</v>
      </c>
      <c r="D40" s="21">
        <f>VLOOKUP(A40&amp;"|"&amp;B40,$Q$3:$R$18,2,FALSE)</f>
        <v>12000</v>
      </c>
      <c r="E40" s="2"/>
      <c r="F40" s="21">
        <v>3</v>
      </c>
      <c r="G40" s="21">
        <v>2000000</v>
      </c>
      <c r="H40" s="21">
        <f>VLOOKUP(F40&amp;"|"&amp;G40,$O$3:$P$16,2,FALSE)</f>
        <v>13500</v>
      </c>
      <c r="I40" s="21">
        <f>VLOOKUP(F40&amp;"|"&amp;G40,$Q$3:$R$16,2,FALSE)</f>
        <v>86500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9">
        <f>D347</f>
        <v>23350</v>
      </c>
      <c r="U40" s="49" t="str">
        <f>B340</f>
        <v>MISRILALJI</v>
      </c>
      <c r="V40" s="49" t="str">
        <f>C340</f>
        <v>MEDCHAL</v>
      </c>
      <c r="W40" s="1"/>
      <c r="X40" s="49">
        <f>I347</f>
        <v>24850</v>
      </c>
      <c r="Y40" s="49" t="str">
        <f>G340</f>
        <v>GOPJI</v>
      </c>
      <c r="Z40" s="49" t="str">
        <f>H340</f>
        <v>KOTLAPUR</v>
      </c>
    </row>
    <row r="41" spans="1:26" ht="20.25" thickTop="1" thickBot="1">
      <c r="A41" s="21"/>
      <c r="B41" s="21"/>
      <c r="C41" s="21"/>
      <c r="D41" s="21"/>
      <c r="E41" s="2"/>
      <c r="F41" s="21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49">
        <f>D356</f>
        <v>24000</v>
      </c>
      <c r="U41" s="49" t="str">
        <f>B349</f>
        <v>GOVIND</v>
      </c>
      <c r="V41" s="49" t="str">
        <f>C349</f>
        <v>PPR NGR</v>
      </c>
      <c r="W41" s="1"/>
      <c r="X41" s="49">
        <f>I356</f>
        <v>0</v>
      </c>
      <c r="Y41" s="49">
        <f>G349</f>
        <v>0</v>
      </c>
      <c r="Z41" s="49">
        <f>H349</f>
        <v>0</v>
      </c>
    </row>
    <row r="42" spans="1:26" ht="20.25" thickTop="1" thickBot="1">
      <c r="A42" s="21"/>
      <c r="B42" s="21"/>
      <c r="C42" s="21"/>
      <c r="D42" s="21"/>
      <c r="E42" s="2"/>
      <c r="F42" s="21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49">
        <f>D365</f>
        <v>21400</v>
      </c>
      <c r="U42" s="49" t="str">
        <f>B358</f>
        <v>SOHANLALJI</v>
      </c>
      <c r="V42" s="49" t="str">
        <f>C358</f>
        <v>RR NGR</v>
      </c>
      <c r="W42" s="1"/>
      <c r="X42" s="49">
        <f>I365</f>
        <v>23350</v>
      </c>
      <c r="Y42" s="49" t="str">
        <f>G358</f>
        <v>HIMTARAMJI</v>
      </c>
      <c r="Z42" s="49" t="str">
        <f>H358</f>
        <v>SURARAM</v>
      </c>
    </row>
    <row r="43" spans="1:26" ht="20.25" thickTop="1" thickBot="1">
      <c r="A43" s="21"/>
      <c r="B43" s="21"/>
      <c r="C43" s="21"/>
      <c r="D43" s="21"/>
      <c r="E43" s="2"/>
      <c r="F43" s="21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49">
        <f>D374</f>
        <v>68350</v>
      </c>
      <c r="U43" s="49" t="str">
        <f>B367</f>
        <v>KISHANJI</v>
      </c>
      <c r="V43" s="49" t="str">
        <f>C367</f>
        <v>KAMAN</v>
      </c>
      <c r="W43" s="1"/>
      <c r="X43" s="49">
        <f>I374</f>
        <v>23350</v>
      </c>
      <c r="Y43" s="49" t="str">
        <f>G367</f>
        <v>CHENJI</v>
      </c>
      <c r="Z43" s="49" t="str">
        <f>H367</f>
        <v>SURARAM</v>
      </c>
    </row>
    <row r="44" spans="1:26" ht="20.25" thickTop="1" thickBot="1">
      <c r="A44" s="84" t="s">
        <v>16</v>
      </c>
      <c r="B44" s="85"/>
      <c r="C44" s="86"/>
      <c r="D44" s="8">
        <f>SUM(D39:D43)</f>
        <v>23250</v>
      </c>
      <c r="E44" s="2"/>
      <c r="F44" s="84" t="s">
        <v>16</v>
      </c>
      <c r="G44" s="85"/>
      <c r="H44" s="86"/>
      <c r="I44" s="21">
        <f>SUM(I39:I43)</f>
        <v>134650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9">
        <f>D383</f>
        <v>21400</v>
      </c>
      <c r="U44" s="49" t="str">
        <f>B376</f>
        <v>RAMESHJI</v>
      </c>
      <c r="V44" s="49" t="str">
        <f>C376</f>
        <v>SHAPUR</v>
      </c>
      <c r="W44" s="1"/>
      <c r="X44" s="49">
        <f>I383</f>
        <v>21400</v>
      </c>
      <c r="Y44" s="49" t="str">
        <f>G376</f>
        <v>OMJI</v>
      </c>
      <c r="Z44" s="49" t="str">
        <f>H376</f>
        <v>SEC</v>
      </c>
    </row>
    <row r="45" spans="1:26" ht="16.5" thickTop="1" thickBo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9">
        <f>D392</f>
        <v>96250</v>
      </c>
      <c r="U45" s="49" t="str">
        <f>B385</f>
        <v>MISRILALJI</v>
      </c>
      <c r="V45" s="49" t="str">
        <f>C385</f>
        <v>SEC</v>
      </c>
      <c r="W45" s="1"/>
      <c r="X45" s="49">
        <f>I392</f>
        <v>22500</v>
      </c>
      <c r="Y45" s="49" t="str">
        <f>G385</f>
        <v>MOTIJI</v>
      </c>
      <c r="Z45" s="49" t="str">
        <f>H385</f>
        <v>MUSAPET</v>
      </c>
    </row>
    <row r="46" spans="1:26" ht="20.25" thickTop="1" thickBot="1">
      <c r="A46" s="21" t="s">
        <v>0</v>
      </c>
      <c r="B46" s="21" t="s">
        <v>35</v>
      </c>
      <c r="C46" s="21" t="s">
        <v>36</v>
      </c>
      <c r="D46" s="9">
        <v>45844</v>
      </c>
      <c r="E46" s="2"/>
      <c r="F46" s="21" t="s">
        <v>0</v>
      </c>
      <c r="G46" s="21" t="s">
        <v>37</v>
      </c>
      <c r="H46" s="21" t="s">
        <v>38</v>
      </c>
      <c r="I46" s="9">
        <v>45844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9">
        <f>D401</f>
        <v>48100</v>
      </c>
      <c r="U46" s="49" t="str">
        <f>B394</f>
        <v>BAGDARAMJI</v>
      </c>
      <c r="V46" s="49" t="str">
        <f>C394</f>
        <v>GANDHINGR</v>
      </c>
      <c r="W46" s="1"/>
      <c r="X46" s="49">
        <f>I401</f>
        <v>43500</v>
      </c>
      <c r="Y46" s="49" t="str">
        <f>G394</f>
        <v>KANJI</v>
      </c>
      <c r="Z46" s="49" t="str">
        <f>H394</f>
        <v>SANGA RDY</v>
      </c>
    </row>
    <row r="47" spans="1:26" ht="20.25" thickTop="1" thickBot="1">
      <c r="A47" s="21" t="s">
        <v>6</v>
      </c>
      <c r="B47" s="21" t="s">
        <v>7</v>
      </c>
      <c r="C47" s="21" t="s">
        <v>8</v>
      </c>
      <c r="D47" s="21" t="s">
        <v>9</v>
      </c>
      <c r="E47" s="2"/>
      <c r="F47" s="21" t="s">
        <v>6</v>
      </c>
      <c r="G47" s="21" t="s">
        <v>7</v>
      </c>
      <c r="H47" s="21" t="s">
        <v>8</v>
      </c>
      <c r="I47" s="21" t="s">
        <v>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9">
        <f>D410</f>
        <v>48150</v>
      </c>
      <c r="U47" s="1" t="str">
        <f>B403</f>
        <v>NEMARANJI</v>
      </c>
      <c r="V47" s="1" t="str">
        <f>C403</f>
        <v>INDERSUM</v>
      </c>
      <c r="W47" s="1"/>
      <c r="X47" s="49">
        <f>I410</f>
        <v>48850</v>
      </c>
      <c r="Y47" s="49" t="str">
        <f>G403</f>
        <v>BUDARAMJI</v>
      </c>
      <c r="Z47" s="49" t="str">
        <f>H403</f>
        <v>PADMA NR</v>
      </c>
    </row>
    <row r="48" spans="1:26" ht="20.25" thickTop="1" thickBot="1">
      <c r="A48" s="21">
        <v>14.1</v>
      </c>
      <c r="B48" s="21">
        <v>500000</v>
      </c>
      <c r="C48" s="21">
        <f>VLOOKUP(A48&amp;"|"&amp;B48,$O$3:$P$16,2,FALSE)</f>
        <v>950</v>
      </c>
      <c r="D48" s="21">
        <f>VLOOKUP(A48&amp;"|"&amp;B48,$Q$3:$R$16,2,FALSE)</f>
        <v>24050</v>
      </c>
      <c r="E48" s="2"/>
      <c r="F48" s="21">
        <v>11</v>
      </c>
      <c r="G48" s="21">
        <v>500000</v>
      </c>
      <c r="H48" s="21">
        <f>VLOOKUP(F48&amp;"|"&amp;G48,$O$3:$P$16,2,FALSE)</f>
        <v>1650</v>
      </c>
      <c r="I48" s="21">
        <f>VLOOKUP(F48&amp;"|"&amp;G48,$Q$3:$R$16,2,FALSE)</f>
        <v>23350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9">
        <f>D419</f>
        <v>21400</v>
      </c>
      <c r="U48" s="1" t="str">
        <f>B412</f>
        <v>HEMANTJI</v>
      </c>
      <c r="V48" s="1" t="str">
        <f>C412</f>
        <v>SURARAM</v>
      </c>
      <c r="W48" s="1"/>
      <c r="X48" s="49">
        <f>I419</f>
        <v>68350</v>
      </c>
      <c r="Y48" s="49" t="str">
        <f>G412</f>
        <v>KEWALJI</v>
      </c>
      <c r="Z48" s="49" t="str">
        <f>H412</f>
        <v>GOMARAM</v>
      </c>
    </row>
    <row r="49" spans="1:26" ht="20.25" thickTop="1" thickBot="1">
      <c r="A49" s="21"/>
      <c r="B49" s="21"/>
      <c r="C49" s="21"/>
      <c r="D49" s="21"/>
      <c r="E49" s="2"/>
      <c r="F49" s="21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49">
        <f>D428</f>
        <v>43250</v>
      </c>
      <c r="U49" s="1" t="str">
        <f>B421</f>
        <v>RAJUJI</v>
      </c>
      <c r="V49" s="1" t="str">
        <f>C421</f>
        <v>SHAPUR</v>
      </c>
      <c r="W49" s="1"/>
      <c r="X49" s="49">
        <f>I428</f>
        <v>86500</v>
      </c>
      <c r="Y49" s="1" t="str">
        <f>G421</f>
        <v>SESHARAMJI</v>
      </c>
      <c r="Z49" s="1" t="str">
        <f>H421</f>
        <v>J GUTTA</v>
      </c>
    </row>
    <row r="50" spans="1:26" ht="20.25" thickTop="1" thickBot="1">
      <c r="A50" s="21"/>
      <c r="B50" s="21"/>
      <c r="C50" s="21"/>
      <c r="D50" s="21"/>
      <c r="E50" s="2"/>
      <c r="F50" s="21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49">
        <f>D437</f>
        <v>43500</v>
      </c>
      <c r="U50" s="1" t="str">
        <f>B430</f>
        <v>GOUTAMJI</v>
      </c>
      <c r="V50" s="1" t="str">
        <f>C430</f>
        <v>RAMARAM</v>
      </c>
      <c r="W50" s="1"/>
      <c r="X50" s="49">
        <f>I437</f>
        <v>43500</v>
      </c>
      <c r="Y50" s="1" t="str">
        <f>G430</f>
        <v>PRAKASHJI</v>
      </c>
      <c r="Z50" s="1" t="str">
        <f>H430</f>
        <v>INDARSAM</v>
      </c>
    </row>
    <row r="51" spans="1:26" ht="20.25" thickTop="1" thickBot="1">
      <c r="A51" s="21"/>
      <c r="B51" s="21"/>
      <c r="C51" s="21"/>
      <c r="D51" s="21"/>
      <c r="E51" s="2"/>
      <c r="F51" s="21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49">
        <f>D446</f>
        <v>24850</v>
      </c>
      <c r="U51" s="1" t="str">
        <f>B439</f>
        <v>BHERARAMJI</v>
      </c>
      <c r="V51" s="1" t="str">
        <f>C439</f>
        <v>SURARAM</v>
      </c>
      <c r="W51" s="1"/>
      <c r="X51" s="49">
        <f>I446</f>
        <v>86500</v>
      </c>
      <c r="Y51" s="1" t="str">
        <f>G439</f>
        <v>TARJI (R J)</v>
      </c>
      <c r="Z51" s="1" t="str">
        <f>H439</f>
        <v>SURARAM</v>
      </c>
    </row>
    <row r="52" spans="1:26" ht="20.25" thickTop="1" thickBot="1">
      <c r="A52" s="21"/>
      <c r="B52" s="21"/>
      <c r="C52" s="21"/>
      <c r="D52" s="21"/>
      <c r="E52" s="2"/>
      <c r="F52" s="21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49">
        <f>D455</f>
        <v>24850</v>
      </c>
      <c r="U52" s="1" t="str">
        <f>B448</f>
        <v>MISRILALJI</v>
      </c>
      <c r="V52" s="1" t="str">
        <f>C448</f>
        <v>GUTTA</v>
      </c>
      <c r="W52" s="1"/>
      <c r="X52" s="49">
        <f>I455</f>
        <v>24850</v>
      </c>
      <c r="Y52" s="1" t="str">
        <f>G448</f>
        <v>RAKESHDASHJI</v>
      </c>
      <c r="Z52" s="1" t="str">
        <f>H448</f>
        <v>GUTTA</v>
      </c>
    </row>
    <row r="53" spans="1:26" ht="20.25" thickTop="1" thickBot="1">
      <c r="A53" s="84" t="s">
        <v>16</v>
      </c>
      <c r="B53" s="85"/>
      <c r="C53" s="86"/>
      <c r="D53" s="8">
        <f>SUM(D48:D52)</f>
        <v>24050</v>
      </c>
      <c r="E53" s="2"/>
      <c r="F53" s="84" t="s">
        <v>16</v>
      </c>
      <c r="G53" s="85"/>
      <c r="H53" s="86"/>
      <c r="I53" s="21">
        <f>SUM(I48:I52)</f>
        <v>23350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9">
        <f>D464</f>
        <v>67500</v>
      </c>
      <c r="U53" s="1" t="str">
        <f>B457</f>
        <v>RAMESHJI</v>
      </c>
      <c r="V53" s="1" t="str">
        <f>C457</f>
        <v>BOOK GUTA</v>
      </c>
      <c r="W53" s="1"/>
      <c r="X53" s="49">
        <f>I464</f>
        <v>43500</v>
      </c>
      <c r="Y53" s="1" t="str">
        <f>G457</f>
        <v>HEERJI</v>
      </c>
      <c r="Z53" s="1" t="str">
        <f>H457</f>
        <v>HANUMAN NG</v>
      </c>
    </row>
    <row r="54" spans="1:26" ht="16.5" thickTop="1" thickBo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9">
        <f>D473</f>
        <v>97800</v>
      </c>
      <c r="U54" s="1" t="str">
        <f>B466</f>
        <v>VALARAMJI</v>
      </c>
      <c r="V54" s="1" t="str">
        <f>C466</f>
        <v>CHINTAL</v>
      </c>
      <c r="W54" s="1"/>
      <c r="X54" s="49">
        <f>I473</f>
        <v>48100</v>
      </c>
      <c r="Y54" s="1" t="str">
        <f>G466</f>
        <v>NEMARAMJI</v>
      </c>
      <c r="Z54" s="1" t="str">
        <f>H466</f>
        <v>KOMPALY</v>
      </c>
    </row>
    <row r="55" spans="1:26" ht="20.25" thickTop="1" thickBot="1">
      <c r="A55" s="21" t="s">
        <v>0</v>
      </c>
      <c r="B55" s="21" t="s">
        <v>1</v>
      </c>
      <c r="C55" s="21" t="s">
        <v>39</v>
      </c>
      <c r="D55" s="9">
        <v>45844</v>
      </c>
      <c r="E55" s="2"/>
      <c r="F55" s="21" t="s">
        <v>0</v>
      </c>
      <c r="G55" s="21" t="s">
        <v>40</v>
      </c>
      <c r="H55" s="21" t="s">
        <v>41</v>
      </c>
      <c r="I55" s="9">
        <v>45844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9">
        <f>D482</f>
        <v>24000</v>
      </c>
      <c r="U55" s="1" t="str">
        <f>B475</f>
        <v>NARAYANLALJI</v>
      </c>
      <c r="V55" s="1" t="str">
        <f>C475</f>
        <v>SURARAM</v>
      </c>
      <c r="W55" s="49"/>
      <c r="X55" s="49">
        <f>I482</f>
        <v>24850</v>
      </c>
      <c r="Y55" s="1" t="str">
        <f>G475</f>
        <v>ASHOKJI</v>
      </c>
      <c r="Z55" s="1" t="str">
        <f>H475</f>
        <v>SUCHITRA</v>
      </c>
    </row>
    <row r="56" spans="1:26" ht="20.25" thickTop="1" thickBot="1">
      <c r="A56" s="21" t="s">
        <v>6</v>
      </c>
      <c r="B56" s="21" t="s">
        <v>7</v>
      </c>
      <c r="C56" s="21" t="s">
        <v>8</v>
      </c>
      <c r="D56" s="21" t="s">
        <v>9</v>
      </c>
      <c r="E56" s="2"/>
      <c r="F56" s="21" t="s">
        <v>6</v>
      </c>
      <c r="G56" s="21" t="s">
        <v>7</v>
      </c>
      <c r="H56" s="21" t="s">
        <v>8</v>
      </c>
      <c r="I56" s="21" t="s">
        <v>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9">
        <f>D491</f>
        <v>46700</v>
      </c>
      <c r="U56" s="1" t="s">
        <v>42</v>
      </c>
      <c r="V56" s="1" t="s">
        <v>43</v>
      </c>
      <c r="W56" s="1"/>
      <c r="X56" s="49">
        <f>I491</f>
        <v>21400</v>
      </c>
      <c r="Y56" s="1" t="s">
        <v>44</v>
      </c>
      <c r="Z56" s="1" t="s">
        <v>43</v>
      </c>
    </row>
    <row r="57" spans="1:26" ht="20.25" thickTop="1" thickBot="1">
      <c r="A57" s="21">
        <v>14.1</v>
      </c>
      <c r="B57" s="21">
        <v>1000000</v>
      </c>
      <c r="C57" s="21">
        <f>VLOOKUP(A57&amp;"|"&amp;B57,$O$3:$P$16,2,FALSE)</f>
        <v>1850</v>
      </c>
      <c r="D57" s="21">
        <f>VLOOKUP(A57&amp;"|"&amp;B57,$Q$3:$R$16,2,FALSE)</f>
        <v>48150</v>
      </c>
      <c r="E57" s="2"/>
      <c r="F57" s="21">
        <v>18.100000000000001</v>
      </c>
      <c r="G57" s="21">
        <v>500000</v>
      </c>
      <c r="H57" s="21">
        <f>VLOOKUP(F57&amp;"|"&amp;G57,$O$3:$P$19,2,FALSE)</f>
        <v>150</v>
      </c>
      <c r="I57" s="21">
        <f>VLOOKUP(F57&amp;"|"&amp;G57,$Q$3:$R$19,2,FALSE)</f>
        <v>24850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9">
        <f>D500</f>
        <v>22500</v>
      </c>
      <c r="U57" s="1" t="str">
        <f>B493</f>
        <v>CHANDARAMJI</v>
      </c>
      <c r="V57" s="1" t="str">
        <f>C493</f>
        <v>SURARAM</v>
      </c>
      <c r="W57" s="1"/>
      <c r="X57" s="49">
        <f>I500</f>
        <v>116100</v>
      </c>
      <c r="Y57" s="1" t="str">
        <f>G493</f>
        <v>VINJARAMJI</v>
      </c>
      <c r="Z57" s="1" t="str">
        <f>H493</f>
        <v>R R NAGAR</v>
      </c>
    </row>
    <row r="58" spans="1:26" ht="20.25" thickTop="1" thickBot="1">
      <c r="A58" s="21">
        <v>18</v>
      </c>
      <c r="B58" s="21">
        <v>500000</v>
      </c>
      <c r="C58" s="21">
        <f>VLOOKUP(A58&amp;"|"&amp;B58,$O$3:$P$16,2,FALSE)</f>
        <v>150</v>
      </c>
      <c r="D58" s="21">
        <f>VLOOKUP(A58&amp;"|"&amp;B58,$Q$3:$R$16,2,FALSE)</f>
        <v>24850</v>
      </c>
      <c r="E58" s="2"/>
      <c r="F58" s="21">
        <v>3</v>
      </c>
      <c r="G58" s="21">
        <v>500000</v>
      </c>
      <c r="H58" s="21">
        <f>VLOOKUP(F58&amp;"|"&amp;G58,$O$3:$P$19,2,FALSE)</f>
        <v>3600</v>
      </c>
      <c r="I58" s="21">
        <f>VLOOKUP(F58&amp;"|"&amp;G58,$Q$3:$R$19,2,FALSE)</f>
        <v>21400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9">
        <f>D509</f>
        <v>86500</v>
      </c>
      <c r="U58" s="49" t="str">
        <f>B502</f>
        <v>CHAMPALALJI</v>
      </c>
      <c r="V58" s="1" t="str">
        <f>C502</f>
        <v>RNGRD</v>
      </c>
      <c r="W58" s="1"/>
      <c r="X58" s="49">
        <f>I509</f>
        <v>21400</v>
      </c>
      <c r="Y58" s="1" t="str">
        <f>G502</f>
        <v>VENKTESHVAR</v>
      </c>
      <c r="Z58" s="1" t="str">
        <f>H502</f>
        <v>AB C0</v>
      </c>
    </row>
    <row r="59" spans="1:26" ht="20.25" thickTop="1" thickBot="1">
      <c r="A59" s="21"/>
      <c r="B59" s="21"/>
      <c r="C59" s="21"/>
      <c r="D59" s="21"/>
      <c r="E59" s="2"/>
      <c r="F59" s="21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49">
        <f>D518</f>
        <v>21400</v>
      </c>
      <c r="U59" s="1" t="str">
        <f>B511</f>
        <v>KEWALJI</v>
      </c>
      <c r="V59" s="1" t="str">
        <f>C511</f>
        <v>KAMMAN</v>
      </c>
      <c r="W59" s="49"/>
      <c r="X59" s="49">
        <f>I518</f>
        <v>21400</v>
      </c>
      <c r="Y59" s="1" t="str">
        <f>G511</f>
        <v>PRAKASHJI</v>
      </c>
      <c r="Z59" s="1" t="str">
        <f>H511</f>
        <v>AMINPUR</v>
      </c>
    </row>
    <row r="60" spans="1:26" ht="20.25" thickTop="1" thickBot="1">
      <c r="A60" s="21"/>
      <c r="B60" s="21"/>
      <c r="C60" s="21"/>
      <c r="D60" s="21"/>
      <c r="E60" s="2"/>
      <c r="F60" s="21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49">
        <f>D527</f>
        <v>24000</v>
      </c>
      <c r="U60" s="1" t="str">
        <f>B520</f>
        <v>NIRMALJI</v>
      </c>
      <c r="V60" s="1" t="str">
        <f>C520</f>
        <v>KKPALLY</v>
      </c>
      <c r="W60" s="1"/>
      <c r="X60" s="49">
        <f>I527</f>
        <v>87000</v>
      </c>
      <c r="Y60" s="1" t="str">
        <f>G520</f>
        <v>THANARAMJI</v>
      </c>
      <c r="Z60" s="1" t="str">
        <f>H520</f>
        <v>SRIKAKULAM B</v>
      </c>
    </row>
    <row r="61" spans="1:26" ht="20.25" thickTop="1" thickBot="1">
      <c r="A61" s="21"/>
      <c r="B61" s="21"/>
      <c r="C61" s="21"/>
      <c r="D61" s="21"/>
      <c r="E61" s="2"/>
      <c r="F61" s="21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49">
        <f>D536</f>
        <v>86500</v>
      </c>
      <c r="U61" s="1" t="str">
        <f>B529</f>
        <v>NARAYANJI</v>
      </c>
      <c r="V61" s="1" t="str">
        <f>C529</f>
        <v>RR ROAD</v>
      </c>
      <c r="W61" s="1"/>
      <c r="X61" s="49"/>
      <c r="Y61" s="1"/>
      <c r="Z61" s="1"/>
    </row>
    <row r="62" spans="1:26" ht="20.25" thickTop="1" thickBot="1">
      <c r="A62" s="84" t="s">
        <v>16</v>
      </c>
      <c r="B62" s="85"/>
      <c r="C62" s="86"/>
      <c r="D62" s="8">
        <f>SUM(D57:D61)</f>
        <v>73000</v>
      </c>
      <c r="E62" s="2"/>
      <c r="F62" s="84" t="s">
        <v>16</v>
      </c>
      <c r="G62" s="85"/>
      <c r="H62" s="86"/>
      <c r="I62" s="21">
        <f>SUM(I57:I61)</f>
        <v>46250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49"/>
      <c r="U62" s="1"/>
      <c r="V62" s="1"/>
      <c r="W62" s="49"/>
      <c r="X62" s="1"/>
      <c r="Y62" s="1"/>
      <c r="Z62" s="1"/>
    </row>
    <row r="63" spans="1:26" ht="20.25" thickTop="1" thickBot="1">
      <c r="A63" s="10"/>
      <c r="B63" s="10"/>
      <c r="C63" s="10"/>
      <c r="D63" s="10"/>
      <c r="E63" s="2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49">
        <f>SUM(T3:T62)</f>
        <v>4132350</v>
      </c>
      <c r="U63" s="1"/>
      <c r="V63" s="1"/>
      <c r="W63" s="1"/>
      <c r="X63" s="49">
        <f>SUM(X3:X62)</f>
        <v>3708850</v>
      </c>
      <c r="Y63" s="1"/>
      <c r="Z63" s="1"/>
    </row>
    <row r="64" spans="1:26" ht="20.25" thickTop="1" thickBot="1">
      <c r="A64" s="12" t="s">
        <v>3</v>
      </c>
      <c r="B64" s="12" t="s">
        <v>45</v>
      </c>
      <c r="C64" s="12" t="s">
        <v>46</v>
      </c>
      <c r="D64" s="9">
        <v>45844</v>
      </c>
      <c r="E64" s="2"/>
      <c r="F64" s="21" t="s">
        <v>0</v>
      </c>
      <c r="G64" s="21" t="s">
        <v>47</v>
      </c>
      <c r="H64" s="21" t="s">
        <v>48</v>
      </c>
      <c r="I64" s="9">
        <v>45844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0.25" thickTop="1" thickBot="1">
      <c r="A65" s="21" t="s">
        <v>6</v>
      </c>
      <c r="B65" s="21" t="s">
        <v>7</v>
      </c>
      <c r="C65" s="21" t="s">
        <v>8</v>
      </c>
      <c r="D65" s="21" t="s">
        <v>9</v>
      </c>
      <c r="E65" s="2"/>
      <c r="F65" s="21" t="s">
        <v>6</v>
      </c>
      <c r="G65" s="21" t="s">
        <v>7</v>
      </c>
      <c r="H65" s="21" t="s">
        <v>8</v>
      </c>
      <c r="I65" s="21" t="s">
        <v>9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0.25" thickTop="1" thickBot="1">
      <c r="A66" s="21">
        <v>14.1</v>
      </c>
      <c r="B66" s="21">
        <v>500000</v>
      </c>
      <c r="C66" s="21">
        <f>VLOOKUP(A66&amp;"|"&amp;B66,$O$3:$P$17,2,FALSE)</f>
        <v>950</v>
      </c>
      <c r="D66" s="21">
        <f>VLOOKUP(A66&amp;"|"&amp;B66,$Q$3:$R$17,2,FALSE)</f>
        <v>24050</v>
      </c>
      <c r="E66" s="2"/>
      <c r="F66" s="21">
        <v>14.1</v>
      </c>
      <c r="G66" s="21">
        <v>500000</v>
      </c>
      <c r="H66" s="21">
        <f>VLOOKUP(F66&amp;"|"&amp;G66,$O$3:$P$16,2,FALSE)</f>
        <v>950</v>
      </c>
      <c r="I66" s="21">
        <f>VLOOKUP(F66&amp;"|"&amp;G66,$Q$3:$R$16,2,FALSE)</f>
        <v>24050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 t="s">
        <v>25</v>
      </c>
      <c r="W66" s="49">
        <f>SUM(T63,X63)</f>
        <v>7841200</v>
      </c>
      <c r="X66" s="1"/>
      <c r="Y66" s="1"/>
      <c r="Z66" s="1"/>
    </row>
    <row r="67" spans="1:26" ht="20.25" thickTop="1" thickBot="1">
      <c r="A67" s="21">
        <v>3</v>
      </c>
      <c r="B67" s="21">
        <v>2000000</v>
      </c>
      <c r="C67" s="21">
        <f>VLOOKUP(A67&amp;"|"&amp;B67,$O$3:$P$17,2,FALSE)</f>
        <v>13500</v>
      </c>
      <c r="D67" s="21">
        <f>VLOOKUP(A67&amp;"|"&amp;B67,$Q$3:$R$17,2,FALSE)</f>
        <v>86500</v>
      </c>
      <c r="E67" s="2"/>
      <c r="F67" s="21">
        <v>3</v>
      </c>
      <c r="G67" s="21">
        <v>500000</v>
      </c>
      <c r="H67" s="21">
        <f>VLOOKUP(F67&amp;"|"&amp;G67,$O$3:$P$16,2,FALSE)</f>
        <v>3600</v>
      </c>
      <c r="I67" s="21">
        <f>VLOOKUP(F67&amp;"|"&amp;G67,$Q$3:$R$16,2,FALSE)</f>
        <v>21400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0.25" thickTop="1" thickBot="1">
      <c r="A68" s="21"/>
      <c r="B68" s="21"/>
      <c r="C68" s="21"/>
      <c r="D68" s="21"/>
      <c r="E68" s="2"/>
      <c r="F68" s="21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thickTop="1" thickBot="1">
      <c r="A69" s="21"/>
      <c r="B69" s="21"/>
      <c r="C69" s="21"/>
      <c r="D69" s="21"/>
      <c r="E69" s="2"/>
      <c r="F69" s="21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0.25" thickTop="1" thickBot="1">
      <c r="A70" s="21"/>
      <c r="B70" s="21"/>
      <c r="C70" s="21"/>
      <c r="D70" s="21"/>
      <c r="E70" s="2"/>
      <c r="F70" s="52"/>
      <c r="G70" s="52"/>
      <c r="H70" s="52"/>
      <c r="I70" s="5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thickTop="1" thickBot="1">
      <c r="A71" s="59" t="s">
        <v>49</v>
      </c>
      <c r="B71" s="53"/>
      <c r="C71" s="54"/>
      <c r="D71" s="21">
        <f>SUM(D66:D70)</f>
        <v>110550</v>
      </c>
      <c r="E71" s="2"/>
      <c r="F71" s="84" t="s">
        <v>16</v>
      </c>
      <c r="G71" s="85"/>
      <c r="H71" s="86"/>
      <c r="I71" s="21">
        <f>SUM(I66:I70)</f>
        <v>45450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0.25" thickTop="1" thickBot="1">
      <c r="A72" s="10"/>
      <c r="B72" s="10"/>
      <c r="C72" s="10"/>
      <c r="D72" s="10"/>
      <c r="E72" s="2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thickTop="1" thickBot="1">
      <c r="A73" s="21" t="s">
        <v>0</v>
      </c>
      <c r="B73" s="21" t="s">
        <v>50</v>
      </c>
      <c r="C73" s="21" t="s">
        <v>51</v>
      </c>
      <c r="D73" s="9">
        <v>45844</v>
      </c>
      <c r="E73" s="2"/>
      <c r="F73" s="21" t="s">
        <v>0</v>
      </c>
      <c r="G73" s="21" t="s">
        <v>50</v>
      </c>
      <c r="H73" s="21" t="s">
        <v>52</v>
      </c>
      <c r="I73" s="9">
        <v>45844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thickTop="1" thickBot="1">
      <c r="A74" s="21" t="s">
        <v>6</v>
      </c>
      <c r="B74" s="21" t="s">
        <v>7</v>
      </c>
      <c r="C74" s="21" t="s">
        <v>8</v>
      </c>
      <c r="D74" s="21" t="s">
        <v>9</v>
      </c>
      <c r="E74" s="2"/>
      <c r="F74" s="21" t="s">
        <v>6</v>
      </c>
      <c r="G74" s="21" t="s">
        <v>7</v>
      </c>
      <c r="H74" s="21" t="s">
        <v>8</v>
      </c>
      <c r="I74" s="21" t="s">
        <v>9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thickTop="1" thickBot="1">
      <c r="A75" s="21">
        <v>14</v>
      </c>
      <c r="B75" s="21">
        <v>1000000</v>
      </c>
      <c r="C75" s="21">
        <f t="shared" ref="C75:C81" si="4">VLOOKUP(A75&amp;"|"&amp;B75,$O$3:$P$16,2,FALSE)</f>
        <v>1900</v>
      </c>
      <c r="D75" s="21">
        <f t="shared" ref="D75:D81" si="5">VLOOKUP(A75&amp;"|"&amp;B75,$Q$3:$R$16,2,FALSE)</f>
        <v>48100</v>
      </c>
      <c r="E75" s="2"/>
      <c r="F75" s="21">
        <v>18</v>
      </c>
      <c r="G75" s="21">
        <v>1000000</v>
      </c>
      <c r="H75" s="21">
        <f t="shared" ref="H75:H83" si="6">VLOOKUP(F75&amp;"|"&amp;G75,$O$3:$P$16,2,FALSE)</f>
        <v>300</v>
      </c>
      <c r="I75" s="21">
        <f t="shared" ref="I75:I83" si="7">VLOOKUP(F75&amp;"|"&amp;G75,$Q$3:$R$16,2,FALSE)</f>
        <v>49700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thickTop="1" thickBot="1">
      <c r="A76" s="21">
        <v>14.1</v>
      </c>
      <c r="B76" s="21">
        <v>1000000</v>
      </c>
      <c r="C76" s="21">
        <f t="shared" si="4"/>
        <v>1850</v>
      </c>
      <c r="D76" s="21">
        <f t="shared" si="5"/>
        <v>48150</v>
      </c>
      <c r="E76" s="2"/>
      <c r="F76" s="21">
        <v>18</v>
      </c>
      <c r="G76" s="21">
        <v>1000000</v>
      </c>
      <c r="H76" s="21">
        <f t="shared" si="6"/>
        <v>300</v>
      </c>
      <c r="I76" s="21">
        <f t="shared" si="7"/>
        <v>49700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thickTop="1" thickBot="1">
      <c r="A77" s="21">
        <v>18</v>
      </c>
      <c r="B77" s="21">
        <v>1000000</v>
      </c>
      <c r="C77" s="21">
        <f t="shared" si="4"/>
        <v>300</v>
      </c>
      <c r="D77" s="21">
        <f t="shared" si="5"/>
        <v>49700</v>
      </c>
      <c r="E77" s="2"/>
      <c r="F77" s="21">
        <v>18</v>
      </c>
      <c r="G77" s="21">
        <v>500000</v>
      </c>
      <c r="H77" s="21">
        <f t="shared" si="6"/>
        <v>150</v>
      </c>
      <c r="I77" s="21">
        <f t="shared" si="7"/>
        <v>24850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thickTop="1" thickBot="1">
      <c r="A78" s="21">
        <v>18</v>
      </c>
      <c r="B78" s="21">
        <v>1000000</v>
      </c>
      <c r="C78" s="21">
        <f t="shared" si="4"/>
        <v>300</v>
      </c>
      <c r="D78" s="21">
        <f t="shared" si="5"/>
        <v>49700</v>
      </c>
      <c r="E78" s="2"/>
      <c r="F78" s="21">
        <v>14.1</v>
      </c>
      <c r="G78" s="21">
        <v>1000000</v>
      </c>
      <c r="H78" s="21">
        <f t="shared" si="6"/>
        <v>1850</v>
      </c>
      <c r="I78" s="21">
        <f t="shared" si="7"/>
        <v>48150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thickTop="1" thickBot="1">
      <c r="A79" s="21">
        <v>3</v>
      </c>
      <c r="B79" s="21">
        <v>2000000</v>
      </c>
      <c r="C79" s="21">
        <f t="shared" si="4"/>
        <v>13500</v>
      </c>
      <c r="D79" s="21">
        <f t="shared" si="5"/>
        <v>86500</v>
      </c>
      <c r="E79" s="2"/>
      <c r="F79" s="21">
        <v>3</v>
      </c>
      <c r="G79" s="21">
        <v>500000</v>
      </c>
      <c r="H79" s="21">
        <f t="shared" si="6"/>
        <v>3600</v>
      </c>
      <c r="I79" s="21">
        <f t="shared" si="7"/>
        <v>21400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thickTop="1" thickBot="1">
      <c r="A80" s="21">
        <v>8</v>
      </c>
      <c r="B80" s="21">
        <v>250000</v>
      </c>
      <c r="C80" s="21">
        <f t="shared" si="4"/>
        <v>1250</v>
      </c>
      <c r="D80" s="21">
        <f t="shared" si="5"/>
        <v>11250</v>
      </c>
      <c r="E80" s="2"/>
      <c r="F80" s="21">
        <v>14.1</v>
      </c>
      <c r="G80" s="21">
        <v>500000</v>
      </c>
      <c r="H80" s="21">
        <f t="shared" si="6"/>
        <v>950</v>
      </c>
      <c r="I80" s="21">
        <f t="shared" si="7"/>
        <v>24050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thickTop="1" thickBot="1">
      <c r="A81" s="21">
        <v>14.1</v>
      </c>
      <c r="B81" s="21">
        <v>500000</v>
      </c>
      <c r="C81" s="21">
        <f t="shared" si="4"/>
        <v>950</v>
      </c>
      <c r="D81" s="21">
        <f t="shared" si="5"/>
        <v>24050</v>
      </c>
      <c r="E81" s="2"/>
      <c r="F81" s="21">
        <v>18</v>
      </c>
      <c r="G81" s="21">
        <v>500000</v>
      </c>
      <c r="H81" s="21">
        <f t="shared" si="6"/>
        <v>150</v>
      </c>
      <c r="I81" s="21">
        <f t="shared" si="7"/>
        <v>24850</v>
      </c>
      <c r="J81" s="1"/>
      <c r="K81" s="1"/>
      <c r="L81" s="56"/>
      <c r="M81" s="56"/>
      <c r="N81" s="56"/>
      <c r="O81" s="56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thickTop="1" thickBot="1">
      <c r="A82" s="21">
        <v>14</v>
      </c>
      <c r="B82" s="21">
        <v>250000</v>
      </c>
      <c r="C82" s="21">
        <f>VLOOKUP(A82&amp;"|"&amp;B82,$O$3:$P$18,2,FALSE)</f>
        <v>500</v>
      </c>
      <c r="D82" s="21">
        <f>VLOOKUP(A82&amp;"|"&amp;B82,$Q$3:$R$18,2,FALSE)</f>
        <v>12000</v>
      </c>
      <c r="E82" s="2"/>
      <c r="F82" s="21">
        <v>14</v>
      </c>
      <c r="G82" s="21">
        <v>500000</v>
      </c>
      <c r="H82" s="21">
        <f t="shared" si="6"/>
        <v>1000</v>
      </c>
      <c r="I82" s="21">
        <f t="shared" si="7"/>
        <v>24000</v>
      </c>
      <c r="J82" s="1"/>
      <c r="K82" s="1"/>
      <c r="L82" s="44"/>
      <c r="M82" s="44"/>
      <c r="N82" s="44"/>
      <c r="O82" s="44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thickTop="1" thickBot="1">
      <c r="A83" s="21"/>
      <c r="B83" s="21"/>
      <c r="C83" s="21"/>
      <c r="D83" s="21"/>
      <c r="E83" s="2"/>
      <c r="F83" s="21">
        <v>14.1</v>
      </c>
      <c r="G83" s="21">
        <v>1000000</v>
      </c>
      <c r="H83" s="21">
        <f t="shared" si="6"/>
        <v>1850</v>
      </c>
      <c r="I83" s="21">
        <f t="shared" si="7"/>
        <v>48150</v>
      </c>
      <c r="J83" s="1"/>
      <c r="K83" s="1"/>
      <c r="L83" s="44"/>
      <c r="M83" s="44"/>
      <c r="N83" s="44"/>
      <c r="O83" s="44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thickTop="1" thickBot="1">
      <c r="A84" s="21"/>
      <c r="B84" s="21"/>
      <c r="C84" s="21"/>
      <c r="D84" s="21"/>
      <c r="E84" s="2"/>
      <c r="F84" s="21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thickTop="1" thickBot="1">
      <c r="A85" s="21" t="s">
        <v>16</v>
      </c>
      <c r="B85" s="21"/>
      <c r="C85" s="21" t="s">
        <v>182</v>
      </c>
      <c r="D85" s="21">
        <f>SUM(D75:D84)</f>
        <v>329450</v>
      </c>
      <c r="E85" s="2"/>
      <c r="F85" s="84" t="s">
        <v>16</v>
      </c>
      <c r="G85" s="85"/>
      <c r="H85" s="86"/>
      <c r="I85" s="21">
        <f>SUM(I75:I84)</f>
        <v>314850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thickTop="1" thickBo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thickTop="1" thickBot="1">
      <c r="A87" s="21" t="s">
        <v>0</v>
      </c>
      <c r="B87" s="21" t="s">
        <v>53</v>
      </c>
      <c r="C87" s="21" t="s">
        <v>54</v>
      </c>
      <c r="D87" s="9">
        <v>45844</v>
      </c>
      <c r="E87" s="2"/>
      <c r="F87" s="21" t="s">
        <v>0</v>
      </c>
      <c r="G87" s="21" t="s">
        <v>55</v>
      </c>
      <c r="H87" s="21" t="s">
        <v>56</v>
      </c>
      <c r="I87" s="9">
        <v>45844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thickTop="1" thickBot="1">
      <c r="A88" s="21" t="s">
        <v>6</v>
      </c>
      <c r="B88" s="21" t="s">
        <v>7</v>
      </c>
      <c r="C88" s="21" t="s">
        <v>8</v>
      </c>
      <c r="D88" s="21" t="s">
        <v>9</v>
      </c>
      <c r="E88" s="2"/>
      <c r="F88" s="21" t="s">
        <v>6</v>
      </c>
      <c r="G88" s="21" t="s">
        <v>7</v>
      </c>
      <c r="H88" s="21" t="s">
        <v>8</v>
      </c>
      <c r="I88" s="21" t="s">
        <v>9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thickTop="1" thickBot="1">
      <c r="A89" s="21">
        <v>14.1</v>
      </c>
      <c r="B89" s="21">
        <v>1000000</v>
      </c>
      <c r="C89" s="21">
        <f>VLOOKUP(A89&amp;"|"&amp;B89,$O$3:$P$18,2,FALSE)</f>
        <v>1850</v>
      </c>
      <c r="D89" s="21">
        <f>VLOOKUP(A89&amp;"|"&amp;B89,$Q$3:$R$18,2,FALSE)</f>
        <v>48150</v>
      </c>
      <c r="E89" s="2"/>
      <c r="F89" s="21">
        <v>14.1</v>
      </c>
      <c r="G89" s="21">
        <v>500000</v>
      </c>
      <c r="H89" s="21">
        <f>VLOOKUP(F89&amp;"|"&amp;G89,$O$3:$P$16,2,FALSE)</f>
        <v>950</v>
      </c>
      <c r="I89" s="21">
        <f>VLOOKUP(F89&amp;"|"&amp;G89,$Q$3:$R$16,2,FALSE)</f>
        <v>24050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thickTop="1" thickBot="1">
      <c r="A90" s="21">
        <v>18</v>
      </c>
      <c r="B90" s="21">
        <v>1000000</v>
      </c>
      <c r="C90" s="21">
        <f>VLOOKUP(A90&amp;"|"&amp;B90,$O$3:$P$18,2,FALSE)</f>
        <v>300</v>
      </c>
      <c r="D90" s="21">
        <f>VLOOKUP(A90&amp;"|"&amp;B90,$Q$3:$R$18,2,FALSE)</f>
        <v>49700</v>
      </c>
      <c r="E90" s="2"/>
      <c r="F90" s="21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thickTop="1" thickBot="1">
      <c r="A91" s="21">
        <v>3</v>
      </c>
      <c r="B91" s="21">
        <v>2000000</v>
      </c>
      <c r="C91" s="21">
        <f>VLOOKUP(A91&amp;"|"&amp;B91,$O$3:$P$18,2,FALSE)</f>
        <v>13500</v>
      </c>
      <c r="D91" s="21">
        <f>VLOOKUP(A91&amp;"|"&amp;B91,$Q$3:$R$18,2,FALSE)</f>
        <v>86500</v>
      </c>
      <c r="E91" s="2"/>
      <c r="F91" s="21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thickTop="1" thickBot="1">
      <c r="A92" s="21">
        <v>3</v>
      </c>
      <c r="B92" s="21">
        <v>2000000</v>
      </c>
      <c r="C92" s="21">
        <f>VLOOKUP(A92&amp;"|"&amp;B92,$O$3:$P$18,2,FALSE)</f>
        <v>13500</v>
      </c>
      <c r="D92" s="21">
        <f>VLOOKUP(A92&amp;"|"&amp;B92,$Q$3:$R$18,2,FALSE)</f>
        <v>86500</v>
      </c>
      <c r="E92" s="2"/>
      <c r="F92" s="21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thickTop="1" thickBot="1">
      <c r="A93" s="21"/>
      <c r="B93" s="21"/>
      <c r="C93" s="21"/>
      <c r="D93" s="21"/>
      <c r="E93" s="2"/>
      <c r="F93" s="21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thickTop="1" thickBot="1">
      <c r="A94" s="21" t="s">
        <v>16</v>
      </c>
      <c r="B94" s="21"/>
      <c r="C94" s="21"/>
      <c r="D94" s="21">
        <f>SUM(D89:D93)</f>
        <v>270850</v>
      </c>
      <c r="E94" s="2"/>
      <c r="F94" s="84" t="s">
        <v>16</v>
      </c>
      <c r="G94" s="85"/>
      <c r="H94" s="86"/>
      <c r="I94" s="21">
        <f>SUM(I89:I93)</f>
        <v>24050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thickTop="1" thickBo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thickTop="1" thickBot="1">
      <c r="A96" s="21" t="s">
        <v>0</v>
      </c>
      <c r="B96" s="21" t="s">
        <v>57</v>
      </c>
      <c r="C96" s="21" t="s">
        <v>58</v>
      </c>
      <c r="D96" s="9">
        <v>45844</v>
      </c>
      <c r="E96" s="2"/>
      <c r="F96" s="21" t="s">
        <v>0</v>
      </c>
      <c r="G96" s="21" t="s">
        <v>59</v>
      </c>
      <c r="H96" s="21" t="s">
        <v>60</v>
      </c>
      <c r="I96" s="9">
        <v>45844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thickTop="1" thickBot="1">
      <c r="A97" s="21" t="s">
        <v>6</v>
      </c>
      <c r="B97" s="21" t="s">
        <v>7</v>
      </c>
      <c r="C97" s="21" t="s">
        <v>8</v>
      </c>
      <c r="D97" s="21" t="s">
        <v>9</v>
      </c>
      <c r="E97" s="2"/>
      <c r="F97" s="21" t="s">
        <v>6</v>
      </c>
      <c r="G97" s="21" t="s">
        <v>7</v>
      </c>
      <c r="H97" s="21" t="s">
        <v>8</v>
      </c>
      <c r="I97" s="21" t="s">
        <v>9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thickTop="1" thickBot="1">
      <c r="A98" s="21">
        <v>14</v>
      </c>
      <c r="B98" s="21">
        <v>500000</v>
      </c>
      <c r="C98" s="21">
        <f>VLOOKUP(A98&amp;"|"&amp;B98,$O$3:$P$16,2,FALSE)</f>
        <v>1000</v>
      </c>
      <c r="D98" s="21">
        <f>VLOOKUP(A98&amp;"|"&amp;B98,$Q$3:$R$16,2,FALSE)</f>
        <v>24000</v>
      </c>
      <c r="E98" s="2"/>
      <c r="F98" s="21">
        <v>14</v>
      </c>
      <c r="G98" s="21">
        <v>1000000</v>
      </c>
      <c r="H98" s="21">
        <f>VLOOKUP(F98&amp;"|"&amp;G98,$O$3:$P$16,2,FALSE)</f>
        <v>1900</v>
      </c>
      <c r="I98" s="21">
        <f>VLOOKUP(F98&amp;"|"&amp;G98,$Q$3:$R$16,2,FALSE)</f>
        <v>48100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thickTop="1" thickBot="1">
      <c r="A99" s="21">
        <v>3</v>
      </c>
      <c r="B99" s="21">
        <v>500000</v>
      </c>
      <c r="C99" s="21">
        <f>VLOOKUP(A99&amp;"|"&amp;B99,$O$3:$P$16,2,FALSE)</f>
        <v>3600</v>
      </c>
      <c r="D99" s="21">
        <f>VLOOKUP(A99&amp;"|"&amp;B99,$Q$3:$R$16,2,FALSE)</f>
        <v>21400</v>
      </c>
      <c r="E99" s="2"/>
      <c r="F99" s="21">
        <v>14.1</v>
      </c>
      <c r="G99" s="21">
        <v>1000000</v>
      </c>
      <c r="H99" s="21">
        <f>VLOOKUP(F99&amp;"|"&amp;G99,$O$3:$P$16,2,FALSE)</f>
        <v>1850</v>
      </c>
      <c r="I99" s="21">
        <f>VLOOKUP(F99&amp;"|"&amp;G99,$Q$3:$R$16,2,FALSE)</f>
        <v>48150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thickTop="1" thickBot="1">
      <c r="A100" s="21"/>
      <c r="B100" s="21"/>
      <c r="C100" s="21"/>
      <c r="D100" s="21"/>
      <c r="E100" s="2"/>
      <c r="F100" s="21">
        <v>18</v>
      </c>
      <c r="G100" s="21">
        <v>1000000</v>
      </c>
      <c r="H100" s="21">
        <f>VLOOKUP(F100&amp;"|"&amp;G100,$O$3:$P$16,2,FALSE)</f>
        <v>300</v>
      </c>
      <c r="I100" s="21">
        <f>VLOOKUP(F100&amp;"|"&amp;G100,$Q$3:$R$16,2,FALSE)</f>
        <v>49700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thickTop="1" thickBot="1">
      <c r="A101" s="21"/>
      <c r="B101" s="21"/>
      <c r="C101" s="21"/>
      <c r="D101" s="21"/>
      <c r="E101" s="2"/>
      <c r="F101" s="21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thickTop="1" thickBot="1">
      <c r="A102" s="21"/>
      <c r="B102" s="21"/>
      <c r="C102" s="21"/>
      <c r="D102" s="21"/>
      <c r="E102" s="2"/>
      <c r="F102" s="21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thickTop="1" thickBot="1">
      <c r="A103" s="21" t="s">
        <v>16</v>
      </c>
      <c r="B103" s="21"/>
      <c r="C103" s="21"/>
      <c r="D103" s="21">
        <f>SUM(D98:D102)</f>
        <v>45400</v>
      </c>
      <c r="E103" s="2"/>
      <c r="F103" s="84" t="s">
        <v>16</v>
      </c>
      <c r="G103" s="85"/>
      <c r="H103" s="86"/>
      <c r="I103" s="21">
        <f>SUM(I98:I102)</f>
        <v>145950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thickTop="1" thickBo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thickTop="1" thickBot="1">
      <c r="A105" s="21" t="s">
        <v>0</v>
      </c>
      <c r="B105" s="21" t="s">
        <v>61</v>
      </c>
      <c r="C105" s="21" t="s">
        <v>62</v>
      </c>
      <c r="D105" s="9">
        <v>45844</v>
      </c>
      <c r="E105" s="2"/>
      <c r="F105" s="21" t="s">
        <v>0</v>
      </c>
      <c r="G105" s="21" t="s">
        <v>63</v>
      </c>
      <c r="H105" s="21" t="s">
        <v>34</v>
      </c>
      <c r="I105" s="9">
        <v>45844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thickTop="1" thickBot="1">
      <c r="A106" s="21" t="s">
        <v>6</v>
      </c>
      <c r="B106" s="21" t="s">
        <v>7</v>
      </c>
      <c r="C106" s="21" t="s">
        <v>8</v>
      </c>
      <c r="D106" s="21" t="s">
        <v>9</v>
      </c>
      <c r="E106" s="2"/>
      <c r="F106" s="21" t="s">
        <v>6</v>
      </c>
      <c r="G106" s="21" t="s">
        <v>7</v>
      </c>
      <c r="H106" s="21" t="s">
        <v>8</v>
      </c>
      <c r="I106" s="21" t="s">
        <v>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thickTop="1" thickBot="1">
      <c r="A107" s="21">
        <v>14</v>
      </c>
      <c r="B107" s="21">
        <v>500000</v>
      </c>
      <c r="C107" s="21">
        <f>VLOOKUP(A107&amp;"|"&amp;B107,$O$3:$P$16,2,FALSE)</f>
        <v>1000</v>
      </c>
      <c r="D107" s="21">
        <f>VLOOKUP(A107&amp;"|"&amp;B107,$Q$3:$R$16,2,FALSE)</f>
        <v>24000</v>
      </c>
      <c r="E107" s="2"/>
      <c r="F107" s="21">
        <v>14</v>
      </c>
      <c r="G107" s="21">
        <v>500000</v>
      </c>
      <c r="H107" s="21">
        <f>VLOOKUP(F107&amp;"|"&amp;G107,$O$3:$P$16,2,FALSE)</f>
        <v>1000</v>
      </c>
      <c r="I107" s="21">
        <f>VLOOKUP(F107&amp;"|"&amp;G107,$Q$3:$R$16,2,FALSE)</f>
        <v>24000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thickTop="1" thickBot="1">
      <c r="A108" s="21"/>
      <c r="B108" s="21"/>
      <c r="C108" s="21"/>
      <c r="D108" s="21"/>
      <c r="E108" s="2"/>
      <c r="F108" s="21">
        <v>14</v>
      </c>
      <c r="G108" s="21">
        <v>1000000</v>
      </c>
      <c r="H108" s="21">
        <f>VLOOKUP(F108&amp;"|"&amp;G108,$O$3:$P$16,2,FALSE)</f>
        <v>1900</v>
      </c>
      <c r="I108" s="21">
        <f>VLOOKUP(F108&amp;"|"&amp;G108,$Q$3:$R$16,2,FALSE)</f>
        <v>48100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thickTop="1" thickBot="1">
      <c r="A109" s="21"/>
      <c r="B109" s="21"/>
      <c r="C109" s="21"/>
      <c r="D109" s="21"/>
      <c r="E109" s="2"/>
      <c r="F109" s="21">
        <v>3</v>
      </c>
      <c r="G109" s="21">
        <v>2000000</v>
      </c>
      <c r="H109" s="21">
        <f>VLOOKUP(F109&amp;"|"&amp;G109,$O$3:$P$16,2,FALSE)</f>
        <v>13500</v>
      </c>
      <c r="I109" s="21">
        <f>VLOOKUP(F109&amp;"|"&amp;G109,$Q$3:$R$16,2,FALSE)</f>
        <v>86500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thickTop="1" thickBot="1">
      <c r="A110" s="21"/>
      <c r="B110" s="21"/>
      <c r="C110" s="21"/>
      <c r="D110" s="21"/>
      <c r="E110" s="2"/>
      <c r="F110" s="21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thickTop="1" thickBot="1">
      <c r="A111" s="21"/>
      <c r="B111" s="21"/>
      <c r="C111" s="21"/>
      <c r="D111" s="21"/>
      <c r="E111" s="2"/>
      <c r="F111" s="21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thickTop="1" thickBot="1">
      <c r="A112" s="21" t="s">
        <v>16</v>
      </c>
      <c r="B112" s="21"/>
      <c r="C112" s="21"/>
      <c r="D112" s="21">
        <f>SUM(D107:D111)</f>
        <v>24000</v>
      </c>
      <c r="E112" s="2"/>
      <c r="F112" s="84" t="s">
        <v>16</v>
      </c>
      <c r="G112" s="85"/>
      <c r="H112" s="86"/>
      <c r="I112" s="21">
        <f>SUM(I107:I111)</f>
        <v>158600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thickTop="1" thickBo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thickTop="1" thickBot="1">
      <c r="A114" s="21" t="s">
        <v>0</v>
      </c>
      <c r="B114" s="21" t="s">
        <v>47</v>
      </c>
      <c r="C114" s="21" t="s">
        <v>39</v>
      </c>
      <c r="D114" s="9">
        <v>45844</v>
      </c>
      <c r="E114" s="2"/>
      <c r="F114" s="21" t="s">
        <v>0</v>
      </c>
      <c r="G114" s="21" t="s">
        <v>64</v>
      </c>
      <c r="H114" s="21" t="s">
        <v>65</v>
      </c>
      <c r="I114" s="9">
        <v>45844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thickTop="1" thickBot="1">
      <c r="A115" s="21" t="s">
        <v>6</v>
      </c>
      <c r="B115" s="21" t="s">
        <v>7</v>
      </c>
      <c r="C115" s="21" t="s">
        <v>8</v>
      </c>
      <c r="D115" s="21" t="s">
        <v>9</v>
      </c>
      <c r="E115" s="2"/>
      <c r="F115" s="21" t="s">
        <v>6</v>
      </c>
      <c r="G115" s="21" t="s">
        <v>7</v>
      </c>
      <c r="H115" s="21" t="s">
        <v>8</v>
      </c>
      <c r="I115" s="21" t="s">
        <v>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thickTop="1" thickBot="1">
      <c r="A116" s="21">
        <v>14</v>
      </c>
      <c r="B116" s="21">
        <v>500000</v>
      </c>
      <c r="C116" s="21">
        <f>VLOOKUP(A116&amp;"|"&amp;B116,$O$3:$P$16,2,FALSE)</f>
        <v>1000</v>
      </c>
      <c r="D116" s="21">
        <f>VLOOKUP(A116&amp;"|"&amp;B116,$Q$3:$R$16,2,FALSE)</f>
        <v>24000</v>
      </c>
      <c r="E116" s="2"/>
      <c r="F116" s="21">
        <v>14</v>
      </c>
      <c r="G116" s="21">
        <v>1000000</v>
      </c>
      <c r="H116" s="21">
        <f>VLOOKUP(F116&amp;"|"&amp;G116,$O$3:$P$16,2,FALSE)</f>
        <v>1900</v>
      </c>
      <c r="I116" s="21">
        <f>VLOOKUP(F116&amp;"|"&amp;G116,$Q$3:$R$16,2,FALSE)</f>
        <v>48100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thickTop="1" thickBot="1">
      <c r="A117" s="21">
        <v>18</v>
      </c>
      <c r="B117" s="21">
        <v>500000</v>
      </c>
      <c r="C117" s="21">
        <f>VLOOKUP(A117&amp;"|"&amp;B117,$O$3:$P$16,2,FALSE)</f>
        <v>150</v>
      </c>
      <c r="D117" s="21">
        <f>VLOOKUP(A117&amp;"|"&amp;B117,$Q$3:$R$16,2,FALSE)</f>
        <v>24850</v>
      </c>
      <c r="E117" s="2"/>
      <c r="F117" s="21">
        <v>3</v>
      </c>
      <c r="G117" s="21">
        <v>2000000</v>
      </c>
      <c r="H117" s="21">
        <f>VLOOKUP(F117&amp;"|"&amp;G117,$O$3:$P$17,2,FALSE)</f>
        <v>13500</v>
      </c>
      <c r="I117" s="21">
        <f>VLOOKUP(F117&amp;"|"&amp;G117,$Q$3:$R$17,2,FALSE)</f>
        <v>86500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thickTop="1" thickBot="1">
      <c r="A118" s="21">
        <v>8</v>
      </c>
      <c r="B118" s="21">
        <v>500000</v>
      </c>
      <c r="C118" s="21">
        <f>VLOOKUP(A118&amp;"|"&amp;B118,$O$3:$P$16,2,FALSE)</f>
        <v>2500</v>
      </c>
      <c r="D118" s="21">
        <f>VLOOKUP(A118&amp;"|"&amp;B118,$Q$3:$R$16,2,FALSE)</f>
        <v>22500</v>
      </c>
      <c r="E118" s="2"/>
      <c r="F118" s="21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thickTop="1" thickBot="1">
      <c r="A119" s="21">
        <v>8</v>
      </c>
      <c r="B119" s="21">
        <v>500000</v>
      </c>
      <c r="C119" s="21">
        <f>VLOOKUP(A119&amp;"|"&amp;B119,$O$3:$P$16,2,FALSE)</f>
        <v>2500</v>
      </c>
      <c r="D119" s="21">
        <f>VLOOKUP(A119&amp;"|"&amp;B119,$Q$3:$R$16,2,FALSE)</f>
        <v>22500</v>
      </c>
      <c r="E119" s="2"/>
      <c r="F119" s="21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thickTop="1" thickBot="1">
      <c r="A120" s="21"/>
      <c r="B120" s="21"/>
      <c r="C120" s="21"/>
      <c r="D120" s="21"/>
      <c r="E120" s="2"/>
      <c r="F120" s="21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thickTop="1" thickBot="1">
      <c r="A121" s="21" t="s">
        <v>16</v>
      </c>
      <c r="B121" s="21"/>
      <c r="C121" s="21"/>
      <c r="D121" s="21">
        <f>SUM(D116:D120)</f>
        <v>93850</v>
      </c>
      <c r="E121" s="2"/>
      <c r="F121" s="84" t="s">
        <v>16</v>
      </c>
      <c r="G121" s="85"/>
      <c r="H121" s="86"/>
      <c r="I121" s="21">
        <f>SUM(I116:I120)</f>
        <v>134600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thickTop="1" thickBo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thickTop="1" thickBot="1">
      <c r="A123" s="21" t="s">
        <v>0</v>
      </c>
      <c r="B123" s="21" t="s">
        <v>66</v>
      </c>
      <c r="C123" s="21" t="s">
        <v>67</v>
      </c>
      <c r="D123" s="9">
        <v>45844</v>
      </c>
      <c r="E123" s="2"/>
      <c r="F123" s="21" t="s">
        <v>0</v>
      </c>
      <c r="G123" s="21" t="s">
        <v>68</v>
      </c>
      <c r="H123" s="21" t="s">
        <v>69</v>
      </c>
      <c r="I123" s="9">
        <v>45844</v>
      </c>
      <c r="J123" s="1"/>
      <c r="K123" s="1"/>
      <c r="L123" s="1"/>
      <c r="M123" s="1" t="s">
        <v>70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thickTop="1" thickBot="1">
      <c r="A124" s="21" t="s">
        <v>6</v>
      </c>
      <c r="B124" s="21" t="s">
        <v>7</v>
      </c>
      <c r="C124" s="21" t="s">
        <v>8</v>
      </c>
      <c r="D124" s="21" t="s">
        <v>9</v>
      </c>
      <c r="E124" s="2"/>
      <c r="F124" s="21" t="s">
        <v>6</v>
      </c>
      <c r="G124" s="21" t="s">
        <v>7</v>
      </c>
      <c r="H124" s="21" t="s">
        <v>8</v>
      </c>
      <c r="I124" s="21" t="s">
        <v>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thickTop="1" thickBot="1">
      <c r="A125" s="21">
        <v>14</v>
      </c>
      <c r="B125" s="21">
        <v>500000</v>
      </c>
      <c r="C125" s="21">
        <f>VLOOKUP(A125&amp;"|"&amp;B125,$O$3:$P$16,2,FALSE)</f>
        <v>1000</v>
      </c>
      <c r="D125" s="21">
        <f>VLOOKUP(A125&amp;"|"&amp;B125,$Q$3:$R$16,2,FALSE)</f>
        <v>24000</v>
      </c>
      <c r="E125" s="2"/>
      <c r="F125" s="21">
        <v>14</v>
      </c>
      <c r="G125" s="21">
        <v>1000000</v>
      </c>
      <c r="H125" s="21">
        <f>VLOOKUP(F125&amp;"|"&amp;G125,$O$3:$P$16,2,FALSE)</f>
        <v>1900</v>
      </c>
      <c r="I125" s="21">
        <f>VLOOKUP(F125&amp;"|"&amp;G125,$Q$3:$R$16,2,FALSE)</f>
        <v>48100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thickTop="1" thickBot="1">
      <c r="A126" s="21">
        <v>3</v>
      </c>
      <c r="B126" s="21">
        <v>2000000</v>
      </c>
      <c r="C126" s="21">
        <f>VLOOKUP(A126&amp;"|"&amp;B126,$O$3:$P$16,2,FALSE)</f>
        <v>13500</v>
      </c>
      <c r="D126" s="21">
        <f>VLOOKUP(A126&amp;"|"&amp;B126,$Q$3:$R$16,2,FALSE)</f>
        <v>86500</v>
      </c>
      <c r="E126" s="2"/>
      <c r="F126" s="21">
        <v>8</v>
      </c>
      <c r="G126" s="21">
        <v>500000</v>
      </c>
      <c r="H126" s="21">
        <f>VLOOKUP(F126&amp;"|"&amp;G126,$O$3:$P$16,2,FALSE)</f>
        <v>2500</v>
      </c>
      <c r="I126" s="21">
        <f>VLOOKUP(F126&amp;"|"&amp;G126,$Q$3:$R$16,2,FALSE)</f>
        <v>22500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thickTop="1" thickBot="1">
      <c r="A127" s="21"/>
      <c r="B127" s="21"/>
      <c r="C127" s="21"/>
      <c r="D127" s="21"/>
      <c r="E127" s="2"/>
      <c r="F127" s="21">
        <v>8</v>
      </c>
      <c r="G127" s="21">
        <v>500000</v>
      </c>
      <c r="H127" s="21">
        <f>VLOOKUP(F127&amp;"|"&amp;G127,$O$3:$P$16,2,FALSE)</f>
        <v>2500</v>
      </c>
      <c r="I127" s="21">
        <f>VLOOKUP(F127&amp;"|"&amp;G127,$Q$3:$R$16,2,FALSE)</f>
        <v>22500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thickTop="1" thickBot="1">
      <c r="A128" s="21"/>
      <c r="B128" s="21"/>
      <c r="C128" s="21"/>
      <c r="D128" s="21"/>
      <c r="E128" s="2"/>
      <c r="F128" s="21">
        <v>18</v>
      </c>
      <c r="G128" s="21">
        <v>500000</v>
      </c>
      <c r="H128" s="21">
        <f>VLOOKUP(F128&amp;"|"&amp;G128,$O$3:$P$16,2,FALSE)</f>
        <v>150</v>
      </c>
      <c r="I128" s="21">
        <f>VLOOKUP(F128&amp;"|"&amp;G128,$Q$3:$R$16,2,FALSE)</f>
        <v>24850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thickTop="1" thickBot="1">
      <c r="A129" s="21"/>
      <c r="B129" s="21"/>
      <c r="C129" s="21"/>
      <c r="D129" s="21"/>
      <c r="E129" s="2"/>
      <c r="F129" s="21"/>
      <c r="G129" s="21"/>
      <c r="H129" s="21"/>
      <c r="I129" s="2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thickTop="1" thickBot="1">
      <c r="A130" s="21" t="s">
        <v>16</v>
      </c>
      <c r="B130" s="21"/>
      <c r="C130" s="21"/>
      <c r="D130" s="21">
        <f>SUM(D125:D129)</f>
        <v>110500</v>
      </c>
      <c r="E130" s="2"/>
      <c r="F130" s="84" t="s">
        <v>16</v>
      </c>
      <c r="G130" s="85"/>
      <c r="H130" s="86"/>
      <c r="I130" s="21">
        <f>SUM(I125:I129)</f>
        <v>117950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thickTop="1" thickBo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thickTop="1" thickBot="1">
      <c r="A132" s="21" t="s">
        <v>0</v>
      </c>
      <c r="B132" s="21" t="s">
        <v>71</v>
      </c>
      <c r="C132" s="21" t="s">
        <v>72</v>
      </c>
      <c r="D132" s="9">
        <v>45844</v>
      </c>
      <c r="E132" s="2"/>
      <c r="F132" s="21" t="s">
        <v>0</v>
      </c>
      <c r="G132" s="21" t="s">
        <v>73</v>
      </c>
      <c r="H132" s="21" t="s">
        <v>74</v>
      </c>
      <c r="I132" s="9">
        <v>45844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thickTop="1" thickBot="1">
      <c r="A133" s="21" t="s">
        <v>6</v>
      </c>
      <c r="B133" s="21" t="s">
        <v>7</v>
      </c>
      <c r="C133" s="21" t="s">
        <v>8</v>
      </c>
      <c r="D133" s="21" t="s">
        <v>9</v>
      </c>
      <c r="E133" s="2"/>
      <c r="F133" s="21" t="s">
        <v>6</v>
      </c>
      <c r="G133" s="21" t="s">
        <v>7</v>
      </c>
      <c r="H133" s="21" t="s">
        <v>8</v>
      </c>
      <c r="I133" s="21" t="s">
        <v>9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thickTop="1" thickBot="1">
      <c r="A134" s="21">
        <v>14</v>
      </c>
      <c r="B134" s="21">
        <v>500000</v>
      </c>
      <c r="C134" s="21">
        <f>VLOOKUP(A134&amp;"|"&amp;B134,$O$3:$P$16,2,FALSE)</f>
        <v>1000</v>
      </c>
      <c r="D134" s="21">
        <f>VLOOKUP(A134&amp;"|"&amp;B134,$Q$3:$R$16,2,FALSE)</f>
        <v>24000</v>
      </c>
      <c r="E134" s="2"/>
      <c r="F134" s="21">
        <v>14</v>
      </c>
      <c r="G134" s="21">
        <v>500000</v>
      </c>
      <c r="H134" s="21">
        <f>VLOOKUP(F134&amp;"|"&amp;G134,$O$3:$P$16,2,FALSE)</f>
        <v>1000</v>
      </c>
      <c r="I134" s="21">
        <f>VLOOKUP(F134&amp;"|"&amp;G134,$Q$3:$R$16,2,FALSE)</f>
        <v>24000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thickTop="1" thickBot="1">
      <c r="A135" s="21">
        <v>18</v>
      </c>
      <c r="B135" s="21">
        <v>500000</v>
      </c>
      <c r="C135" s="21">
        <f>VLOOKUP(A135&amp;"|"&amp;B135,$O$3:$P$16,2,FALSE)</f>
        <v>150</v>
      </c>
      <c r="D135" s="21">
        <f>VLOOKUP(A135&amp;"|"&amp;B135,$Q$3:$R$16,2,FALSE)</f>
        <v>24850</v>
      </c>
      <c r="E135" s="2"/>
      <c r="F135" s="21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thickTop="1" thickBot="1">
      <c r="A136" s="21"/>
      <c r="B136" s="21"/>
      <c r="C136" s="21"/>
      <c r="D136" s="21"/>
      <c r="E136" s="2"/>
      <c r="F136" s="21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thickTop="1" thickBot="1">
      <c r="A137" s="21"/>
      <c r="B137" s="21"/>
      <c r="C137" s="21"/>
      <c r="D137" s="21"/>
      <c r="E137" s="2"/>
      <c r="F137" s="21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thickTop="1" thickBot="1">
      <c r="A138" s="21"/>
      <c r="B138" s="21"/>
      <c r="C138" s="21"/>
      <c r="D138" s="21"/>
      <c r="E138" s="2"/>
      <c r="F138" s="21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thickTop="1" thickBot="1">
      <c r="A139" s="21" t="s">
        <v>16</v>
      </c>
      <c r="B139" s="21"/>
      <c r="C139" s="21"/>
      <c r="D139" s="21">
        <f>SUM(D134:D138)</f>
        <v>48850</v>
      </c>
      <c r="E139" s="2"/>
      <c r="F139" s="84" t="s">
        <v>16</v>
      </c>
      <c r="G139" s="85"/>
      <c r="H139" s="86"/>
      <c r="I139" s="21">
        <f>SUM(I134:I138)</f>
        <v>24000</v>
      </c>
      <c r="J139" s="1"/>
      <c r="K139" s="1"/>
      <c r="L139" s="1"/>
      <c r="M139" s="1" t="s">
        <v>182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thickTop="1" thickBo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thickTop="1" thickBot="1">
      <c r="A141" s="21" t="s">
        <v>0</v>
      </c>
      <c r="B141" s="21" t="s">
        <v>75</v>
      </c>
      <c r="C141" s="21" t="s">
        <v>76</v>
      </c>
      <c r="D141" s="9">
        <v>45844</v>
      </c>
      <c r="E141" s="2"/>
      <c r="F141" s="12" t="s">
        <v>3</v>
      </c>
      <c r="G141" s="12" t="s">
        <v>77</v>
      </c>
      <c r="H141" s="12" t="s">
        <v>78</v>
      </c>
      <c r="I141" s="9">
        <v>45844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thickTop="1" thickBot="1">
      <c r="A142" s="21" t="s">
        <v>6</v>
      </c>
      <c r="B142" s="21" t="s">
        <v>7</v>
      </c>
      <c r="C142" s="21" t="s">
        <v>8</v>
      </c>
      <c r="D142" s="21" t="s">
        <v>9</v>
      </c>
      <c r="E142" s="2"/>
      <c r="F142" s="21" t="s">
        <v>6</v>
      </c>
      <c r="G142" s="21" t="s">
        <v>7</v>
      </c>
      <c r="H142" s="21" t="s">
        <v>8</v>
      </c>
      <c r="I142" s="21" t="s">
        <v>9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thickTop="1" thickBot="1">
      <c r="A143" s="21">
        <v>14</v>
      </c>
      <c r="B143" s="21">
        <v>500000</v>
      </c>
      <c r="C143" s="21">
        <f>VLOOKUP(A143&amp;"|"&amp;B143,$O$3:$P$16,2,FALSE)</f>
        <v>1000</v>
      </c>
      <c r="D143" s="21">
        <f>VLOOKUP(A143&amp;"|"&amp;B143,$Q$3:$R$16,2,FALSE)</f>
        <v>24000</v>
      </c>
      <c r="E143" s="2"/>
      <c r="F143" s="21">
        <v>18</v>
      </c>
      <c r="G143" s="21">
        <v>1000000</v>
      </c>
      <c r="H143" s="21">
        <f>VLOOKUP(F143&amp;"|"&amp;G143,$O$3:$P$18,2,FALSE)</f>
        <v>300</v>
      </c>
      <c r="I143" s="21">
        <f>VLOOKUP(F143&amp;"|"&amp;G143,$Q$3:$R$17,2,FALSE)</f>
        <v>49700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thickTop="1" thickBot="1">
      <c r="A144" s="21">
        <v>8</v>
      </c>
      <c r="B144" s="21">
        <v>500000</v>
      </c>
      <c r="C144" s="21">
        <f>VLOOKUP(A144&amp;"|"&amp;B144,$O$3:$P$16,2,FALSE)</f>
        <v>2500</v>
      </c>
      <c r="D144" s="21">
        <f>VLOOKUP(A144&amp;"|"&amp;B144,$Q$3:$R$16,2,FALSE)</f>
        <v>22500</v>
      </c>
      <c r="E144" s="2"/>
      <c r="F144" s="21">
        <v>18</v>
      </c>
      <c r="G144" s="21">
        <v>1000000</v>
      </c>
      <c r="H144" s="21">
        <f>VLOOKUP(F144&amp;"|"&amp;G144,$O$3:$P$17,2,FALSE)</f>
        <v>300</v>
      </c>
      <c r="I144" s="21">
        <f>VLOOKUP(F144&amp;"|"&amp;G144,$Q$3:$R$17,2,FALSE)</f>
        <v>49700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thickTop="1" thickBot="1">
      <c r="A145" s="21">
        <v>11</v>
      </c>
      <c r="B145" s="21">
        <v>500000</v>
      </c>
      <c r="C145" s="21">
        <f>VLOOKUP(A145&amp;"|"&amp;B145,$O$3:$P$16,2,FALSE)</f>
        <v>1650</v>
      </c>
      <c r="D145" s="21">
        <f>VLOOKUP(A145&amp;"|"&amp;B145,$Q$3:$R$16,2,FALSE)</f>
        <v>23350</v>
      </c>
      <c r="E145" s="2"/>
      <c r="F145" s="21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thickTop="1" thickBot="1">
      <c r="A146" s="21">
        <v>18</v>
      </c>
      <c r="B146" s="21">
        <v>1000000</v>
      </c>
      <c r="C146" s="21">
        <f>VLOOKUP(A146&amp;"|"&amp;B146,$O$3:$P$16,2,FALSE)</f>
        <v>300</v>
      </c>
      <c r="D146" s="21">
        <f>VLOOKUP(A146&amp;"|"&amp;B146,$Q$3:$R$16,2,FALSE)</f>
        <v>49700</v>
      </c>
      <c r="E146" s="2"/>
      <c r="F146" s="21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thickTop="1" thickBot="1">
      <c r="A147" s="21"/>
      <c r="B147" s="21"/>
      <c r="C147" s="21"/>
      <c r="D147" s="21"/>
      <c r="E147" s="2"/>
      <c r="F147" s="21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thickTop="1" thickBot="1">
      <c r="A148" s="21" t="s">
        <v>16</v>
      </c>
      <c r="B148" s="21"/>
      <c r="C148" s="21"/>
      <c r="D148" s="21">
        <f>SUM(D143:D147)</f>
        <v>119550</v>
      </c>
      <c r="E148" s="2"/>
      <c r="F148" s="84" t="s">
        <v>16</v>
      </c>
      <c r="G148" s="85"/>
      <c r="H148" s="86"/>
      <c r="I148" s="21">
        <f>SUM(I143:I147)</f>
        <v>99400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thickTop="1" thickBot="1">
      <c r="A149" s="2"/>
      <c r="B149" s="2"/>
      <c r="C149" s="2"/>
      <c r="D149" s="2"/>
      <c r="E149" s="2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thickTop="1" thickBot="1">
      <c r="A150" s="21" t="s">
        <v>0</v>
      </c>
      <c r="B150" s="21" t="s">
        <v>192</v>
      </c>
      <c r="C150" s="21" t="s">
        <v>193</v>
      </c>
      <c r="D150" s="9">
        <v>45844</v>
      </c>
      <c r="E150" s="2"/>
      <c r="F150" s="21" t="s">
        <v>0</v>
      </c>
      <c r="G150" s="21" t="s">
        <v>80</v>
      </c>
      <c r="H150" s="21" t="s">
        <v>81</v>
      </c>
      <c r="I150" s="9">
        <v>45844</v>
      </c>
      <c r="J150" s="10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thickTop="1" thickBot="1">
      <c r="A151" s="21" t="s">
        <v>6</v>
      </c>
      <c r="B151" s="21" t="s">
        <v>7</v>
      </c>
      <c r="C151" s="21" t="s">
        <v>8</v>
      </c>
      <c r="D151" s="21" t="s">
        <v>9</v>
      </c>
      <c r="E151" s="2"/>
      <c r="F151" s="21" t="s">
        <v>6</v>
      </c>
      <c r="G151" s="21" t="s">
        <v>7</v>
      </c>
      <c r="H151" s="21" t="s">
        <v>8</v>
      </c>
      <c r="I151" s="21" t="s">
        <v>9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thickTop="1" thickBot="1">
      <c r="A152" s="21">
        <v>18</v>
      </c>
      <c r="B152" s="21">
        <v>1000000</v>
      </c>
      <c r="C152" s="21">
        <f>VLOOKUP(A152&amp;"|"&amp;B152,$O$3:$P$16,2,FALSE)</f>
        <v>300</v>
      </c>
      <c r="D152" s="21">
        <f>VLOOKUP(A152&amp;"|"&amp;B152,$Q$3:$R$16,2,FALSE)</f>
        <v>49700</v>
      </c>
      <c r="E152" s="10"/>
      <c r="F152" s="21">
        <v>14</v>
      </c>
      <c r="G152" s="21">
        <v>500000</v>
      </c>
      <c r="H152" s="21">
        <f>VLOOKUP(F152&amp;"|"&amp;G152,$O$3:$P$16,2,FALSE)</f>
        <v>1000</v>
      </c>
      <c r="I152" s="21">
        <f>VLOOKUP(F152&amp;"|"&amp;G152,$Q$3:$R$16,2,FALSE)</f>
        <v>24000</v>
      </c>
      <c r="J152" s="1"/>
      <c r="K152" s="10"/>
      <c r="L152" s="10"/>
      <c r="M152" s="10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thickTop="1" thickBot="1">
      <c r="A153" s="21"/>
      <c r="B153" s="21"/>
      <c r="C153" s="21"/>
      <c r="D153" s="21"/>
      <c r="E153" s="2"/>
      <c r="F153" s="21">
        <v>11</v>
      </c>
      <c r="G153" s="21">
        <v>500000</v>
      </c>
      <c r="H153" s="21">
        <f>VLOOKUP(F153&amp;"|"&amp;G153,$O$3:$P$16,2,FALSE)</f>
        <v>1650</v>
      </c>
      <c r="I153" s="21">
        <f>VLOOKUP(F153&amp;"|"&amp;G153,$Q$3:$R$16,2,FALSE)</f>
        <v>23350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thickTop="1" thickBot="1">
      <c r="A154" s="21"/>
      <c r="B154" s="21"/>
      <c r="C154" s="21"/>
      <c r="D154" s="21"/>
      <c r="E154" s="2"/>
      <c r="F154" s="21">
        <v>18</v>
      </c>
      <c r="G154" s="21">
        <v>500000</v>
      </c>
      <c r="H154" s="21">
        <f>VLOOKUP(F154&amp;"|"&amp;G154,$O$3:$P$16,2,FALSE)</f>
        <v>150</v>
      </c>
      <c r="I154" s="21">
        <f>VLOOKUP(F154&amp;"|"&amp;G154,$Q$3:$R$16,2,FALSE)</f>
        <v>24850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thickTop="1" thickBot="1">
      <c r="A155" s="21"/>
      <c r="B155" s="21"/>
      <c r="C155" s="21"/>
      <c r="D155" s="21"/>
      <c r="E155" s="2"/>
      <c r="F155" s="21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thickTop="1" thickBot="1">
      <c r="A156" s="21"/>
      <c r="B156" s="21"/>
      <c r="C156" s="21"/>
      <c r="D156" s="21"/>
      <c r="E156" s="2"/>
      <c r="F156" s="21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thickTop="1" thickBot="1">
      <c r="A157" s="21" t="s">
        <v>16</v>
      </c>
      <c r="B157" s="21"/>
      <c r="C157" s="21"/>
      <c r="D157" s="21">
        <f>SUM(D152:D156)</f>
        <v>49700</v>
      </c>
      <c r="E157" s="2"/>
      <c r="F157" s="84" t="s">
        <v>16</v>
      </c>
      <c r="G157" s="85"/>
      <c r="H157" s="86"/>
      <c r="I157" s="21">
        <f>SUM(I152:I156)</f>
        <v>72200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thickTop="1" thickBo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thickTop="1" thickBot="1">
      <c r="A159" s="21" t="s">
        <v>0</v>
      </c>
      <c r="B159" s="21" t="s">
        <v>82</v>
      </c>
      <c r="C159" s="21" t="s">
        <v>24</v>
      </c>
      <c r="D159" s="9">
        <v>45844</v>
      </c>
      <c r="E159" s="2"/>
      <c r="F159" s="21" t="s">
        <v>0</v>
      </c>
      <c r="G159" s="21" t="s">
        <v>21</v>
      </c>
      <c r="H159" s="21" t="s">
        <v>83</v>
      </c>
      <c r="I159" s="9">
        <v>45844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thickTop="1" thickBot="1">
      <c r="A160" s="21" t="s">
        <v>6</v>
      </c>
      <c r="B160" s="21" t="s">
        <v>7</v>
      </c>
      <c r="C160" s="21" t="s">
        <v>8</v>
      </c>
      <c r="D160" s="21" t="s">
        <v>9</v>
      </c>
      <c r="E160" s="2"/>
      <c r="F160" s="21" t="s">
        <v>6</v>
      </c>
      <c r="G160" s="21" t="s">
        <v>7</v>
      </c>
      <c r="H160" s="21" t="s">
        <v>8</v>
      </c>
      <c r="I160" s="21" t="s">
        <v>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thickTop="1" thickBot="1">
      <c r="A161" s="21">
        <v>14.1</v>
      </c>
      <c r="B161" s="21">
        <v>1000000</v>
      </c>
      <c r="C161" s="21">
        <f>VLOOKUP(A161&amp;"|"&amp;B161,$O$3:$P$16,2,FALSE)</f>
        <v>1850</v>
      </c>
      <c r="D161" s="21">
        <f>VLOOKUP(A161&amp;"|"&amp;B161,$Q$3:$R$16,2,FALSE)</f>
        <v>48150</v>
      </c>
      <c r="E161" s="2"/>
      <c r="F161" s="21">
        <v>14.1</v>
      </c>
      <c r="G161" s="21">
        <v>1000000</v>
      </c>
      <c r="H161" s="21">
        <f>VLOOKUP(F161&amp;"|"&amp;G161,$O$3:$P$16,2,FALSE)</f>
        <v>1850</v>
      </c>
      <c r="I161" s="21">
        <f>VLOOKUP(F161&amp;"|"&amp;G161,$Q$3:$R$16,2,FALSE)</f>
        <v>48150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thickTop="1" thickBot="1">
      <c r="A162" s="21"/>
      <c r="B162" s="21"/>
      <c r="C162" s="21"/>
      <c r="D162" s="21"/>
      <c r="E162" s="2"/>
      <c r="F162" s="21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thickTop="1" thickBot="1">
      <c r="A163" s="21"/>
      <c r="B163" s="21"/>
      <c r="C163" s="21"/>
      <c r="D163" s="21"/>
      <c r="E163" s="2"/>
      <c r="F163" s="21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thickTop="1" thickBot="1">
      <c r="A164" s="21"/>
      <c r="B164" s="21"/>
      <c r="C164" s="21"/>
      <c r="D164" s="21"/>
      <c r="E164" s="2"/>
      <c r="F164" s="21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thickTop="1" thickBot="1">
      <c r="A165" s="21"/>
      <c r="B165" s="21"/>
      <c r="C165" s="21"/>
      <c r="D165" s="21"/>
      <c r="E165" s="2"/>
      <c r="F165" s="21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thickTop="1" thickBot="1">
      <c r="A166" s="21" t="s">
        <v>16</v>
      </c>
      <c r="B166" s="21"/>
      <c r="C166" s="21"/>
      <c r="D166" s="21">
        <f>SUM(D161:D165)</f>
        <v>48150</v>
      </c>
      <c r="E166" s="2"/>
      <c r="F166" s="84" t="s">
        <v>16</v>
      </c>
      <c r="G166" s="85"/>
      <c r="H166" s="86"/>
      <c r="I166" s="21">
        <f>SUM(I161:I165)</f>
        <v>48150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thickTop="1" thickBo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thickTop="1" thickBot="1">
      <c r="A168" s="21" t="s">
        <v>0</v>
      </c>
      <c r="B168" s="21" t="s">
        <v>84</v>
      </c>
      <c r="C168" s="21" t="s">
        <v>72</v>
      </c>
      <c r="D168" s="9">
        <v>45844</v>
      </c>
      <c r="E168" s="2"/>
      <c r="F168" s="21" t="s">
        <v>0</v>
      </c>
      <c r="G168" s="21" t="s">
        <v>29</v>
      </c>
      <c r="H168" s="21" t="s">
        <v>43</v>
      </c>
      <c r="I168" s="9">
        <v>45844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thickTop="1" thickBot="1">
      <c r="A169" s="21" t="s">
        <v>6</v>
      </c>
      <c r="B169" s="21" t="s">
        <v>7</v>
      </c>
      <c r="C169" s="21" t="s">
        <v>8</v>
      </c>
      <c r="D169" s="21" t="s">
        <v>9</v>
      </c>
      <c r="E169" s="2"/>
      <c r="F169" s="21" t="s">
        <v>6</v>
      </c>
      <c r="G169" s="21" t="s">
        <v>7</v>
      </c>
      <c r="H169" s="21" t="s">
        <v>8</v>
      </c>
      <c r="I169" s="21" t="s">
        <v>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thickTop="1" thickBot="1">
      <c r="A170" s="21">
        <v>14.1</v>
      </c>
      <c r="B170" s="21">
        <v>1000000</v>
      </c>
      <c r="C170" s="21">
        <f>VLOOKUP(A170&amp;"|"&amp;B170,$O$3:$P$16,2,FALSE)</f>
        <v>1850</v>
      </c>
      <c r="D170" s="21">
        <f>VLOOKUP(A170&amp;"|"&amp;B170,$Q$3:$R$16,2,FALSE)</f>
        <v>48150</v>
      </c>
      <c r="E170" s="2" t="s">
        <v>85</v>
      </c>
      <c r="F170" s="21">
        <v>14</v>
      </c>
      <c r="G170" s="21">
        <v>1000000</v>
      </c>
      <c r="H170" s="21">
        <f>VLOOKUP(F170&amp;"|"&amp;G170,$O$3:$P$16,2,FALSE)</f>
        <v>1900</v>
      </c>
      <c r="I170" s="21">
        <f>VLOOKUP(F170&amp;"|"&amp;G170,$Q$3:$R$16,2,FALSE)</f>
        <v>48100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thickTop="1" thickBot="1">
      <c r="A171" s="21">
        <v>3</v>
      </c>
      <c r="B171" s="21">
        <v>1000000</v>
      </c>
      <c r="C171" s="21">
        <f>VLOOKUP(A171&amp;"|"&amp;B171,$O$3:$P$16,2,FALSE)</f>
        <v>6500</v>
      </c>
      <c r="D171" s="21">
        <f>VLOOKUP(A171&amp;"|"&amp;B171,$Q$3:$R$16,2,FALSE)</f>
        <v>43500</v>
      </c>
      <c r="E171" s="2"/>
      <c r="F171" s="21">
        <v>8</v>
      </c>
      <c r="G171" s="21">
        <v>500000</v>
      </c>
      <c r="H171" s="21">
        <f>VLOOKUP(F171&amp;"|"&amp;G171,$O$3:$P$16,2,FALSE)</f>
        <v>2500</v>
      </c>
      <c r="I171" s="21">
        <f>VLOOKUP(F171&amp;"|"&amp;G171,$Q$3:$R$16,2,FALSE)</f>
        <v>22500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thickTop="1" thickBot="1">
      <c r="A172" s="21"/>
      <c r="B172" s="21"/>
      <c r="C172" s="21"/>
      <c r="D172" s="21"/>
      <c r="E172" s="2"/>
      <c r="F172" s="21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thickTop="1" thickBot="1">
      <c r="A173" s="21"/>
      <c r="B173" s="21"/>
      <c r="C173" s="21"/>
      <c r="D173" s="21"/>
      <c r="E173" s="2"/>
      <c r="F173" s="21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thickTop="1" thickBot="1">
      <c r="A174" s="21"/>
      <c r="B174" s="21"/>
      <c r="C174" s="21"/>
      <c r="D174" s="21"/>
      <c r="E174" s="2"/>
      <c r="F174" s="21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thickTop="1" thickBot="1">
      <c r="A175" s="21" t="s">
        <v>16</v>
      </c>
      <c r="B175" s="21"/>
      <c r="C175" s="21"/>
      <c r="D175" s="21">
        <f>SUM(D170:D174)</f>
        <v>91650</v>
      </c>
      <c r="E175" s="2"/>
      <c r="F175" s="84" t="s">
        <v>16</v>
      </c>
      <c r="G175" s="85"/>
      <c r="H175" s="86"/>
      <c r="I175" s="21">
        <f>SUM(I170:I174)</f>
        <v>70600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thickTop="1" thickBo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thickTop="1" thickBot="1">
      <c r="A177" s="21" t="s">
        <v>0</v>
      </c>
      <c r="B177" s="21" t="s">
        <v>86</v>
      </c>
      <c r="C177" s="21" t="s">
        <v>62</v>
      </c>
      <c r="D177" s="9">
        <v>45844</v>
      </c>
      <c r="E177" s="2"/>
      <c r="F177" s="21" t="s">
        <v>0</v>
      </c>
      <c r="G177" s="21" t="s">
        <v>87</v>
      </c>
      <c r="H177" s="21" t="s">
        <v>76</v>
      </c>
      <c r="I177" s="9">
        <v>45844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thickTop="1" thickBot="1">
      <c r="A178" s="21" t="s">
        <v>6</v>
      </c>
      <c r="B178" s="21" t="s">
        <v>7</v>
      </c>
      <c r="C178" s="21" t="s">
        <v>8</v>
      </c>
      <c r="D178" s="21" t="s">
        <v>9</v>
      </c>
      <c r="E178" s="2"/>
      <c r="F178" s="21" t="s">
        <v>6</v>
      </c>
      <c r="G178" s="21" t="s">
        <v>7</v>
      </c>
      <c r="H178" s="21" t="s">
        <v>8</v>
      </c>
      <c r="I178" s="21" t="s">
        <v>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thickTop="1" thickBot="1">
      <c r="A179" s="21">
        <v>3</v>
      </c>
      <c r="B179" s="21">
        <v>2000000</v>
      </c>
      <c r="C179" s="21">
        <f>VLOOKUP(A179&amp;"|"&amp;B179,$O$3:$P$16,2,FALSE)</f>
        <v>13500</v>
      </c>
      <c r="D179" s="21">
        <f>VLOOKUP(A179&amp;"|"&amp;B179,$Q$3:$R$16,2,FALSE)</f>
        <v>86500</v>
      </c>
      <c r="E179" s="2"/>
      <c r="F179" s="21">
        <v>14.1</v>
      </c>
      <c r="G179" s="21">
        <v>1000000</v>
      </c>
      <c r="H179" s="21">
        <f>VLOOKUP(F179&amp;"|"&amp;G179,$O$3:$P$16,2,FALSE)</f>
        <v>1850</v>
      </c>
      <c r="I179" s="21">
        <f>VLOOKUP(F179&amp;"|"&amp;G179,$Q$3:$R$16,2,FALSE)</f>
        <v>48150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thickTop="1" thickBot="1">
      <c r="A180" s="21">
        <v>11</v>
      </c>
      <c r="B180" s="21">
        <v>500000</v>
      </c>
      <c r="C180" s="21">
        <f>VLOOKUP(A180&amp;"|"&amp;B180,$O$3:$P$16,2,FALSE)</f>
        <v>1650</v>
      </c>
      <c r="D180" s="21">
        <f>VLOOKUP(A180&amp;"|"&amp;B180,$Q$3:$R$16,2,FALSE)</f>
        <v>23350</v>
      </c>
      <c r="E180" s="2"/>
      <c r="F180" s="21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thickTop="1" thickBot="1">
      <c r="A181" s="21"/>
      <c r="B181" s="21"/>
      <c r="C181" s="21"/>
      <c r="D181" s="21"/>
      <c r="E181" s="2"/>
      <c r="F181" s="21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thickTop="1" thickBot="1">
      <c r="A182" s="21"/>
      <c r="B182" s="21"/>
      <c r="C182" s="21"/>
      <c r="D182" s="21"/>
      <c r="E182" s="2"/>
      <c r="F182" s="21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thickTop="1" thickBot="1">
      <c r="A183" s="21"/>
      <c r="B183" s="21"/>
      <c r="C183" s="21"/>
      <c r="D183" s="21"/>
      <c r="E183" s="2"/>
      <c r="F183" s="21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thickTop="1" thickBot="1">
      <c r="A184" s="21" t="s">
        <v>16</v>
      </c>
      <c r="B184" s="21"/>
      <c r="C184" s="21"/>
      <c r="D184" s="21">
        <f>SUM(D179:D183)</f>
        <v>109850</v>
      </c>
      <c r="E184" s="2"/>
      <c r="F184" s="84" t="s">
        <v>16</v>
      </c>
      <c r="G184" s="85"/>
      <c r="H184" s="86"/>
      <c r="I184" s="21">
        <f>SUM(I179:I183)</f>
        <v>48150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thickTop="1" thickBot="1">
      <c r="A185" s="2" t="s">
        <v>182</v>
      </c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thickTop="1" thickBot="1">
      <c r="A186" s="12" t="s">
        <v>3</v>
      </c>
      <c r="B186" s="12" t="s">
        <v>88</v>
      </c>
      <c r="C186" s="12" t="s">
        <v>76</v>
      </c>
      <c r="D186" s="9">
        <v>45844</v>
      </c>
      <c r="E186" s="2"/>
      <c r="F186" s="21" t="s">
        <v>0</v>
      </c>
      <c r="G186" s="21" t="s">
        <v>89</v>
      </c>
      <c r="H186" s="21" t="s">
        <v>90</v>
      </c>
      <c r="I186" s="9">
        <v>45844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thickTop="1" thickBot="1">
      <c r="A187" s="21" t="s">
        <v>91</v>
      </c>
      <c r="B187" s="21" t="s">
        <v>92</v>
      </c>
      <c r="C187" s="21" t="s">
        <v>93</v>
      </c>
      <c r="D187" s="21" t="s">
        <v>9</v>
      </c>
      <c r="E187" s="2"/>
      <c r="F187" s="21" t="s">
        <v>6</v>
      </c>
      <c r="G187" s="21" t="s">
        <v>7</v>
      </c>
      <c r="H187" s="21" t="s">
        <v>8</v>
      </c>
      <c r="I187" s="21" t="s">
        <v>9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thickTop="1" thickBot="1">
      <c r="A188" s="21">
        <v>18</v>
      </c>
      <c r="B188" s="21">
        <v>1000000</v>
      </c>
      <c r="C188" s="21">
        <f>VLOOKUP(A188&amp;"|"&amp;B188,$O$3:$P$17,2,FALSE)</f>
        <v>300</v>
      </c>
      <c r="D188" s="21">
        <f>VLOOKUP(A188&amp;"|"&amp;B188,$Q$3:$R$17,2,FALSE)</f>
        <v>49700</v>
      </c>
      <c r="E188" s="2"/>
      <c r="F188" s="21">
        <v>14.1</v>
      </c>
      <c r="G188" s="21">
        <v>500000</v>
      </c>
      <c r="H188" s="21">
        <f>VLOOKUP(F188&amp;"|"&amp;G188,$O$3:$P$16,2,FALSE)</f>
        <v>950</v>
      </c>
      <c r="I188" s="21">
        <f>VLOOKUP(F188&amp;"|"&amp;G188,$Q$3:$R$16,2,FALSE)</f>
        <v>24050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thickTop="1" thickBot="1">
      <c r="A189" s="21">
        <v>14.1</v>
      </c>
      <c r="B189" s="21">
        <v>1000000</v>
      </c>
      <c r="C189" s="21">
        <f>VLOOKUP(A189&amp;"|"&amp;B189,$O$3:$P$17,2,FALSE)</f>
        <v>1850</v>
      </c>
      <c r="D189" s="21">
        <f>VLOOKUP(A189&amp;"|"&amp;B189,$Q$3:$R$17,2,FALSE)</f>
        <v>48150</v>
      </c>
      <c r="E189" s="2"/>
      <c r="F189" s="21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thickTop="1" thickBot="1">
      <c r="A190" s="21"/>
      <c r="B190" s="21"/>
      <c r="C190" s="21"/>
      <c r="D190" s="21"/>
      <c r="E190" s="2"/>
      <c r="F190" s="21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thickTop="1" thickBot="1">
      <c r="A191" s="21"/>
      <c r="B191" s="21"/>
      <c r="C191" s="21"/>
      <c r="D191" s="21"/>
      <c r="E191" s="2"/>
      <c r="F191" s="21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thickTop="1" thickBot="1">
      <c r="A192" s="21"/>
      <c r="B192" s="21"/>
      <c r="C192" s="21"/>
      <c r="D192" s="21"/>
      <c r="E192" s="2"/>
      <c r="F192" s="21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thickTop="1" thickBot="1">
      <c r="A193" s="21" t="s">
        <v>16</v>
      </c>
      <c r="B193" s="21"/>
      <c r="C193" s="21"/>
      <c r="D193" s="21">
        <f>SUM(D188:D192)</f>
        <v>97850</v>
      </c>
      <c r="E193" s="2"/>
      <c r="F193" s="84" t="s">
        <v>16</v>
      </c>
      <c r="G193" s="85"/>
      <c r="H193" s="86"/>
      <c r="I193" s="21">
        <f>SUM(I188:I192)</f>
        <v>24050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thickTop="1" thickBo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thickTop="1" thickBot="1">
      <c r="A195" s="21" t="s">
        <v>0</v>
      </c>
      <c r="B195" s="21" t="s">
        <v>94</v>
      </c>
      <c r="C195" s="21" t="s">
        <v>24</v>
      </c>
      <c r="D195" s="9">
        <v>45844</v>
      </c>
      <c r="E195" s="2"/>
      <c r="F195" s="21" t="s">
        <v>0</v>
      </c>
      <c r="G195" s="21" t="s">
        <v>95</v>
      </c>
      <c r="H195" s="21" t="s">
        <v>96</v>
      </c>
      <c r="I195" s="9">
        <v>45844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thickTop="1" thickBot="1">
      <c r="A196" s="21" t="s">
        <v>6</v>
      </c>
      <c r="B196" s="21" t="s">
        <v>7</v>
      </c>
      <c r="C196" s="21" t="s">
        <v>8</v>
      </c>
      <c r="D196" s="21" t="s">
        <v>9</v>
      </c>
      <c r="E196" s="2"/>
      <c r="F196" s="21" t="s">
        <v>6</v>
      </c>
      <c r="G196" s="21" t="s">
        <v>7</v>
      </c>
      <c r="H196" s="21" t="s">
        <v>8</v>
      </c>
      <c r="I196" s="21" t="s">
        <v>9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thickTop="1" thickBot="1">
      <c r="A197" s="21">
        <v>14.1</v>
      </c>
      <c r="B197" s="21">
        <v>1000000</v>
      </c>
      <c r="C197" s="21">
        <f>VLOOKUP(A197&amp;"|"&amp;B197,$O$3:$P$16,2,FALSE)</f>
        <v>1850</v>
      </c>
      <c r="D197" s="21">
        <f>VLOOKUP(A197&amp;"|"&amp;B197,$Q$3:$R$16,2,FALSE)</f>
        <v>48150</v>
      </c>
      <c r="E197" s="2"/>
      <c r="F197" s="21">
        <v>14</v>
      </c>
      <c r="G197" s="21">
        <v>1000000</v>
      </c>
      <c r="H197" s="21">
        <f>VLOOKUP(F197&amp;"|"&amp;G197,$O$3:$P$16,2,FALSE)</f>
        <v>1900</v>
      </c>
      <c r="I197" s="21">
        <f>VLOOKUP(F197&amp;"|"&amp;G197,$Q$3:$R$16,2,FALSE)</f>
        <v>48100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thickTop="1" thickBot="1">
      <c r="A198" s="21">
        <v>3</v>
      </c>
      <c r="B198" s="21">
        <v>1000000</v>
      </c>
      <c r="C198" s="21">
        <f>VLOOKUP(A198&amp;"|"&amp;B198,$O$3:$P$16,2,FALSE)</f>
        <v>6500</v>
      </c>
      <c r="D198" s="21">
        <f>VLOOKUP(A198&amp;"|"&amp;B198,$Q$3:$R$16,2,FALSE)</f>
        <v>43500</v>
      </c>
      <c r="E198" s="2"/>
      <c r="F198" s="21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thickTop="1" thickBot="1">
      <c r="A199" s="21"/>
      <c r="B199" s="21"/>
      <c r="C199" s="21"/>
      <c r="D199" s="21"/>
      <c r="E199" s="2"/>
      <c r="F199" s="21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thickTop="1" thickBot="1">
      <c r="A200" s="21"/>
      <c r="B200" s="21"/>
      <c r="C200" s="21"/>
      <c r="D200" s="21"/>
      <c r="E200" s="2"/>
      <c r="F200" s="21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thickTop="1" thickBot="1">
      <c r="A201" s="21"/>
      <c r="B201" s="21"/>
      <c r="C201" s="21"/>
      <c r="D201" s="21"/>
      <c r="E201" s="2"/>
      <c r="F201" s="21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thickTop="1" thickBot="1">
      <c r="A202" s="21" t="s">
        <v>16</v>
      </c>
      <c r="B202" s="21"/>
      <c r="C202" s="21"/>
      <c r="D202" s="21">
        <f>SUM(D197:D201)</f>
        <v>91650</v>
      </c>
      <c r="E202" s="2"/>
      <c r="F202" s="84" t="s">
        <v>16</v>
      </c>
      <c r="G202" s="85"/>
      <c r="H202" s="86"/>
      <c r="I202" s="21">
        <f>SUM(I197:I201)</f>
        <v>48100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thickTop="1" thickBo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thickTop="1" thickBot="1">
      <c r="A204" s="12" t="s">
        <v>3</v>
      </c>
      <c r="B204" s="12" t="s">
        <v>97</v>
      </c>
      <c r="C204" s="12" t="s">
        <v>98</v>
      </c>
      <c r="D204" s="9">
        <v>45844</v>
      </c>
      <c r="F204" s="12" t="s">
        <v>3</v>
      </c>
      <c r="G204" s="12" t="s">
        <v>99</v>
      </c>
      <c r="H204" s="12" t="s">
        <v>100</v>
      </c>
      <c r="I204" s="9">
        <v>45844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thickTop="1" thickBot="1">
      <c r="A205" s="21" t="s">
        <v>6</v>
      </c>
      <c r="B205" s="21" t="s">
        <v>7</v>
      </c>
      <c r="C205" s="21" t="s">
        <v>8</v>
      </c>
      <c r="D205" s="21" t="s">
        <v>9</v>
      </c>
      <c r="F205" s="21" t="s">
        <v>91</v>
      </c>
      <c r="G205" s="21" t="s">
        <v>92</v>
      </c>
      <c r="H205" s="21" t="s">
        <v>93</v>
      </c>
      <c r="I205" s="21" t="s">
        <v>9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thickTop="1" thickBot="1">
      <c r="A206" s="21">
        <v>14</v>
      </c>
      <c r="B206" s="21">
        <v>1000000</v>
      </c>
      <c r="C206" s="21">
        <f>VLOOKUP(A206&amp;"|"&amp;B206,$O$3:$P$18,2,FALSE)</f>
        <v>1900</v>
      </c>
      <c r="D206" s="21">
        <f>VLOOKUP(A206&amp;"|"&amp;B206,$Q$3:$R$17,2,FALSE)</f>
        <v>48100</v>
      </c>
      <c r="F206" s="21">
        <v>18</v>
      </c>
      <c r="G206" s="21">
        <v>500000</v>
      </c>
      <c r="H206" s="21">
        <f>VLOOKUP(F206&amp;"|"&amp;G206,$O$3:$P$17,2,FALSE)</f>
        <v>150</v>
      </c>
      <c r="I206" s="21">
        <f>VLOOKUP(F206&amp;"|"&amp;G206,$Q$3:$R$17,2,FALSE)</f>
        <v>24850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thickTop="1" thickBot="1">
      <c r="A207" s="21">
        <v>14.1</v>
      </c>
      <c r="B207" s="21">
        <v>1000000</v>
      </c>
      <c r="C207" s="21">
        <f>VLOOKUP(A207&amp;"|"&amp;B207,$O$3:$P$17,2,FALSE)</f>
        <v>1850</v>
      </c>
      <c r="D207" s="21">
        <f>VLOOKUP(A207&amp;"|"&amp;B207,$Q$3:$R$17,2,FALSE)</f>
        <v>48150</v>
      </c>
      <c r="F207" s="21">
        <v>3</v>
      </c>
      <c r="G207" s="21">
        <v>1000000</v>
      </c>
      <c r="H207" s="21">
        <f>VLOOKUP(F207&amp;"|"&amp;G207,$O$3:$P$17,2,FALSE)</f>
        <v>6500</v>
      </c>
      <c r="I207" s="21">
        <f>VLOOKUP(F207&amp;"|"&amp;G207,$Q$3:$R$17,2,FALSE)</f>
        <v>43500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thickTop="1" thickBot="1">
      <c r="A208" s="21"/>
      <c r="B208" s="21"/>
      <c r="C208" s="21"/>
      <c r="D208" s="21"/>
      <c r="E208" s="2"/>
      <c r="F208" s="21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thickTop="1" thickBot="1">
      <c r="A209" s="21"/>
      <c r="B209" s="21"/>
      <c r="C209" s="21"/>
      <c r="D209" s="21"/>
      <c r="E209" s="2"/>
      <c r="F209" s="21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thickTop="1" thickBot="1">
      <c r="A210" s="21"/>
      <c r="B210" s="21"/>
      <c r="C210" s="21"/>
      <c r="D210" s="21"/>
      <c r="E210" s="2"/>
      <c r="F210" s="21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thickTop="1" thickBot="1">
      <c r="A211" s="21" t="s">
        <v>16</v>
      </c>
      <c r="B211" s="21"/>
      <c r="C211" s="21"/>
      <c r="D211" s="21">
        <f>SUM(D206:D210)</f>
        <v>96250</v>
      </c>
      <c r="E211" s="2"/>
      <c r="F211" s="84" t="s">
        <v>16</v>
      </c>
      <c r="G211" s="85"/>
      <c r="H211" s="86"/>
      <c r="I211" s="21">
        <f>SUM(I206:I210)</f>
        <v>68350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thickTop="1" thickBo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thickTop="1" thickBot="1">
      <c r="A213" s="21" t="s">
        <v>0</v>
      </c>
      <c r="B213" s="21" t="s">
        <v>57</v>
      </c>
      <c r="C213" s="21" t="s">
        <v>101</v>
      </c>
      <c r="D213" s="9">
        <v>45844</v>
      </c>
      <c r="E213" s="2"/>
      <c r="F213" s="21" t="s">
        <v>0</v>
      </c>
      <c r="G213" s="21" t="s">
        <v>35</v>
      </c>
      <c r="H213" s="21" t="s">
        <v>102</v>
      </c>
      <c r="I213" s="9">
        <v>45844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thickTop="1" thickBot="1">
      <c r="A214" s="21" t="s">
        <v>6</v>
      </c>
      <c r="B214" s="21" t="s">
        <v>7</v>
      </c>
      <c r="C214" s="21" t="s">
        <v>8</v>
      </c>
      <c r="D214" s="21" t="s">
        <v>9</v>
      </c>
      <c r="E214" s="2"/>
      <c r="F214" s="21" t="s">
        <v>6</v>
      </c>
      <c r="G214" s="21" t="s">
        <v>7</v>
      </c>
      <c r="H214" s="21" t="s">
        <v>8</v>
      </c>
      <c r="I214" s="21" t="s">
        <v>9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thickTop="1" thickBot="1">
      <c r="A215" s="21">
        <v>18</v>
      </c>
      <c r="B215" s="21">
        <v>500000</v>
      </c>
      <c r="C215" s="21">
        <f>VLOOKUP(A215&amp;"|"&amp;B215,$O$3:$P$16,2,FALSE)</f>
        <v>150</v>
      </c>
      <c r="D215" s="21">
        <f>VLOOKUP(A215&amp;"|"&amp;B215,$Q$3:$R$16,2,FALSE)</f>
        <v>24850</v>
      </c>
      <c r="E215" s="2"/>
      <c r="F215" s="21">
        <v>18</v>
      </c>
      <c r="G215" s="21">
        <v>500000</v>
      </c>
      <c r="H215" s="21">
        <f>VLOOKUP(F215&amp;"|"&amp;G215,$O$3:$P$16,2,FALSE)</f>
        <v>150</v>
      </c>
      <c r="I215" s="21">
        <f>VLOOKUP(F215&amp;"|"&amp;G215,$Q$3:$R$16,2,FALSE)</f>
        <v>24850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thickTop="1" thickBot="1">
      <c r="A216" s="21"/>
      <c r="B216" s="21"/>
      <c r="C216" s="21"/>
      <c r="D216" s="21"/>
      <c r="E216" s="2"/>
      <c r="F216" s="21">
        <v>11</v>
      </c>
      <c r="G216" s="21">
        <v>500000</v>
      </c>
      <c r="H216" s="21">
        <f>VLOOKUP(F216&amp;"|"&amp;G216,$O$3:$P$16,2,FALSE)</f>
        <v>1650</v>
      </c>
      <c r="I216" s="21">
        <f>VLOOKUP(F216&amp;"|"&amp;G216,$Q$3:$R$16,2,FALSE)</f>
        <v>23350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thickTop="1" thickBot="1">
      <c r="A217" s="21"/>
      <c r="B217" s="21"/>
      <c r="C217" s="21"/>
      <c r="D217" s="21"/>
      <c r="E217" s="2"/>
      <c r="F217" s="21"/>
      <c r="G217" s="21"/>
      <c r="H217" s="21"/>
      <c r="I217" s="21"/>
      <c r="J217" s="44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thickTop="1" thickBot="1">
      <c r="A218" s="21"/>
      <c r="B218" s="21"/>
      <c r="C218" s="21"/>
      <c r="D218" s="21"/>
      <c r="E218" s="2"/>
      <c r="F218" s="21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thickTop="1" thickBot="1">
      <c r="A219" s="21"/>
      <c r="B219" s="21"/>
      <c r="C219" s="21"/>
      <c r="D219" s="21"/>
      <c r="E219" s="2"/>
      <c r="F219" s="21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thickTop="1" thickBot="1">
      <c r="A220" s="21" t="s">
        <v>16</v>
      </c>
      <c r="B220" s="21"/>
      <c r="C220" s="21"/>
      <c r="D220" s="21">
        <f>SUM(D215:D219)</f>
        <v>24850</v>
      </c>
      <c r="E220" s="2"/>
      <c r="F220" s="84" t="s">
        <v>16</v>
      </c>
      <c r="G220" s="85"/>
      <c r="H220" s="86"/>
      <c r="I220" s="21">
        <f>SUM(I215:I219)</f>
        <v>48200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thickTop="1" thickBo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thickTop="1" thickBot="1">
      <c r="A222" s="21" t="s">
        <v>0</v>
      </c>
      <c r="B222" s="21" t="s">
        <v>88</v>
      </c>
      <c r="C222" s="21" t="s">
        <v>24</v>
      </c>
      <c r="D222" s="9">
        <v>45844</v>
      </c>
      <c r="E222" s="2"/>
      <c r="F222" s="21" t="s">
        <v>0</v>
      </c>
      <c r="G222" s="21" t="s">
        <v>103</v>
      </c>
      <c r="H222" s="21" t="s">
        <v>104</v>
      </c>
      <c r="I222" s="9">
        <v>45844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thickTop="1" thickBot="1">
      <c r="A223" s="21" t="s">
        <v>6</v>
      </c>
      <c r="B223" s="21" t="s">
        <v>7</v>
      </c>
      <c r="C223" s="21" t="s">
        <v>8</v>
      </c>
      <c r="D223" s="21" t="s">
        <v>9</v>
      </c>
      <c r="E223" s="2"/>
      <c r="F223" s="21" t="s">
        <v>6</v>
      </c>
      <c r="G223" s="21" t="s">
        <v>7</v>
      </c>
      <c r="H223" s="21" t="s">
        <v>8</v>
      </c>
      <c r="I223" s="21" t="s">
        <v>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thickTop="1" thickBot="1">
      <c r="A224" s="21">
        <v>8</v>
      </c>
      <c r="B224" s="21">
        <v>500000</v>
      </c>
      <c r="C224" s="21">
        <f>VLOOKUP(A224&amp;"|"&amp;B224,$O$3:$P$16,2,FALSE)</f>
        <v>2500</v>
      </c>
      <c r="D224" s="21">
        <f>VLOOKUP(A224&amp;"|"&amp;B224,$Q$3:$R$16,2,FALSE)</f>
        <v>22500</v>
      </c>
      <c r="E224" s="2"/>
      <c r="F224" s="21">
        <v>8</v>
      </c>
      <c r="G224" s="21">
        <v>500000</v>
      </c>
      <c r="H224" s="21">
        <f>VLOOKUP(F224&amp;"|"&amp;G224,$O$3:$P$16,2,FALSE)</f>
        <v>2500</v>
      </c>
      <c r="I224" s="21">
        <f>VLOOKUP(F224&amp;"|"&amp;G224,$Q$3:$R$16,2,FALSE)</f>
        <v>22500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thickTop="1" thickBot="1">
      <c r="A225" s="21"/>
      <c r="B225" s="21"/>
      <c r="C225" s="21"/>
      <c r="D225" s="21"/>
      <c r="E225" s="2"/>
      <c r="F225" s="21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thickTop="1" thickBot="1">
      <c r="A226" s="21"/>
      <c r="B226" s="21"/>
      <c r="C226" s="21"/>
      <c r="D226" s="21"/>
      <c r="E226" s="2"/>
      <c r="F226" s="21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thickTop="1" thickBot="1">
      <c r="A227" s="21"/>
      <c r="B227" s="21"/>
      <c r="C227" s="21"/>
      <c r="D227" s="21"/>
      <c r="E227" s="2"/>
      <c r="F227" s="21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thickTop="1" thickBot="1">
      <c r="A228" s="21"/>
      <c r="B228" s="21"/>
      <c r="C228" s="21"/>
      <c r="D228" s="21"/>
      <c r="E228" s="2"/>
      <c r="F228" s="21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thickTop="1" thickBot="1">
      <c r="A229" s="21" t="s">
        <v>16</v>
      </c>
      <c r="B229" s="21"/>
      <c r="C229" s="21"/>
      <c r="D229" s="21">
        <f>SUM(D224:D228)</f>
        <v>22500</v>
      </c>
      <c r="E229" s="2"/>
      <c r="F229" s="84" t="s">
        <v>16</v>
      </c>
      <c r="G229" s="85"/>
      <c r="H229" s="86"/>
      <c r="I229" s="21">
        <f>SUM(I224:I228)</f>
        <v>22500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thickTop="1" thickBo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thickTop="1" thickBot="1">
      <c r="A231" s="21" t="s">
        <v>0</v>
      </c>
      <c r="B231" s="21" t="s">
        <v>71</v>
      </c>
      <c r="C231" s="21" t="s">
        <v>105</v>
      </c>
      <c r="D231" s="9">
        <v>45844</v>
      </c>
      <c r="E231" s="2"/>
      <c r="F231" s="21" t="s">
        <v>0</v>
      </c>
      <c r="G231" s="21" t="s">
        <v>106</v>
      </c>
      <c r="H231" s="21" t="s">
        <v>81</v>
      </c>
      <c r="I231" s="9">
        <v>45844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thickTop="1" thickBot="1">
      <c r="A232" s="21" t="s">
        <v>6</v>
      </c>
      <c r="B232" s="21" t="s">
        <v>7</v>
      </c>
      <c r="C232" s="21" t="s">
        <v>8</v>
      </c>
      <c r="D232" s="21" t="s">
        <v>9</v>
      </c>
      <c r="E232" s="2"/>
      <c r="F232" s="21" t="s">
        <v>6</v>
      </c>
      <c r="G232" s="21" t="s">
        <v>7</v>
      </c>
      <c r="H232" s="21" t="s">
        <v>8</v>
      </c>
      <c r="I232" s="21" t="s">
        <v>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thickTop="1" thickBot="1">
      <c r="A233" s="21">
        <v>3</v>
      </c>
      <c r="B233" s="21">
        <v>500000</v>
      </c>
      <c r="C233" s="21">
        <f>VLOOKUP(A233&amp;"|"&amp;B233,$O$3:$P$16,2,FALSE)</f>
        <v>3600</v>
      </c>
      <c r="D233" s="21">
        <f>VLOOKUP(A233&amp;"|"&amp;B233,$Q$3:$R$16,2,FALSE)</f>
        <v>21400</v>
      </c>
      <c r="E233" s="2"/>
      <c r="F233" s="21">
        <v>3</v>
      </c>
      <c r="G233" s="21">
        <v>2000000</v>
      </c>
      <c r="H233" s="21">
        <f>VLOOKUP(F233&amp;"|"&amp;G233,$O$3:$P$19,2,FALSE)</f>
        <v>13500</v>
      </c>
      <c r="I233" s="21">
        <f>VLOOKUP(F233&amp;"|"&amp;G233,$Q$3:$R$19,2,FALSE)</f>
        <v>86500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thickTop="1" thickBot="1">
      <c r="A234" s="21"/>
      <c r="B234" s="21"/>
      <c r="C234" s="21"/>
      <c r="D234" s="21"/>
      <c r="E234" s="2"/>
      <c r="F234" s="21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thickTop="1" thickBot="1">
      <c r="A235" s="21"/>
      <c r="B235" s="21"/>
      <c r="C235" s="21"/>
      <c r="D235" s="21"/>
      <c r="E235" s="2"/>
      <c r="F235" s="21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thickTop="1" thickBot="1">
      <c r="A236" s="21"/>
      <c r="B236" s="21"/>
      <c r="C236" s="21"/>
      <c r="D236" s="21"/>
      <c r="E236" s="2"/>
      <c r="F236" s="21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thickTop="1" thickBot="1">
      <c r="A237" s="21"/>
      <c r="B237" s="21"/>
      <c r="C237" s="21"/>
      <c r="D237" s="21"/>
      <c r="E237" s="2"/>
      <c r="F237" s="21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thickTop="1" thickBot="1">
      <c r="A238" s="21" t="s">
        <v>16</v>
      </c>
      <c r="B238" s="21"/>
      <c r="C238" s="21"/>
      <c r="D238" s="21">
        <f>SUM(D233:D237)</f>
        <v>21400</v>
      </c>
      <c r="E238" s="2"/>
      <c r="F238" s="84" t="s">
        <v>16</v>
      </c>
      <c r="G238" s="85"/>
      <c r="H238" s="86"/>
      <c r="I238" s="21">
        <f>SUM(I233:I237)</f>
        <v>86500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thickTop="1" thickBo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thickTop="1" thickBot="1">
      <c r="A240" s="21" t="s">
        <v>0</v>
      </c>
      <c r="B240" s="21" t="s">
        <v>194</v>
      </c>
      <c r="C240" s="21" t="s">
        <v>72</v>
      </c>
      <c r="D240" s="9">
        <v>45844</v>
      </c>
      <c r="E240" s="2"/>
      <c r="F240" s="21" t="s">
        <v>0</v>
      </c>
      <c r="G240" s="21" t="s">
        <v>107</v>
      </c>
      <c r="H240" s="21" t="s">
        <v>108</v>
      </c>
      <c r="I240" s="9">
        <v>45844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thickTop="1" thickBot="1">
      <c r="A241" s="21" t="s">
        <v>6</v>
      </c>
      <c r="B241" s="21" t="s">
        <v>7</v>
      </c>
      <c r="C241" s="21" t="s">
        <v>8</v>
      </c>
      <c r="D241" s="21" t="s">
        <v>9</v>
      </c>
      <c r="E241" s="2"/>
      <c r="F241" s="21" t="s">
        <v>6</v>
      </c>
      <c r="G241" s="21" t="s">
        <v>7</v>
      </c>
      <c r="H241" s="21" t="s">
        <v>8</v>
      </c>
      <c r="I241" s="21" t="s">
        <v>9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thickTop="1" thickBot="1">
      <c r="A242" s="21">
        <v>3</v>
      </c>
      <c r="B242" s="21">
        <v>1000000</v>
      </c>
      <c r="C242" s="21">
        <f>VLOOKUP(A242&amp;"|"&amp;B242,$O$3:$P$19,2,FALSE)</f>
        <v>6500</v>
      </c>
      <c r="D242" s="21">
        <f>VLOOKUP(A242&amp;"|"&amp;B242,$Q$3:$R$19,2,FALSE)</f>
        <v>43500</v>
      </c>
      <c r="E242" s="2"/>
      <c r="F242" s="21">
        <v>18</v>
      </c>
      <c r="G242" s="21">
        <v>1000000</v>
      </c>
      <c r="H242" s="21">
        <f>VLOOKUP(F242&amp;"|"&amp;G242,$O$3:$P$16,2,FALSE)</f>
        <v>300</v>
      </c>
      <c r="I242" s="21">
        <f>VLOOKUP(F242&amp;"|"&amp;G242,$Q$3:$R$16,2,FALSE)</f>
        <v>49700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thickTop="1" thickBot="1">
      <c r="A243" s="21"/>
      <c r="B243" s="21"/>
      <c r="C243" s="21"/>
      <c r="D243" s="21"/>
      <c r="E243" s="2"/>
      <c r="F243" s="21">
        <v>3</v>
      </c>
      <c r="G243" s="21">
        <v>2000000</v>
      </c>
      <c r="H243" s="21">
        <f>VLOOKUP(F243&amp;"|"&amp;G243,$O$3:$P$16,2,FALSE)</f>
        <v>13500</v>
      </c>
      <c r="I243" s="21">
        <f>VLOOKUP(F243&amp;"|"&amp;G243,$Q$3:$R$16,2,FALSE)</f>
        <v>86500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thickTop="1" thickBot="1">
      <c r="A244" s="21"/>
      <c r="B244" s="21"/>
      <c r="C244" s="21"/>
      <c r="D244" s="21"/>
      <c r="E244" s="2"/>
      <c r="F244" s="21">
        <v>11</v>
      </c>
      <c r="G244" s="21">
        <v>500000</v>
      </c>
      <c r="H244" s="21">
        <f>VLOOKUP(F244&amp;"|"&amp;G244,$O$3:$P$16,2,FALSE)</f>
        <v>1650</v>
      </c>
      <c r="I244" s="21">
        <f>VLOOKUP(F244&amp;"|"&amp;G244,$Q$3:$R$16,2,FALSE)</f>
        <v>23350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thickTop="1" thickBot="1">
      <c r="A245" s="21"/>
      <c r="B245" s="21"/>
      <c r="C245" s="21"/>
      <c r="D245" s="21"/>
      <c r="E245" s="2"/>
      <c r="F245" s="21">
        <v>11</v>
      </c>
      <c r="G245" s="21">
        <v>500000</v>
      </c>
      <c r="H245" s="21">
        <f>VLOOKUP(F245&amp;"|"&amp;G245,$O$3:$P$16,2,FALSE)</f>
        <v>1650</v>
      </c>
      <c r="I245" s="21">
        <f>VLOOKUP(F245&amp;"|"&amp;G245,$Q$3:$R$16,2,FALSE)</f>
        <v>23350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thickTop="1" thickBot="1">
      <c r="A246" s="21"/>
      <c r="B246" s="21"/>
      <c r="C246" s="21"/>
      <c r="D246" s="21"/>
      <c r="E246" s="2"/>
      <c r="F246" s="21"/>
      <c r="G246" s="21"/>
      <c r="H246" s="21"/>
      <c r="I246" s="2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thickTop="1" thickBot="1">
      <c r="A247" s="21" t="s">
        <v>16</v>
      </c>
      <c r="B247" s="21"/>
      <c r="C247" s="21"/>
      <c r="D247" s="21">
        <f>SUM(D242:D246)</f>
        <v>43500</v>
      </c>
      <c r="E247" s="2"/>
      <c r="F247" s="84" t="s">
        <v>16</v>
      </c>
      <c r="G247" s="85"/>
      <c r="H247" s="86"/>
      <c r="I247" s="21">
        <f>SUM(I242:I246)</f>
        <v>182900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thickTop="1" thickBo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thickTop="1" thickBot="1">
      <c r="A249" s="21" t="s">
        <v>0</v>
      </c>
      <c r="B249" s="21" t="s">
        <v>109</v>
      </c>
      <c r="C249" s="21" t="s">
        <v>110</v>
      </c>
      <c r="D249" s="9">
        <v>45844</v>
      </c>
      <c r="E249" s="2"/>
      <c r="F249" s="21" t="s">
        <v>0</v>
      </c>
      <c r="G249" s="21" t="s">
        <v>187</v>
      </c>
      <c r="H249" s="21" t="s">
        <v>38</v>
      </c>
      <c r="I249" s="9">
        <v>45844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thickTop="1" thickBot="1">
      <c r="A250" s="21" t="s">
        <v>6</v>
      </c>
      <c r="B250" s="21" t="s">
        <v>7</v>
      </c>
      <c r="C250" s="21" t="s">
        <v>8</v>
      </c>
      <c r="D250" s="21" t="s">
        <v>9</v>
      </c>
      <c r="E250" s="2"/>
      <c r="F250" s="21" t="s">
        <v>6</v>
      </c>
      <c r="G250" s="21" t="s">
        <v>7</v>
      </c>
      <c r="H250" s="21" t="s">
        <v>8</v>
      </c>
      <c r="I250" s="21" t="s">
        <v>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thickTop="1" thickBot="1">
      <c r="A251" s="21">
        <v>18</v>
      </c>
      <c r="B251" s="21">
        <v>1000000</v>
      </c>
      <c r="C251" s="21">
        <f>VLOOKUP(A251&amp;"|"&amp;B251,$O$3:$P$16,2,FALSE)</f>
        <v>300</v>
      </c>
      <c r="D251" s="21">
        <f>VLOOKUP(A251&amp;"|"&amp;B251,$Q$3:$R$16,2,FALSE)</f>
        <v>49700</v>
      </c>
      <c r="E251" s="2"/>
      <c r="F251" s="21">
        <v>8</v>
      </c>
      <c r="G251" s="21">
        <v>500000</v>
      </c>
      <c r="H251" s="21">
        <f>VLOOKUP(F251&amp;"|"&amp;G251,$O$3:$P$16,2,FALSE)</f>
        <v>2500</v>
      </c>
      <c r="I251" s="21">
        <f>VLOOKUP(F251&amp;"|"&amp;G251,$Q$3:$R$16,2,FALSE)</f>
        <v>22500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thickTop="1" thickBot="1">
      <c r="A252" s="21">
        <v>18</v>
      </c>
      <c r="B252" s="21">
        <v>1000000</v>
      </c>
      <c r="C252" s="21">
        <f>VLOOKUP(A252&amp;"|"&amp;B252,$O$3:$P$16,2,FALSE)</f>
        <v>300</v>
      </c>
      <c r="D252" s="21">
        <f>VLOOKUP(A252&amp;"|"&amp;B252,$Q$3:$R$16,2,FALSE)</f>
        <v>49700</v>
      </c>
      <c r="E252" s="2"/>
      <c r="F252" s="21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thickTop="1" thickBot="1">
      <c r="A253" s="21"/>
      <c r="B253" s="21"/>
      <c r="C253" s="21"/>
      <c r="D253" s="21"/>
      <c r="E253" s="2"/>
      <c r="F253" s="21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thickTop="1" thickBot="1">
      <c r="A254" s="21"/>
      <c r="B254" s="21"/>
      <c r="C254" s="21"/>
      <c r="D254" s="21"/>
      <c r="E254" s="2"/>
      <c r="F254" s="21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thickTop="1" thickBot="1">
      <c r="A255" s="21"/>
      <c r="B255" s="21"/>
      <c r="C255" s="21"/>
      <c r="D255" s="21"/>
      <c r="E255" s="2"/>
      <c r="F255" s="21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thickTop="1" thickBot="1">
      <c r="A256" s="21" t="s">
        <v>16</v>
      </c>
      <c r="B256" s="21"/>
      <c r="C256" s="21"/>
      <c r="D256" s="21">
        <f>SUM(D251:D255)</f>
        <v>99400</v>
      </c>
      <c r="E256" s="2"/>
      <c r="F256" s="84" t="s">
        <v>16</v>
      </c>
      <c r="G256" s="85"/>
      <c r="H256" s="86"/>
      <c r="I256" s="21">
        <f>SUM(I251:I255)</f>
        <v>22500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thickTop="1" thickBo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thickTop="1" thickBot="1">
      <c r="A258" s="21" t="s">
        <v>0</v>
      </c>
      <c r="B258" s="21" t="s">
        <v>111</v>
      </c>
      <c r="C258" s="21" t="s">
        <v>18</v>
      </c>
      <c r="D258" s="9">
        <v>45844</v>
      </c>
      <c r="E258" s="2"/>
      <c r="F258" s="21" t="s">
        <v>0</v>
      </c>
      <c r="G258" s="21" t="s">
        <v>112</v>
      </c>
      <c r="H258" s="21" t="s">
        <v>113</v>
      </c>
      <c r="I258" s="9">
        <v>45844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thickTop="1" thickBot="1">
      <c r="A259" s="21" t="s">
        <v>6</v>
      </c>
      <c r="B259" s="21" t="s">
        <v>7</v>
      </c>
      <c r="C259" s="21" t="s">
        <v>8</v>
      </c>
      <c r="D259" s="21" t="s">
        <v>9</v>
      </c>
      <c r="E259" s="2"/>
      <c r="F259" s="21" t="s">
        <v>6</v>
      </c>
      <c r="G259" s="21" t="s">
        <v>7</v>
      </c>
      <c r="H259" s="21" t="s">
        <v>8</v>
      </c>
      <c r="I259" s="21" t="s">
        <v>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thickTop="1" thickBot="1">
      <c r="A260" s="21">
        <v>14</v>
      </c>
      <c r="B260" s="21">
        <v>500000</v>
      </c>
      <c r="C260" s="21">
        <f>VLOOKUP(A260&amp;"|"&amp;B260,$O$3:$P$18,2,FALSE)</f>
        <v>1000</v>
      </c>
      <c r="D260" s="21">
        <f>VLOOKUP(A260&amp;"|"&amp;B260,$Q$3:$R$18,2,FALSE)</f>
        <v>24000</v>
      </c>
      <c r="E260" s="2"/>
      <c r="F260" s="21">
        <v>18</v>
      </c>
      <c r="G260" s="21">
        <v>500000</v>
      </c>
      <c r="H260" s="21">
        <f>VLOOKUP(F260&amp;"|"&amp;G260,$O$3:$P$16,2,FALSE)</f>
        <v>150</v>
      </c>
      <c r="I260" s="21">
        <f>VLOOKUP(F260&amp;"|"&amp;G260,$Q$3:$R$16,2,FALSE)</f>
        <v>24850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thickTop="1" thickBot="1">
      <c r="A261" s="21">
        <v>3</v>
      </c>
      <c r="B261" s="21">
        <v>1000000</v>
      </c>
      <c r="C261" s="21">
        <f>VLOOKUP(A261&amp;"|"&amp;B261,$O$3:$P$18,2,FALSE)</f>
        <v>6500</v>
      </c>
      <c r="D261" s="21">
        <f>VLOOKUP(A261&amp;"|"&amp;B261,$Q$3:$R$18,2,FALSE)</f>
        <v>43500</v>
      </c>
      <c r="E261" s="2"/>
      <c r="F261" s="21"/>
      <c r="G261" s="21"/>
      <c r="H261" s="21"/>
      <c r="I261" s="2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thickTop="1" thickBot="1">
      <c r="A262" s="21"/>
      <c r="B262" s="21"/>
      <c r="C262" s="21"/>
      <c r="D262" s="21"/>
      <c r="E262" s="2"/>
      <c r="F262" s="21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thickTop="1" thickBot="1">
      <c r="A263" s="21"/>
      <c r="B263" s="21"/>
      <c r="C263" s="21"/>
      <c r="D263" s="21"/>
      <c r="E263" s="2"/>
      <c r="F263" s="21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thickTop="1" thickBot="1">
      <c r="A264" s="21"/>
      <c r="B264" s="21"/>
      <c r="C264" s="21"/>
      <c r="D264" s="21"/>
      <c r="E264" s="2"/>
      <c r="F264" s="21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thickTop="1" thickBot="1">
      <c r="A265" s="21" t="s">
        <v>16</v>
      </c>
      <c r="B265" s="21"/>
      <c r="C265" s="21"/>
      <c r="D265" s="21">
        <f>SUM(D260:D264)</f>
        <v>67500</v>
      </c>
      <c r="E265" s="2"/>
      <c r="F265" s="84" t="s">
        <v>16</v>
      </c>
      <c r="G265" s="85"/>
      <c r="H265" s="86"/>
      <c r="I265" s="21">
        <f>SUM(I260:I264)</f>
        <v>24850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thickTop="1" thickBo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thickTop="1" thickBot="1">
      <c r="A267" s="21" t="s">
        <v>0</v>
      </c>
      <c r="B267" s="21" t="s">
        <v>114</v>
      </c>
      <c r="C267" s="21" t="s">
        <v>24</v>
      </c>
      <c r="D267" s="9">
        <v>45844</v>
      </c>
      <c r="E267" s="2"/>
      <c r="F267" s="21" t="s">
        <v>0</v>
      </c>
      <c r="G267" s="21" t="s">
        <v>21</v>
      </c>
      <c r="H267" s="21" t="s">
        <v>43</v>
      </c>
      <c r="I267" s="9">
        <v>45844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thickTop="1" thickBot="1">
      <c r="A268" s="21" t="s">
        <v>6</v>
      </c>
      <c r="B268" s="21" t="s">
        <v>7</v>
      </c>
      <c r="C268" s="21" t="s">
        <v>8</v>
      </c>
      <c r="D268" s="21" t="s">
        <v>9</v>
      </c>
      <c r="E268" s="2"/>
      <c r="F268" s="21" t="s">
        <v>6</v>
      </c>
      <c r="G268" s="21" t="s">
        <v>7</v>
      </c>
      <c r="H268" s="21" t="s">
        <v>8</v>
      </c>
      <c r="I268" s="21" t="s">
        <v>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thickTop="1" thickBot="1">
      <c r="A269" s="21">
        <v>3</v>
      </c>
      <c r="B269" s="21">
        <v>500000</v>
      </c>
      <c r="C269" s="21">
        <f>VLOOKUP(A269&amp;"|"&amp;B269,$O$3:$P$17,2,FALSE)</f>
        <v>3600</v>
      </c>
      <c r="D269" s="21">
        <f>VLOOKUP(A269&amp;"|"&amp;B269,$Q$3:$R$16,2,FALSE)</f>
        <v>21400</v>
      </c>
      <c r="E269" s="2"/>
      <c r="F269" s="21">
        <v>3</v>
      </c>
      <c r="G269" s="21">
        <v>500000</v>
      </c>
      <c r="H269" s="21">
        <f>VLOOKUP(F269&amp;"|"&amp;G269,$O$3:$P$16,2,FALSE)</f>
        <v>3600</v>
      </c>
      <c r="I269" s="21">
        <f>VLOOKUP(F269&amp;"|"&amp;G269,$Q$3:$R$16,2,FALSE)</f>
        <v>21400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thickTop="1" thickBot="1">
      <c r="A270" s="21"/>
      <c r="B270" s="21"/>
      <c r="C270" s="21"/>
      <c r="D270" s="21"/>
      <c r="E270" s="2"/>
      <c r="F270" s="21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thickTop="1" thickBot="1">
      <c r="A271" s="21"/>
      <c r="B271" s="21"/>
      <c r="C271" s="21"/>
      <c r="D271" s="21"/>
      <c r="E271" s="2"/>
      <c r="F271" s="21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thickTop="1" thickBot="1">
      <c r="A272" s="21"/>
      <c r="B272" s="21"/>
      <c r="C272" s="21"/>
      <c r="D272" s="21"/>
      <c r="E272" s="2"/>
      <c r="F272" s="21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thickTop="1" thickBot="1">
      <c r="A273" s="21"/>
      <c r="B273" s="21"/>
      <c r="C273" s="21"/>
      <c r="D273" s="21"/>
      <c r="E273" s="2"/>
      <c r="F273" s="21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thickTop="1" thickBot="1">
      <c r="A274" s="21" t="s">
        <v>16</v>
      </c>
      <c r="B274" s="21"/>
      <c r="C274" s="21"/>
      <c r="D274" s="21">
        <f>SUM(D269:D273)</f>
        <v>21400</v>
      </c>
      <c r="E274" s="2"/>
      <c r="F274" s="84" t="s">
        <v>16</v>
      </c>
      <c r="G274" s="85"/>
      <c r="H274" s="86"/>
      <c r="I274" s="21">
        <f>SUM(I269:I273)</f>
        <v>21400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thickTop="1" thickBo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thickTop="1" thickBot="1">
      <c r="A276" s="21" t="s">
        <v>0</v>
      </c>
      <c r="B276" s="21" t="s">
        <v>115</v>
      </c>
      <c r="C276" s="21" t="s">
        <v>28</v>
      </c>
      <c r="D276" s="9">
        <v>45844</v>
      </c>
      <c r="E276" s="2"/>
      <c r="F276" s="21" t="s">
        <v>0</v>
      </c>
      <c r="G276" s="21" t="s">
        <v>61</v>
      </c>
      <c r="H276" s="21" t="s">
        <v>28</v>
      </c>
      <c r="I276" s="9">
        <v>45844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thickTop="1" thickBot="1">
      <c r="A277" s="21" t="s">
        <v>6</v>
      </c>
      <c r="B277" s="21" t="s">
        <v>7</v>
      </c>
      <c r="C277" s="21" t="s">
        <v>8</v>
      </c>
      <c r="D277" s="21" t="s">
        <v>9</v>
      </c>
      <c r="E277" s="2"/>
      <c r="F277" s="21" t="s">
        <v>6</v>
      </c>
      <c r="G277" s="21" t="s">
        <v>7</v>
      </c>
      <c r="H277" s="21" t="s">
        <v>8</v>
      </c>
      <c r="I277" s="21" t="s">
        <v>9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thickTop="1" thickBot="1">
      <c r="A278" s="21">
        <v>3</v>
      </c>
      <c r="B278" s="21">
        <v>1000000</v>
      </c>
      <c r="C278" s="21">
        <f>VLOOKUP(A278&amp;"|"&amp;B278,$O$3:$P$16,2,FALSE)</f>
        <v>6500</v>
      </c>
      <c r="D278" s="21">
        <f>VLOOKUP(A278&amp;"|"&amp;B278,$Q$3:$R$16,2,FALSE)</f>
        <v>43500</v>
      </c>
      <c r="E278" s="2"/>
      <c r="F278" s="21">
        <v>3</v>
      </c>
      <c r="G278" s="21">
        <v>1000000</v>
      </c>
      <c r="H278" s="21">
        <f>VLOOKUP(F278&amp;"|"&amp;G278,$O$3:$P$18,2,FALSE)</f>
        <v>6500</v>
      </c>
      <c r="I278" s="21">
        <f>VLOOKUP(F278&amp;"|"&amp;G278,$Q$3:$R$18,2,FALSE)</f>
        <v>43500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thickTop="1" thickBot="1">
      <c r="A279" s="21">
        <v>18</v>
      </c>
      <c r="B279" s="21">
        <v>1000000</v>
      </c>
      <c r="C279" s="21">
        <f>VLOOKUP(A279&amp;"|"&amp;B279,$O$3:$P$16,2,FALSE)</f>
        <v>300</v>
      </c>
      <c r="D279" s="21">
        <f>VLOOKUP(A279&amp;"|"&amp;B279,$Q$3:$R$16,2,FALSE)</f>
        <v>49700</v>
      </c>
      <c r="E279" s="2"/>
      <c r="F279" s="21">
        <v>18</v>
      </c>
      <c r="G279" s="21">
        <v>500000</v>
      </c>
      <c r="H279" s="21">
        <f>VLOOKUP(F279&amp;"|"&amp;G279,$O$3:$P$16,2,FALSE)</f>
        <v>150</v>
      </c>
      <c r="I279" s="21">
        <f>VLOOKUP(F279&amp;"|"&amp;G279,$Q$3:$R$16,2,FALSE)</f>
        <v>24850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thickTop="1" thickBot="1">
      <c r="A280" s="21"/>
      <c r="B280" s="21"/>
      <c r="C280" s="21"/>
      <c r="D280" s="21"/>
      <c r="E280" s="2"/>
      <c r="F280" s="21">
        <v>11</v>
      </c>
      <c r="G280" s="21">
        <v>500000</v>
      </c>
      <c r="H280" s="21">
        <f>VLOOKUP(F280&amp;"|"&amp;G280,$O$3:$P$16,2,FALSE)</f>
        <v>1650</v>
      </c>
      <c r="I280" s="21">
        <f>VLOOKUP(F280&amp;"|"&amp;G280,$Q$3:$R$16,2,FALSE)</f>
        <v>23350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thickTop="1" thickBot="1">
      <c r="A281" s="21"/>
      <c r="B281" s="21"/>
      <c r="C281" s="21"/>
      <c r="D281" s="21"/>
      <c r="E281" s="2"/>
      <c r="F281" s="21">
        <v>11</v>
      </c>
      <c r="G281" s="21">
        <v>500000</v>
      </c>
      <c r="H281" s="21">
        <f>VLOOKUP(F281&amp;"|"&amp;G281,$O$3:$P$16,2,FALSE)</f>
        <v>1650</v>
      </c>
      <c r="I281" s="21">
        <f>VLOOKUP(F281&amp;"|"&amp;G281,$Q$3:$R$16,2,FALSE)</f>
        <v>23350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thickTop="1" thickBot="1">
      <c r="A282" s="21"/>
      <c r="B282" s="21"/>
      <c r="C282" s="21"/>
      <c r="D282" s="21"/>
      <c r="E282" s="2"/>
      <c r="F282" s="21">
        <v>3</v>
      </c>
      <c r="G282" s="21">
        <v>1000000</v>
      </c>
      <c r="H282" s="21">
        <f>VLOOKUP(F282&amp;"|"&amp;G282,$O$3:$P$16,2,FALSE)</f>
        <v>6500</v>
      </c>
      <c r="I282" s="21">
        <f>VLOOKUP(F282&amp;"|"&amp;G282,$Q$3:$R$16,2,FALSE)</f>
        <v>43500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thickTop="1" thickBot="1">
      <c r="A283" s="21"/>
      <c r="B283" s="21"/>
      <c r="C283" s="21"/>
      <c r="D283" s="21"/>
      <c r="E283" s="2"/>
      <c r="F283" s="21">
        <v>8</v>
      </c>
      <c r="G283" s="21">
        <v>500000</v>
      </c>
      <c r="H283" s="21">
        <f>VLOOKUP(F283&amp;"|"&amp;G283,$O$3:$P$16,2,FALSE)</f>
        <v>2500</v>
      </c>
      <c r="I283" s="21">
        <f>VLOOKUP(F283&amp;"|"&amp;G283,$Q$3:$R$16,2,FALSE)</f>
        <v>22500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thickTop="1" thickBot="1">
      <c r="A284" s="21" t="s">
        <v>16</v>
      </c>
      <c r="B284" s="21"/>
      <c r="C284" s="21"/>
      <c r="D284" s="21">
        <f>SUM(D278:D283)</f>
        <v>93200</v>
      </c>
      <c r="E284" s="2"/>
      <c r="F284" s="84" t="s">
        <v>16</v>
      </c>
      <c r="G284" s="85"/>
      <c r="H284" s="86"/>
      <c r="I284" s="21">
        <f>SUM(I278:I283)</f>
        <v>181050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thickTop="1" thickBot="1">
      <c r="A285" s="10"/>
      <c r="B285" s="10"/>
      <c r="C285" s="10"/>
      <c r="D285" s="10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thickTop="1" thickBot="1">
      <c r="A286" s="12" t="s">
        <v>0</v>
      </c>
      <c r="B286" s="12" t="s">
        <v>116</v>
      </c>
      <c r="C286" s="12" t="s">
        <v>34</v>
      </c>
      <c r="D286" s="9">
        <v>45844</v>
      </c>
      <c r="E286" s="2"/>
      <c r="F286" s="21" t="s">
        <v>0</v>
      </c>
      <c r="G286" s="21" t="s">
        <v>73</v>
      </c>
      <c r="H286" s="21" t="s">
        <v>76</v>
      </c>
      <c r="I286" s="9">
        <v>45844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thickTop="1" thickBot="1">
      <c r="A287" s="21" t="s">
        <v>6</v>
      </c>
      <c r="B287" s="21" t="s">
        <v>7</v>
      </c>
      <c r="C287" s="21" t="s">
        <v>8</v>
      </c>
      <c r="D287" s="21" t="s">
        <v>9</v>
      </c>
      <c r="E287" s="2"/>
      <c r="F287" s="21" t="s">
        <v>6</v>
      </c>
      <c r="G287" s="21" t="s">
        <v>7</v>
      </c>
      <c r="H287" s="21" t="s">
        <v>8</v>
      </c>
      <c r="I287" s="21" t="s">
        <v>9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thickTop="1" thickBot="1">
      <c r="A288" s="21">
        <v>3</v>
      </c>
      <c r="B288" s="21">
        <v>2000000</v>
      </c>
      <c r="C288" s="21">
        <f>VLOOKUP(A288&amp;"|"&amp;B288,$O$3:$P$17,2,FALSE)</f>
        <v>13500</v>
      </c>
      <c r="D288" s="21">
        <f>VLOOKUP(A288&amp;"|"&amp;B288,$Q$3:$R$17,2,FALSE)</f>
        <v>86500</v>
      </c>
      <c r="E288" s="2"/>
      <c r="F288" s="21">
        <v>3</v>
      </c>
      <c r="G288" s="21">
        <v>1000000</v>
      </c>
      <c r="H288" s="21">
        <f>VLOOKUP(F288&amp;"|"&amp;G288,$O$3:$P$16,2,FALSE)</f>
        <v>6500</v>
      </c>
      <c r="I288" s="21">
        <f>VLOOKUP(F288&amp;"|"&amp;G288,$Q$3:$R$16,2,FALSE)</f>
        <v>43500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thickTop="1" thickBot="1">
      <c r="A289" s="21">
        <v>3</v>
      </c>
      <c r="B289" s="21">
        <v>500000</v>
      </c>
      <c r="C289" s="21">
        <f>VLOOKUP(A289&amp;"|"&amp;B289,$O$3:$P$17,2,FALSE)</f>
        <v>3600</v>
      </c>
      <c r="D289" s="21">
        <f>VLOOKUP(A289&amp;"|"&amp;B289,$Q$3:$R$17,2,FALSE)</f>
        <v>21400</v>
      </c>
      <c r="E289" s="2"/>
      <c r="F289" s="21">
        <v>8</v>
      </c>
      <c r="G289" s="21">
        <v>500000</v>
      </c>
      <c r="H289" s="21">
        <f>VLOOKUP(F289&amp;"|"&amp;G289,$O$3:$P$16,2,FALSE)</f>
        <v>2500</v>
      </c>
      <c r="I289" s="21">
        <f>VLOOKUP(F289&amp;"|"&amp;G289,$Q$3:$R$16,2,FALSE)</f>
        <v>22500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thickTop="1" thickBot="1">
      <c r="A290" s="21">
        <v>18</v>
      </c>
      <c r="B290" s="21">
        <v>1000000</v>
      </c>
      <c r="C290" s="21">
        <f>VLOOKUP(A290&amp;"|"&amp;B290,$O$3:$P$17,2,FALSE)</f>
        <v>300</v>
      </c>
      <c r="D290" s="21">
        <f>VLOOKUP(A290&amp;"|"&amp;B290,$Q$3:$R$17,2,FALSE)</f>
        <v>49700</v>
      </c>
      <c r="E290" s="2"/>
      <c r="F290" s="21">
        <v>11</v>
      </c>
      <c r="G290" s="21">
        <v>500000</v>
      </c>
      <c r="H290" s="21">
        <f>VLOOKUP(F290&amp;"|"&amp;G290,$O$3:$P$16,2,FALSE)</f>
        <v>1650</v>
      </c>
      <c r="I290" s="21">
        <f>VLOOKUP(F290&amp;"|"&amp;G290,$Q$3:$R$16,2,FALSE)</f>
        <v>23350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thickTop="1" thickBot="1">
      <c r="A291" s="21"/>
      <c r="B291" s="21"/>
      <c r="C291" s="21"/>
      <c r="D291" s="21"/>
      <c r="E291" s="2"/>
      <c r="F291" s="21">
        <v>11</v>
      </c>
      <c r="G291" s="21">
        <v>500000</v>
      </c>
      <c r="H291" s="21">
        <f>VLOOKUP(F291&amp;"|"&amp;G291,$O$3:$P$16,2,FALSE)</f>
        <v>1650</v>
      </c>
      <c r="I291" s="21">
        <f>VLOOKUP(F291&amp;"|"&amp;G291,$Q$3:$R$16,2,FALSE)</f>
        <v>23350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thickTop="1" thickBot="1">
      <c r="A292" s="21"/>
      <c r="B292" s="21"/>
      <c r="C292" s="21"/>
      <c r="D292" s="21"/>
      <c r="E292" s="2"/>
      <c r="F292" s="21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thickTop="1" thickBot="1">
      <c r="A293" s="59" t="s">
        <v>49</v>
      </c>
      <c r="B293" s="53"/>
      <c r="C293" s="54"/>
      <c r="D293" s="21">
        <f>SUM(D288:D292)</f>
        <v>157600</v>
      </c>
      <c r="E293" s="2"/>
      <c r="F293" s="84" t="s">
        <v>16</v>
      </c>
      <c r="G293" s="85"/>
      <c r="H293" s="86"/>
      <c r="I293" s="21">
        <f>SUM(I288:I292)</f>
        <v>112700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thickTop="1" thickBo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thickTop="1" thickBot="1">
      <c r="A295" s="21" t="s">
        <v>0</v>
      </c>
      <c r="B295" s="21" t="s">
        <v>117</v>
      </c>
      <c r="C295" s="21" t="s">
        <v>24</v>
      </c>
      <c r="D295" s="9">
        <v>45844</v>
      </c>
      <c r="E295" s="2"/>
      <c r="F295" s="21" t="s">
        <v>0</v>
      </c>
      <c r="G295" s="21" t="s">
        <v>118</v>
      </c>
      <c r="H295" s="21" t="s">
        <v>119</v>
      </c>
      <c r="I295" s="9">
        <v>45844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thickTop="1" thickBot="1">
      <c r="A296" s="21" t="s">
        <v>6</v>
      </c>
      <c r="B296" s="21" t="s">
        <v>7</v>
      </c>
      <c r="C296" s="21" t="s">
        <v>8</v>
      </c>
      <c r="D296" s="21" t="s">
        <v>9</v>
      </c>
      <c r="E296" s="2"/>
      <c r="F296" s="21" t="s">
        <v>6</v>
      </c>
      <c r="G296" s="21" t="s">
        <v>7</v>
      </c>
      <c r="H296" s="21" t="s">
        <v>8</v>
      </c>
      <c r="I296" s="21" t="s">
        <v>9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thickTop="1" thickBot="1">
      <c r="A297" s="21">
        <v>3</v>
      </c>
      <c r="B297" s="21">
        <v>2000000</v>
      </c>
      <c r="C297" s="21">
        <f>VLOOKUP(A297&amp;"|"&amp;B297,$O$3:$P$16,2,FALSE)</f>
        <v>13500</v>
      </c>
      <c r="D297" s="21">
        <f>VLOOKUP(A297&amp;"|"&amp;B297,$Q$3:$R$16,2,FALSE)</f>
        <v>86500</v>
      </c>
      <c r="E297" s="2"/>
      <c r="F297" s="21">
        <v>3</v>
      </c>
      <c r="G297" s="21">
        <v>2000000</v>
      </c>
      <c r="H297" s="21">
        <f>VLOOKUP(F297&amp;"|"&amp;G297,$O$3:$P$16,2,FALSE)</f>
        <v>13500</v>
      </c>
      <c r="I297" s="21">
        <f>VLOOKUP(F297&amp;"|"&amp;G297,$Q$3:$R$16,2,FALSE)</f>
        <v>86500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thickTop="1" thickBot="1">
      <c r="A298" s="21">
        <v>11</v>
      </c>
      <c r="B298" s="21">
        <v>500000</v>
      </c>
      <c r="C298" s="21">
        <f>VLOOKUP(A298&amp;"|"&amp;B298,$O$3:$P$16,2,FALSE)</f>
        <v>1650</v>
      </c>
      <c r="D298" s="21">
        <f>VLOOKUP(A298&amp;"|"&amp;B298,$Q$3:$R$16,2,FALSE)</f>
        <v>23350</v>
      </c>
      <c r="E298" s="2"/>
      <c r="F298" s="21">
        <v>3</v>
      </c>
      <c r="G298" s="21">
        <v>1000000</v>
      </c>
      <c r="H298" s="21">
        <f>VLOOKUP(F298&amp;"|"&amp;G298,$O$3:$P$16,2,FALSE)</f>
        <v>6500</v>
      </c>
      <c r="I298" s="21">
        <f>VLOOKUP(F298&amp;"|"&amp;G298,$Q$3:$R$16,2,FALSE)</f>
        <v>43500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thickTop="1" thickBot="1">
      <c r="A299" s="21">
        <v>14</v>
      </c>
      <c r="B299" s="21">
        <v>1000000</v>
      </c>
      <c r="C299" s="21">
        <f>VLOOKUP(A299&amp;"|"&amp;B299,$O$3:$P$17,2,FALSE)</f>
        <v>1900</v>
      </c>
      <c r="D299" s="21">
        <f>VLOOKUP(A299&amp;"|"&amp;B299,$Q$3:$R$17,2,FALSE)</f>
        <v>48100</v>
      </c>
      <c r="E299" s="2"/>
      <c r="F299" s="21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thickTop="1" thickBot="1">
      <c r="A300" s="21"/>
      <c r="B300" s="21"/>
      <c r="C300" s="21"/>
      <c r="D300" s="21"/>
      <c r="E300" s="2"/>
      <c r="F300" s="21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thickTop="1" thickBot="1">
      <c r="A301" s="21"/>
      <c r="B301" s="21"/>
      <c r="C301" s="21"/>
      <c r="D301" s="21"/>
      <c r="E301" s="2"/>
      <c r="F301" s="21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thickTop="1" thickBot="1">
      <c r="A302" s="21" t="s">
        <v>16</v>
      </c>
      <c r="B302" s="21"/>
      <c r="C302" s="21"/>
      <c r="D302" s="21">
        <f>SUM(D297:D301)</f>
        <v>157950</v>
      </c>
      <c r="E302" s="2"/>
      <c r="F302" s="84" t="s">
        <v>16</v>
      </c>
      <c r="G302" s="85"/>
      <c r="H302" s="86"/>
      <c r="I302" s="21">
        <f>SUM(I297:I301)</f>
        <v>130000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thickTop="1" thickBot="1">
      <c r="A303" s="2"/>
      <c r="B303" s="2"/>
      <c r="C303" s="2" t="s">
        <v>191</v>
      </c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thickTop="1" thickBot="1">
      <c r="A304" s="21" t="s">
        <v>0</v>
      </c>
      <c r="B304" s="21" t="s">
        <v>35</v>
      </c>
      <c r="C304" s="21" t="s">
        <v>120</v>
      </c>
      <c r="D304" s="9">
        <v>45844</v>
      </c>
      <c r="E304" s="2"/>
      <c r="F304" s="21" t="s">
        <v>0</v>
      </c>
      <c r="G304" s="21" t="s">
        <v>121</v>
      </c>
      <c r="H304" s="21" t="s">
        <v>28</v>
      </c>
      <c r="I304" s="9">
        <v>45844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thickTop="1" thickBot="1">
      <c r="A305" s="21" t="s">
        <v>6</v>
      </c>
      <c r="B305" s="21" t="s">
        <v>7</v>
      </c>
      <c r="C305" s="21" t="s">
        <v>8</v>
      </c>
      <c r="D305" s="21" t="s">
        <v>9</v>
      </c>
      <c r="E305" s="2"/>
      <c r="F305" s="21" t="s">
        <v>6</v>
      </c>
      <c r="G305" s="21" t="s">
        <v>7</v>
      </c>
      <c r="H305" s="21" t="s">
        <v>8</v>
      </c>
      <c r="I305" s="21" t="s">
        <v>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thickTop="1" thickBot="1">
      <c r="A306" s="21">
        <v>3</v>
      </c>
      <c r="B306" s="21">
        <v>1000000</v>
      </c>
      <c r="C306" s="21">
        <f>VLOOKUP(A306&amp;"|"&amp;B306,$O$3:$P$17,2,FALSE)</f>
        <v>6500</v>
      </c>
      <c r="D306" s="21">
        <f>VLOOKUP(A306&amp;"|"&amp;B306,$Q$3:$R$17,2,FALSE)</f>
        <v>43500</v>
      </c>
      <c r="E306" s="2"/>
      <c r="F306" s="21">
        <v>3</v>
      </c>
      <c r="G306" s="21">
        <v>1000000</v>
      </c>
      <c r="H306" s="21">
        <f>VLOOKUP(F306&amp;"|"&amp;G306,$O$3:$P$18,2,FALSE)</f>
        <v>6500</v>
      </c>
      <c r="I306" s="21">
        <f>VLOOKUP(F306&amp;"|"&amp;G306,$Q$3:$R$17,2,FALSE)</f>
        <v>43500</v>
      </c>
      <c r="J306" s="21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thickTop="1" thickBot="1">
      <c r="A307" s="21">
        <v>18</v>
      </c>
      <c r="B307" s="21">
        <v>1000000</v>
      </c>
      <c r="C307" s="21">
        <f>VLOOKUP(A307&amp;"|"&amp;B307,$O$3:$P$16,2,FALSE)</f>
        <v>300</v>
      </c>
      <c r="D307" s="21">
        <f>VLOOKUP(A307&amp;"|"&amp;B307,$Q$3:$R$16,2,FALSE)</f>
        <v>49700</v>
      </c>
      <c r="E307" s="2"/>
      <c r="F307" s="21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thickTop="1" thickBot="1">
      <c r="A308" s="21"/>
      <c r="B308" s="21"/>
      <c r="C308" s="21"/>
      <c r="D308" s="21"/>
      <c r="E308" s="2"/>
      <c r="F308" s="21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thickTop="1" thickBot="1">
      <c r="A309" s="21"/>
      <c r="B309" s="21"/>
      <c r="C309" s="21"/>
      <c r="D309" s="21"/>
      <c r="E309" s="2"/>
      <c r="F309" s="21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thickTop="1" thickBot="1">
      <c r="A310" s="21"/>
      <c r="B310" s="21"/>
      <c r="C310" s="21"/>
      <c r="D310" s="21"/>
      <c r="E310" s="2"/>
      <c r="F310" s="21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thickTop="1" thickBot="1">
      <c r="A311" s="21" t="s">
        <v>16</v>
      </c>
      <c r="B311" s="21"/>
      <c r="C311" s="21"/>
      <c r="D311" s="21">
        <f>SUM(D306:D310)</f>
        <v>93200</v>
      </c>
      <c r="E311" s="2"/>
      <c r="F311" s="84" t="s">
        <v>16</v>
      </c>
      <c r="G311" s="85"/>
      <c r="H311" s="86"/>
      <c r="I311" s="21">
        <f>SUM(I306:I310)</f>
        <v>43500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thickTop="1" thickBo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thickTop="1" thickBot="1">
      <c r="A313" s="21" t="s">
        <v>0</v>
      </c>
      <c r="B313" s="21" t="s">
        <v>122</v>
      </c>
      <c r="C313" s="21" t="s">
        <v>76</v>
      </c>
      <c r="D313" s="9">
        <v>45844</v>
      </c>
      <c r="E313" s="2"/>
      <c r="F313" s="21" t="s">
        <v>0</v>
      </c>
      <c r="G313" s="21" t="s">
        <v>61</v>
      </c>
      <c r="H313" s="21" t="s">
        <v>123</v>
      </c>
      <c r="I313" s="9">
        <v>45844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thickTop="1" thickBot="1">
      <c r="A314" s="21" t="s">
        <v>6</v>
      </c>
      <c r="B314" s="21" t="s">
        <v>7</v>
      </c>
      <c r="C314" s="21" t="s">
        <v>8</v>
      </c>
      <c r="D314" s="21" t="s">
        <v>9</v>
      </c>
      <c r="E314" s="2"/>
      <c r="F314" s="21" t="s">
        <v>6</v>
      </c>
      <c r="G314" s="21" t="s">
        <v>7</v>
      </c>
      <c r="H314" s="21" t="s">
        <v>8</v>
      </c>
      <c r="I314" s="21" t="s">
        <v>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thickTop="1" thickBot="1">
      <c r="A315" s="21">
        <v>3</v>
      </c>
      <c r="B315" s="21">
        <v>500000</v>
      </c>
      <c r="C315" s="21">
        <f>VLOOKUP(A315&amp;"|"&amp;B315,$O$3:$P$16,2,FALSE)</f>
        <v>3600</v>
      </c>
      <c r="D315" s="21">
        <f>VLOOKUP(A315&amp;"|"&amp;B315,$Q$3:$R$16,2,FALSE)</f>
        <v>21400</v>
      </c>
      <c r="E315" s="2"/>
      <c r="F315" s="21">
        <v>14</v>
      </c>
      <c r="G315" s="21">
        <v>500000</v>
      </c>
      <c r="H315" s="21">
        <f>VLOOKUP(F315&amp;"|"&amp;G315,$O$3:$P$16,2,FALSE)</f>
        <v>1000</v>
      </c>
      <c r="I315" s="21">
        <f>VLOOKUP(F315&amp;"|"&amp;G315,$Q$3:$R$16,2,FALSE)</f>
        <v>24000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thickTop="1" thickBot="1">
      <c r="A316" s="21">
        <v>8</v>
      </c>
      <c r="B316" s="21">
        <v>500000</v>
      </c>
      <c r="C316" s="21">
        <f>VLOOKUP(A316&amp;"|"&amp;B316,$O$3:$P$16,2,FALSE)</f>
        <v>2500</v>
      </c>
      <c r="D316" s="21">
        <f>VLOOKUP(A316&amp;"|"&amp;B316,$Q$3:$R$16,2,FALSE)</f>
        <v>22500</v>
      </c>
      <c r="E316" s="2"/>
      <c r="F316" s="21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thickTop="1" thickBot="1">
      <c r="A317" s="21"/>
      <c r="B317" s="21"/>
      <c r="C317" s="21"/>
      <c r="D317" s="21"/>
      <c r="E317" s="2"/>
      <c r="F317" s="21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thickTop="1" thickBot="1">
      <c r="A318" s="21"/>
      <c r="B318" s="21"/>
      <c r="C318" s="21"/>
      <c r="D318" s="21"/>
      <c r="E318" s="2"/>
      <c r="F318" s="21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thickTop="1" thickBot="1">
      <c r="A319" s="21"/>
      <c r="B319" s="21"/>
      <c r="C319" s="21"/>
      <c r="D319" s="21"/>
      <c r="E319" s="2"/>
      <c r="F319" s="21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thickTop="1" thickBot="1">
      <c r="A320" s="21" t="s">
        <v>16</v>
      </c>
      <c r="B320" s="21"/>
      <c r="C320" s="21"/>
      <c r="D320" s="21">
        <f>SUM(D315:D319)</f>
        <v>43900</v>
      </c>
      <c r="E320" s="2"/>
      <c r="F320" s="84" t="s">
        <v>16</v>
      </c>
      <c r="G320" s="85"/>
      <c r="H320" s="86"/>
      <c r="I320" s="21">
        <f>SUM(I315:I319)</f>
        <v>24000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thickTop="1" thickBo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thickTop="1" thickBot="1">
      <c r="A322" s="21" t="s">
        <v>0</v>
      </c>
      <c r="B322" s="21" t="s">
        <v>124</v>
      </c>
      <c r="C322" s="21" t="s">
        <v>125</v>
      </c>
      <c r="D322" s="9">
        <v>45844</v>
      </c>
      <c r="E322" s="2"/>
      <c r="F322" s="21" t="s">
        <v>0</v>
      </c>
      <c r="G322" s="21" t="s">
        <v>126</v>
      </c>
      <c r="H322" s="21" t="s">
        <v>22</v>
      </c>
      <c r="I322" s="9">
        <v>45844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thickTop="1" thickBot="1">
      <c r="A323" s="21" t="s">
        <v>6</v>
      </c>
      <c r="B323" s="21" t="s">
        <v>7</v>
      </c>
      <c r="C323" s="21" t="s">
        <v>8</v>
      </c>
      <c r="D323" s="21" t="s">
        <v>9</v>
      </c>
      <c r="E323" s="2"/>
      <c r="F323" s="21" t="s">
        <v>6</v>
      </c>
      <c r="G323" s="21" t="s">
        <v>7</v>
      </c>
      <c r="H323" s="21" t="s">
        <v>8</v>
      </c>
      <c r="I323" s="21" t="s">
        <v>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thickTop="1" thickBot="1">
      <c r="A324" s="21">
        <v>18</v>
      </c>
      <c r="B324" s="21">
        <v>500000</v>
      </c>
      <c r="C324" s="21">
        <f>VLOOKUP(A324&amp;"|"&amp;B324,$O$3:$P$16,2,FALSE)</f>
        <v>150</v>
      </c>
      <c r="D324" s="21">
        <f>VLOOKUP(A324&amp;"|"&amp;B324,$Q$3:$R$16,2,FALSE)</f>
        <v>24850</v>
      </c>
      <c r="E324" s="2"/>
      <c r="F324" s="21">
        <v>8</v>
      </c>
      <c r="G324" s="21">
        <v>500000</v>
      </c>
      <c r="H324" s="21">
        <f>VLOOKUP(F324&amp;"|"&amp;G324,$O$3:$P$16,2,FALSE)</f>
        <v>2500</v>
      </c>
      <c r="I324" s="21">
        <f>VLOOKUP(F324&amp;"|"&amp;G324,$Q$3:$R$16,2,FALSE)</f>
        <v>22500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thickTop="1" thickBot="1">
      <c r="A325" s="21"/>
      <c r="B325" s="21"/>
      <c r="C325" s="21"/>
      <c r="D325" s="21"/>
      <c r="E325" s="2"/>
      <c r="F325" s="21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thickTop="1" thickBot="1">
      <c r="A326" s="21"/>
      <c r="B326" s="21"/>
      <c r="C326" s="21"/>
      <c r="D326" s="21"/>
      <c r="E326" s="2"/>
      <c r="F326" s="21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thickTop="1" thickBot="1">
      <c r="A327" s="21"/>
      <c r="B327" s="21"/>
      <c r="C327" s="21"/>
      <c r="D327" s="21"/>
      <c r="E327" s="10"/>
      <c r="F327" s="21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thickTop="1" thickBot="1">
      <c r="A328" s="21"/>
      <c r="B328" s="21"/>
      <c r="C328" s="21"/>
      <c r="D328" s="21"/>
      <c r="E328" s="2"/>
      <c r="F328" s="21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thickTop="1" thickBot="1">
      <c r="A329" s="21" t="s">
        <v>16</v>
      </c>
      <c r="B329" s="21"/>
      <c r="C329" s="21"/>
      <c r="D329" s="21">
        <f>SUM(D324:D328)</f>
        <v>24850</v>
      </c>
      <c r="E329" s="2"/>
      <c r="F329" s="84" t="s">
        <v>16</v>
      </c>
      <c r="G329" s="85"/>
      <c r="H329" s="86"/>
      <c r="I329" s="21">
        <f>SUM(I324:I328)</f>
        <v>22500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thickTop="1" thickBo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thickTop="1" thickBot="1">
      <c r="A331" s="21" t="s">
        <v>0</v>
      </c>
      <c r="B331" s="21" t="s">
        <v>127</v>
      </c>
      <c r="C331" s="21" t="s">
        <v>24</v>
      </c>
      <c r="D331" s="9">
        <v>45844</v>
      </c>
      <c r="E331" s="2"/>
      <c r="F331" s="21" t="s">
        <v>0</v>
      </c>
      <c r="G331" s="21" t="s">
        <v>73</v>
      </c>
      <c r="H331" s="21" t="s">
        <v>18</v>
      </c>
      <c r="I331" s="9">
        <v>45844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thickTop="1" thickBot="1">
      <c r="A332" s="21" t="s">
        <v>6</v>
      </c>
      <c r="B332" s="21" t="s">
        <v>7</v>
      </c>
      <c r="C332" s="21" t="s">
        <v>8</v>
      </c>
      <c r="D332" s="21" t="s">
        <v>9</v>
      </c>
      <c r="E332" s="2"/>
      <c r="F332" s="21" t="s">
        <v>6</v>
      </c>
      <c r="G332" s="21" t="s">
        <v>7</v>
      </c>
      <c r="H332" s="21" t="s">
        <v>8</v>
      </c>
      <c r="I332" s="21" t="s">
        <v>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thickTop="1" thickBot="1">
      <c r="A333" s="21">
        <v>8</v>
      </c>
      <c r="B333" s="21">
        <v>500000</v>
      </c>
      <c r="C333" s="21">
        <f>VLOOKUP(A333&amp;"|"&amp;B333,$O$3:$P$16,2,FALSE)</f>
        <v>2500</v>
      </c>
      <c r="D333" s="21">
        <f>VLOOKUP(A333&amp;"|"&amp;B333,$Q$3:$R$16,2,FALSE)</f>
        <v>22500</v>
      </c>
      <c r="E333" s="2"/>
      <c r="F333" s="21">
        <v>8</v>
      </c>
      <c r="G333" s="21">
        <v>500000</v>
      </c>
      <c r="H333" s="21">
        <f>VLOOKUP(F333&amp;"|"&amp;G333,$O$3:$P$16,2,FALSE)</f>
        <v>2500</v>
      </c>
      <c r="I333" s="21">
        <f>VLOOKUP(F333&amp;"|"&amp;G333,$Q$3:$R$16,2,FALSE)</f>
        <v>22500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thickTop="1" thickBot="1">
      <c r="A334" s="21">
        <v>11</v>
      </c>
      <c r="B334" s="21">
        <v>500000</v>
      </c>
      <c r="C334" s="21">
        <f>VLOOKUP(A334&amp;"|"&amp;B334,$O$3:$P$16,2,FALSE)</f>
        <v>1650</v>
      </c>
      <c r="D334" s="21">
        <f>VLOOKUP(A334&amp;"|"&amp;B334,$Q$3:$R$16,2,FALSE)</f>
        <v>23350</v>
      </c>
      <c r="E334" s="2"/>
      <c r="F334" s="21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thickTop="1" thickBot="1">
      <c r="A335" s="21"/>
      <c r="B335" s="21"/>
      <c r="C335" s="21"/>
      <c r="D335" s="21"/>
      <c r="E335" s="2"/>
      <c r="F335" s="21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thickTop="1" thickBot="1">
      <c r="A336" s="21"/>
      <c r="B336" s="21"/>
      <c r="C336" s="21"/>
      <c r="D336" s="21"/>
      <c r="E336" s="2"/>
      <c r="F336" s="21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thickTop="1" thickBot="1">
      <c r="A337" s="21"/>
      <c r="B337" s="21"/>
      <c r="C337" s="21"/>
      <c r="D337" s="21"/>
      <c r="E337" s="2"/>
      <c r="F337" s="21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thickTop="1" thickBot="1">
      <c r="A338" s="21" t="s">
        <v>16</v>
      </c>
      <c r="B338" s="21"/>
      <c r="C338" s="21"/>
      <c r="D338" s="21">
        <f>SUM(D333:D337)</f>
        <v>45850</v>
      </c>
      <c r="E338" s="10"/>
      <c r="F338" s="84" t="s">
        <v>16</v>
      </c>
      <c r="G338" s="85"/>
      <c r="H338" s="86"/>
      <c r="I338" s="21">
        <f>SUM(I333:I337)</f>
        <v>22500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thickTop="1" thickBo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thickTop="1" thickBot="1">
      <c r="A340" s="21" t="s">
        <v>0</v>
      </c>
      <c r="B340" s="21" t="s">
        <v>128</v>
      </c>
      <c r="C340" s="21" t="s">
        <v>34</v>
      </c>
      <c r="D340" s="9">
        <v>45844</v>
      </c>
      <c r="E340" s="2"/>
      <c r="F340" s="21" t="s">
        <v>0</v>
      </c>
      <c r="G340" s="21" t="s">
        <v>129</v>
      </c>
      <c r="H340" s="21" t="s">
        <v>39</v>
      </c>
      <c r="I340" s="9">
        <v>45844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thickTop="1" thickBot="1">
      <c r="A341" s="21" t="s">
        <v>6</v>
      </c>
      <c r="B341" s="21" t="s">
        <v>7</v>
      </c>
      <c r="C341" s="21" t="s">
        <v>8</v>
      </c>
      <c r="D341" s="21" t="s">
        <v>9</v>
      </c>
      <c r="E341" s="2"/>
      <c r="F341" s="21" t="s">
        <v>6</v>
      </c>
      <c r="G341" s="21" t="s">
        <v>7</v>
      </c>
      <c r="H341" s="21" t="s">
        <v>8</v>
      </c>
      <c r="I341" s="21" t="s">
        <v>9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thickTop="1" thickBot="1">
      <c r="A342" s="21">
        <v>11</v>
      </c>
      <c r="B342" s="21">
        <v>500000</v>
      </c>
      <c r="C342" s="21">
        <f>VLOOKUP(A342&amp;"|"&amp;B342,$O$3:$P$16,2,FALSE)</f>
        <v>1650</v>
      </c>
      <c r="D342" s="21">
        <f>VLOOKUP(A342&amp;"|"&amp;B342,$Q$3:$R$16,2,FALSE)</f>
        <v>23350</v>
      </c>
      <c r="E342" s="2"/>
      <c r="F342" s="21">
        <v>18</v>
      </c>
      <c r="G342" s="21">
        <v>500000</v>
      </c>
      <c r="H342" s="21">
        <f>VLOOKUP(F342&amp;"|"&amp;G342,$O$3:$P$16,2,FALSE)</f>
        <v>150</v>
      </c>
      <c r="I342" s="21">
        <f>VLOOKUP(F342&amp;"|"&amp;G342,$Q$3:$R$16,2,FALSE)</f>
        <v>24850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thickTop="1" thickBot="1">
      <c r="A343" s="21"/>
      <c r="B343" s="21"/>
      <c r="C343" s="21"/>
      <c r="D343" s="21"/>
      <c r="E343" s="2"/>
      <c r="F343" s="21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thickTop="1" thickBot="1">
      <c r="A344" s="21"/>
      <c r="B344" s="21"/>
      <c r="C344" s="21"/>
      <c r="D344" s="21"/>
      <c r="E344" s="2"/>
      <c r="F344" s="21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thickTop="1" thickBot="1">
      <c r="A345" s="21"/>
      <c r="B345" s="21"/>
      <c r="C345" s="21"/>
      <c r="D345" s="21"/>
      <c r="E345" s="2"/>
      <c r="F345" s="21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thickTop="1" thickBot="1">
      <c r="A346" s="21"/>
      <c r="B346" s="21"/>
      <c r="C346" s="21"/>
      <c r="D346" s="21"/>
      <c r="E346" s="2"/>
      <c r="F346" s="21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thickTop="1" thickBot="1">
      <c r="A347" s="21" t="s">
        <v>16</v>
      </c>
      <c r="B347" s="21"/>
      <c r="C347" s="21"/>
      <c r="D347" s="21">
        <f>SUM(D342:D346)</f>
        <v>23350</v>
      </c>
      <c r="E347" s="2"/>
      <c r="F347" s="84" t="s">
        <v>16</v>
      </c>
      <c r="G347" s="85"/>
      <c r="H347" s="86"/>
      <c r="I347" s="21">
        <f>SUM(I342:I346)</f>
        <v>24850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thickTop="1" thickBot="1">
      <c r="A348" s="10"/>
      <c r="B348" s="10"/>
      <c r="C348" s="10"/>
      <c r="D348" s="10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thickTop="1" thickBot="1">
      <c r="A349" s="21" t="s">
        <v>0</v>
      </c>
      <c r="B349" s="21" t="s">
        <v>130</v>
      </c>
      <c r="C349" s="21" t="s">
        <v>104</v>
      </c>
      <c r="D349" s="9">
        <v>45844</v>
      </c>
      <c r="E349" s="2"/>
      <c r="F349" s="21" t="s">
        <v>0</v>
      </c>
      <c r="G349" s="21"/>
      <c r="H349" s="21"/>
      <c r="I349" s="9">
        <v>45844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thickTop="1" thickBot="1">
      <c r="A350" s="21" t="s">
        <v>6</v>
      </c>
      <c r="B350" s="21" t="s">
        <v>7</v>
      </c>
      <c r="C350" s="21" t="s">
        <v>8</v>
      </c>
      <c r="D350" s="21" t="s">
        <v>9</v>
      </c>
      <c r="E350" s="2"/>
      <c r="F350" s="21" t="s">
        <v>6</v>
      </c>
      <c r="G350" s="21" t="s">
        <v>7</v>
      </c>
      <c r="H350" s="21" t="s">
        <v>8</v>
      </c>
      <c r="I350" s="21" t="s">
        <v>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thickTop="1" thickBot="1">
      <c r="A351" s="21">
        <v>14</v>
      </c>
      <c r="B351" s="21">
        <v>500000</v>
      </c>
      <c r="C351" s="21">
        <f>VLOOKUP(A351&amp;"|"&amp;B351,$O$3:$P$16,2,FALSE)</f>
        <v>1000</v>
      </c>
      <c r="D351" s="21">
        <f>VLOOKUP(A351&amp;"|"&amp;B351,$Q$3:$R$16,2,FALSE)</f>
        <v>24000</v>
      </c>
      <c r="E351" s="2"/>
      <c r="F351" s="21"/>
      <c r="G351" s="21"/>
      <c r="H351" s="21"/>
      <c r="I351" s="2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thickTop="1" thickBot="1">
      <c r="A352" s="21"/>
      <c r="B352" s="21"/>
      <c r="C352" s="21"/>
      <c r="D352" s="21"/>
      <c r="E352" s="2"/>
      <c r="F352" s="21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thickTop="1" thickBot="1">
      <c r="A353" s="21"/>
      <c r="B353" s="21"/>
      <c r="C353" s="21"/>
      <c r="D353" s="21"/>
      <c r="E353" s="2"/>
      <c r="F353" s="21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thickTop="1" thickBot="1">
      <c r="A354" s="21"/>
      <c r="B354" s="21"/>
      <c r="C354" s="21"/>
      <c r="D354" s="21"/>
      <c r="E354" s="2"/>
      <c r="F354" s="21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thickTop="1" thickBot="1">
      <c r="A355" s="21"/>
      <c r="B355" s="21"/>
      <c r="C355" s="21"/>
      <c r="D355" s="21"/>
      <c r="E355" s="2"/>
      <c r="F355" s="21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thickTop="1" thickBot="1">
      <c r="A356" s="21" t="s">
        <v>16</v>
      </c>
      <c r="B356" s="21"/>
      <c r="C356" s="21"/>
      <c r="D356" s="21">
        <f>SUM(D351:D355)</f>
        <v>24000</v>
      </c>
      <c r="E356" s="2"/>
      <c r="F356" s="84" t="s">
        <v>16</v>
      </c>
      <c r="G356" s="85"/>
      <c r="H356" s="86"/>
      <c r="I356" s="21">
        <f>SUM(I351:I355)</f>
        <v>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thickTop="1" thickBot="1">
      <c r="A357" s="10"/>
      <c r="B357" s="10"/>
      <c r="C357" s="10"/>
      <c r="D357" s="10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thickTop="1" thickBot="1">
      <c r="A358" s="21" t="s">
        <v>0</v>
      </c>
      <c r="B358" s="21" t="s">
        <v>132</v>
      </c>
      <c r="C358" s="21" t="s">
        <v>133</v>
      </c>
      <c r="D358" s="9">
        <v>45844</v>
      </c>
      <c r="E358" s="2"/>
      <c r="F358" s="21" t="s">
        <v>0</v>
      </c>
      <c r="G358" s="21" t="s">
        <v>63</v>
      </c>
      <c r="H358" s="21" t="s">
        <v>43</v>
      </c>
      <c r="I358" s="9">
        <v>45844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thickTop="1" thickBot="1">
      <c r="A359" s="21" t="s">
        <v>6</v>
      </c>
      <c r="B359" s="21" t="s">
        <v>7</v>
      </c>
      <c r="C359" s="21" t="s">
        <v>8</v>
      </c>
      <c r="D359" s="21" t="s">
        <v>9</v>
      </c>
      <c r="E359" s="2"/>
      <c r="F359" s="21" t="s">
        <v>6</v>
      </c>
      <c r="G359" s="21" t="s">
        <v>7</v>
      </c>
      <c r="H359" s="21" t="s">
        <v>8</v>
      </c>
      <c r="I359" s="21" t="s">
        <v>9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thickTop="1" thickBot="1">
      <c r="A360" s="21">
        <v>3</v>
      </c>
      <c r="B360" s="21">
        <v>500000</v>
      </c>
      <c r="C360" s="21">
        <f>VLOOKUP(A360&amp;"|"&amp;B360,$O$3:$P$16,2,FALSE)</f>
        <v>3600</v>
      </c>
      <c r="D360" s="21">
        <f>VLOOKUP(A360&amp;"|"&amp;B360,$Q$3:$R$16,2,FALSE)</f>
        <v>21400</v>
      </c>
      <c r="E360" s="2"/>
      <c r="F360" s="21">
        <v>11</v>
      </c>
      <c r="G360" s="21">
        <v>500000</v>
      </c>
      <c r="H360" s="21">
        <f>VLOOKUP(F360&amp;"|"&amp;G360,$O$3:$P$16,2,FALSE)</f>
        <v>1650</v>
      </c>
      <c r="I360" s="21">
        <f>VLOOKUP(F360&amp;"|"&amp;G360,$Q$3:$R$16,2,FALSE)</f>
        <v>23350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thickTop="1" thickBot="1">
      <c r="A361" s="21"/>
      <c r="B361" s="21"/>
      <c r="C361" s="21"/>
      <c r="D361" s="21"/>
      <c r="E361" s="2"/>
      <c r="F361" s="21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thickTop="1" thickBot="1">
      <c r="A362" s="21"/>
      <c r="B362" s="21"/>
      <c r="C362" s="21"/>
      <c r="D362" s="21"/>
      <c r="E362" s="2"/>
      <c r="F362" s="21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thickTop="1" thickBot="1">
      <c r="A363" s="21"/>
      <c r="B363" s="21"/>
      <c r="C363" s="21"/>
      <c r="D363" s="21"/>
      <c r="E363" s="2"/>
      <c r="F363" s="21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thickTop="1" thickBot="1">
      <c r="A364" s="21"/>
      <c r="B364" s="21"/>
      <c r="C364" s="21"/>
      <c r="D364" s="21"/>
      <c r="E364" s="2"/>
      <c r="F364" s="21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thickTop="1" thickBot="1">
      <c r="A365" s="21" t="s">
        <v>16</v>
      </c>
      <c r="B365" s="21"/>
      <c r="C365" s="21"/>
      <c r="D365" s="21">
        <f>SUM(D360:D364)</f>
        <v>21400</v>
      </c>
      <c r="E365" s="2"/>
      <c r="F365" s="84" t="s">
        <v>16</v>
      </c>
      <c r="G365" s="85"/>
      <c r="H365" s="86"/>
      <c r="I365" s="21">
        <f>SUM(I360:I364)</f>
        <v>23350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thickTop="1" thickBo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thickTop="1" thickBot="1">
      <c r="A367" s="21" t="s">
        <v>0</v>
      </c>
      <c r="B367" s="21" t="s">
        <v>187</v>
      </c>
      <c r="C367" s="21" t="s">
        <v>28</v>
      </c>
      <c r="D367" s="9">
        <v>45844</v>
      </c>
      <c r="E367" s="2"/>
      <c r="F367" s="21" t="s">
        <v>0</v>
      </c>
      <c r="G367" s="21" t="s">
        <v>126</v>
      </c>
      <c r="H367" s="21" t="s">
        <v>43</v>
      </c>
      <c r="I367" s="9">
        <v>45844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thickTop="1" thickBot="1">
      <c r="A368" s="21" t="s">
        <v>6</v>
      </c>
      <c r="B368" s="21" t="s">
        <v>7</v>
      </c>
      <c r="C368" s="21" t="s">
        <v>8</v>
      </c>
      <c r="D368" s="21" t="s">
        <v>9</v>
      </c>
      <c r="E368" s="2"/>
      <c r="F368" s="21" t="s">
        <v>6</v>
      </c>
      <c r="G368" s="21" t="s">
        <v>7</v>
      </c>
      <c r="H368" s="21" t="s">
        <v>8</v>
      </c>
      <c r="I368" s="21" t="s">
        <v>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thickTop="1" thickBot="1">
      <c r="A369" s="21">
        <v>3</v>
      </c>
      <c r="B369" s="21">
        <v>1000000</v>
      </c>
      <c r="C369" s="21">
        <f>VLOOKUP(A369&amp;"|"&amp;B369,$O$3:$P$16,2,FALSE)</f>
        <v>6500</v>
      </c>
      <c r="D369" s="21">
        <f>VLOOKUP(A369&amp;"|"&amp;B369,$Q$3:$R$16,2,FALSE)</f>
        <v>43500</v>
      </c>
      <c r="E369" s="2"/>
      <c r="F369" s="21">
        <v>11</v>
      </c>
      <c r="G369" s="21">
        <v>500000</v>
      </c>
      <c r="H369" s="21">
        <f>VLOOKUP(F369&amp;"|"&amp;G369,$O$3:$P$16,2,FALSE)</f>
        <v>1650</v>
      </c>
      <c r="I369" s="21">
        <f>VLOOKUP(F369&amp;"|"&amp;G369,$Q$3:$R$16,2,FALSE)</f>
        <v>23350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thickTop="1" thickBot="1">
      <c r="A370" s="21">
        <v>18</v>
      </c>
      <c r="B370" s="21">
        <v>500000</v>
      </c>
      <c r="C370" s="21">
        <f>VLOOKUP(A370&amp;"|"&amp;B370,$O$3:$P$16,2,FALSE)</f>
        <v>150</v>
      </c>
      <c r="D370" s="21">
        <f>VLOOKUP(A370&amp;"|"&amp;B370,$Q$3:$R$16,2,FALSE)</f>
        <v>24850</v>
      </c>
      <c r="E370" s="4"/>
      <c r="F370" s="21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thickTop="1" thickBot="1">
      <c r="A371" s="21"/>
      <c r="B371" s="21"/>
      <c r="C371" s="21"/>
      <c r="D371" s="21"/>
      <c r="E371" s="4"/>
      <c r="F371" s="21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thickTop="1" thickBot="1">
      <c r="A372" s="21"/>
      <c r="B372" s="21"/>
      <c r="C372" s="21"/>
      <c r="D372" s="21"/>
      <c r="E372" s="4"/>
      <c r="F372" s="21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thickTop="1" thickBot="1">
      <c r="A373" s="21"/>
      <c r="B373" s="21"/>
      <c r="C373" s="21"/>
      <c r="D373" s="21"/>
      <c r="E373" s="4"/>
      <c r="F373" s="21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thickTop="1" thickBot="1">
      <c r="A374" s="21" t="s">
        <v>16</v>
      </c>
      <c r="B374" s="21"/>
      <c r="C374" s="21"/>
      <c r="D374" s="21">
        <f>SUM(D369:D373)</f>
        <v>68350</v>
      </c>
      <c r="E374" s="4"/>
      <c r="F374" s="84" t="s">
        <v>16</v>
      </c>
      <c r="G374" s="85"/>
      <c r="H374" s="86"/>
      <c r="I374" s="21">
        <f>SUM(I369:I373)</f>
        <v>23350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thickTop="1" thickBo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thickTop="1" thickBot="1">
      <c r="A376" s="21" t="s">
        <v>0</v>
      </c>
      <c r="B376" s="21" t="s">
        <v>35</v>
      </c>
      <c r="C376" s="21" t="s">
        <v>62</v>
      </c>
      <c r="D376" s="9">
        <v>45844</v>
      </c>
      <c r="E376" s="4"/>
      <c r="F376" s="21" t="s">
        <v>0</v>
      </c>
      <c r="G376" s="21" t="s">
        <v>109</v>
      </c>
      <c r="H376" s="21" t="s">
        <v>134</v>
      </c>
      <c r="I376" s="9">
        <v>45844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thickTop="1" thickBot="1">
      <c r="A377" s="21" t="s">
        <v>6</v>
      </c>
      <c r="B377" s="21" t="s">
        <v>7</v>
      </c>
      <c r="C377" s="21" t="s">
        <v>8</v>
      </c>
      <c r="D377" s="21" t="s">
        <v>9</v>
      </c>
      <c r="E377" s="4"/>
      <c r="F377" s="21" t="s">
        <v>6</v>
      </c>
      <c r="G377" s="21" t="s">
        <v>7</v>
      </c>
      <c r="H377" s="21" t="s">
        <v>8</v>
      </c>
      <c r="I377" s="21" t="s">
        <v>9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thickTop="1" thickBot="1">
      <c r="A378" s="21">
        <v>3</v>
      </c>
      <c r="B378" s="21">
        <v>500000</v>
      </c>
      <c r="C378" s="21">
        <f>VLOOKUP(A378&amp;"|"&amp;B378,$O$3:$P$17,2,FALSE)</f>
        <v>3600</v>
      </c>
      <c r="D378" s="21">
        <f>VLOOKUP(A378&amp;"|"&amp;B378,$Q$3:$R$17,2,FALSE)</f>
        <v>21400</v>
      </c>
      <c r="E378" s="4"/>
      <c r="F378" s="21">
        <v>3</v>
      </c>
      <c r="G378" s="21">
        <v>500000</v>
      </c>
      <c r="H378" s="21">
        <f>VLOOKUP(F378&amp;"|"&amp;G378,$O$3:$P$17,2,FALSE)</f>
        <v>3600</v>
      </c>
      <c r="I378" s="21">
        <f>VLOOKUP(F378&amp;"|"&amp;G378,$Q$3:$R$17,2,FALSE)</f>
        <v>21400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thickTop="1" thickBot="1">
      <c r="A379" s="21"/>
      <c r="B379" s="21"/>
      <c r="C379" s="21"/>
      <c r="D379" s="21"/>
      <c r="E379" s="4"/>
      <c r="F379" s="21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thickTop="1" thickBot="1">
      <c r="A380" s="21"/>
      <c r="B380" s="21"/>
      <c r="C380" s="21"/>
      <c r="D380" s="21"/>
      <c r="E380" s="4"/>
      <c r="F380" s="21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thickTop="1" thickBot="1">
      <c r="A381" s="21"/>
      <c r="B381" s="21"/>
      <c r="C381" s="21"/>
      <c r="D381" s="21"/>
      <c r="E381" s="4"/>
      <c r="F381" s="21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thickTop="1" thickBot="1">
      <c r="A382" s="21"/>
      <c r="B382" s="21"/>
      <c r="C382" s="21"/>
      <c r="D382" s="21"/>
      <c r="E382" s="4"/>
      <c r="F382" s="21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thickTop="1" thickBot="1">
      <c r="A383" s="21" t="s">
        <v>16</v>
      </c>
      <c r="B383" s="21"/>
      <c r="C383" s="21"/>
      <c r="D383" s="21">
        <f>SUM(D378:D382)</f>
        <v>21400</v>
      </c>
      <c r="E383" s="4"/>
      <c r="F383" s="84" t="s">
        <v>16</v>
      </c>
      <c r="G383" s="85"/>
      <c r="H383" s="86"/>
      <c r="I383" s="21">
        <f>SUM(I378:I382)</f>
        <v>21400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thickTop="1" thickBo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thickTop="1" thickBot="1">
      <c r="A385" s="21" t="s">
        <v>0</v>
      </c>
      <c r="B385" s="21" t="s">
        <v>128</v>
      </c>
      <c r="C385" s="21" t="s">
        <v>134</v>
      </c>
      <c r="D385" s="9">
        <v>45844</v>
      </c>
      <c r="E385" s="4"/>
      <c r="F385" s="21" t="s">
        <v>0</v>
      </c>
      <c r="G385" s="21" t="s">
        <v>135</v>
      </c>
      <c r="H385" s="21" t="s">
        <v>136</v>
      </c>
      <c r="I385" s="9">
        <v>45844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thickTop="1" thickBot="1">
      <c r="A386" s="21" t="s">
        <v>6</v>
      </c>
      <c r="B386" s="21" t="s">
        <v>7</v>
      </c>
      <c r="C386" s="21" t="s">
        <v>8</v>
      </c>
      <c r="D386" s="21" t="s">
        <v>9</v>
      </c>
      <c r="E386" s="4"/>
      <c r="F386" s="21" t="s">
        <v>6</v>
      </c>
      <c r="G386" s="21" t="s">
        <v>7</v>
      </c>
      <c r="H386" s="21" t="s">
        <v>8</v>
      </c>
      <c r="I386" s="21" t="s">
        <v>9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thickTop="1" thickBot="1">
      <c r="A387" s="21">
        <v>14</v>
      </c>
      <c r="B387" s="21">
        <v>1000000</v>
      </c>
      <c r="C387" s="21">
        <f>VLOOKUP(A387&amp;"|"&amp;B387,$O$3:$P$16,2,FALSE)</f>
        <v>1900</v>
      </c>
      <c r="D387" s="21">
        <f>VLOOKUP(A387&amp;"|"&amp;B387,$Q$3:$R$16,2,FALSE)</f>
        <v>48100</v>
      </c>
      <c r="E387" s="4"/>
      <c r="F387" s="21">
        <v>8</v>
      </c>
      <c r="G387" s="21">
        <v>500000</v>
      </c>
      <c r="H387" s="21">
        <f>VLOOKUP(F387&amp;"|"&amp;G387,$O$3:$P$16,2,FALSE)</f>
        <v>2500</v>
      </c>
      <c r="I387" s="21">
        <f>VLOOKUP(F387&amp;"|"&amp;G387,$Q$3:$R$16,2,FALSE)</f>
        <v>22500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thickTop="1" thickBot="1">
      <c r="A388" s="21">
        <v>14.1</v>
      </c>
      <c r="B388" s="21">
        <v>1000000</v>
      </c>
      <c r="C388" s="21">
        <f>VLOOKUP(A388&amp;"|"&amp;B388,$O$3:$P$16,2,FALSE)</f>
        <v>1850</v>
      </c>
      <c r="D388" s="21">
        <f>VLOOKUP(A388&amp;"|"&amp;B388,$Q$3:$R$16,2,FALSE)</f>
        <v>48150</v>
      </c>
      <c r="E388" s="4"/>
      <c r="F388" s="21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thickTop="1" thickBot="1">
      <c r="A389" s="21"/>
      <c r="B389" s="21"/>
      <c r="C389" s="21"/>
      <c r="D389" s="21"/>
      <c r="E389" s="4"/>
      <c r="F389" s="21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thickTop="1" thickBot="1">
      <c r="A390" s="21"/>
      <c r="B390" s="21"/>
      <c r="C390" s="21"/>
      <c r="D390" s="21"/>
      <c r="E390" s="4"/>
      <c r="F390" s="21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thickTop="1" thickBot="1">
      <c r="A391" s="21"/>
      <c r="B391" s="21"/>
      <c r="C391" s="21"/>
      <c r="D391" s="21"/>
      <c r="E391" s="4"/>
      <c r="F391" s="21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thickTop="1" thickBot="1">
      <c r="A392" s="59" t="s">
        <v>49</v>
      </c>
      <c r="B392" s="53"/>
      <c r="C392" s="54"/>
      <c r="D392" s="21">
        <f>SUM(D387:D391)</f>
        <v>96250</v>
      </c>
      <c r="E392" s="4"/>
      <c r="F392" s="84" t="s">
        <v>16</v>
      </c>
      <c r="G392" s="85"/>
      <c r="H392" s="86"/>
      <c r="I392" s="21">
        <f>SUM(I387:I391)</f>
        <v>22500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thickTop="1" thickBot="1">
      <c r="A393" s="2"/>
      <c r="B393" s="2"/>
      <c r="C393" s="2"/>
      <c r="D393" s="10"/>
      <c r="E393" s="4"/>
      <c r="F393" s="2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thickTop="1" thickBot="1">
      <c r="A394" s="21" t="s">
        <v>0</v>
      </c>
      <c r="B394" s="21" t="s">
        <v>137</v>
      </c>
      <c r="C394" s="21" t="s">
        <v>138</v>
      </c>
      <c r="D394" s="9">
        <v>45844</v>
      </c>
      <c r="E394" s="4"/>
      <c r="F394" s="21" t="s">
        <v>0</v>
      </c>
      <c r="G394" s="21" t="s">
        <v>139</v>
      </c>
      <c r="H394" s="21" t="s">
        <v>140</v>
      </c>
      <c r="I394" s="9">
        <v>45844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thickTop="1" thickBot="1">
      <c r="A395" s="21" t="s">
        <v>6</v>
      </c>
      <c r="B395" s="21" t="s">
        <v>7</v>
      </c>
      <c r="C395" s="21" t="s">
        <v>8</v>
      </c>
      <c r="D395" s="21" t="s">
        <v>9</v>
      </c>
      <c r="E395" s="4"/>
      <c r="F395" s="21" t="s">
        <v>6</v>
      </c>
      <c r="G395" s="21" t="s">
        <v>7</v>
      </c>
      <c r="H395" s="21" t="s">
        <v>8</v>
      </c>
      <c r="I395" s="21" t="s">
        <v>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thickTop="1" thickBot="1">
      <c r="A396" s="21">
        <v>14</v>
      </c>
      <c r="B396" s="21">
        <v>1000000</v>
      </c>
      <c r="C396" s="21">
        <f>VLOOKUP(A396&amp;"|"&amp;B396,$O$3:$P$16,2,FALSE)</f>
        <v>1900</v>
      </c>
      <c r="D396" s="21">
        <f>VLOOKUP(A396&amp;"|"&amp;B396,$Q$3:$R$16,2,FALSE)</f>
        <v>48100</v>
      </c>
      <c r="E396" s="4"/>
      <c r="F396" s="21">
        <v>3</v>
      </c>
      <c r="G396" s="21">
        <v>1000000</v>
      </c>
      <c r="H396" s="21">
        <f>VLOOKUP(F396&amp;"|"&amp;G396,$O$3:$P$16,2,FALSE)</f>
        <v>6500</v>
      </c>
      <c r="I396" s="21">
        <f>VLOOKUP(F396&amp;"|"&amp;G396,$Q$3:$R$16,2,FALSE)</f>
        <v>43500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thickTop="1" thickBot="1">
      <c r="A397" s="21"/>
      <c r="B397" s="21"/>
      <c r="C397" s="21"/>
      <c r="D397" s="21"/>
      <c r="E397" s="4"/>
      <c r="F397" s="21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thickTop="1" thickBot="1">
      <c r="A398" s="21"/>
      <c r="B398" s="21"/>
      <c r="C398" s="21"/>
      <c r="D398" s="21"/>
      <c r="E398" s="4"/>
      <c r="F398" s="21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thickTop="1" thickBot="1">
      <c r="A399" s="21"/>
      <c r="B399" s="21"/>
      <c r="C399" s="21"/>
      <c r="D399" s="21"/>
      <c r="E399" s="4"/>
      <c r="F399" s="21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thickTop="1" thickBot="1">
      <c r="A400" s="21"/>
      <c r="B400" s="21"/>
      <c r="C400" s="21"/>
      <c r="D400" s="21"/>
      <c r="E400" s="4"/>
      <c r="F400" s="21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thickTop="1" thickBot="1">
      <c r="A401" s="59" t="s">
        <v>49</v>
      </c>
      <c r="B401" s="53"/>
      <c r="C401" s="54"/>
      <c r="D401" s="21">
        <f>SUM(D396:D400)</f>
        <v>48100</v>
      </c>
      <c r="E401" s="4"/>
      <c r="F401" s="84" t="s">
        <v>16</v>
      </c>
      <c r="G401" s="85"/>
      <c r="H401" s="86"/>
      <c r="I401" s="21">
        <f>SUM(I396:I400)</f>
        <v>43500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thickTop="1" thickBot="1">
      <c r="A402" s="2"/>
      <c r="B402" s="2"/>
      <c r="C402" s="2"/>
      <c r="D402" s="2"/>
      <c r="E402" s="4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thickTop="1" thickBot="1">
      <c r="A403" s="12" t="s">
        <v>0</v>
      </c>
      <c r="B403" s="12" t="s">
        <v>141</v>
      </c>
      <c r="C403" s="12" t="s">
        <v>142</v>
      </c>
      <c r="D403" s="9">
        <v>45844</v>
      </c>
      <c r="E403" s="4"/>
      <c r="F403" s="21" t="s">
        <v>0</v>
      </c>
      <c r="G403" s="21" t="s">
        <v>143</v>
      </c>
      <c r="H403" s="21" t="s">
        <v>144</v>
      </c>
      <c r="I403" s="9">
        <v>45844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thickTop="1" thickBot="1">
      <c r="A404" s="21" t="s">
        <v>6</v>
      </c>
      <c r="B404" s="21" t="s">
        <v>7</v>
      </c>
      <c r="C404" s="21" t="s">
        <v>8</v>
      </c>
      <c r="D404" s="21" t="s">
        <v>9</v>
      </c>
      <c r="E404" s="4"/>
      <c r="F404" s="21" t="s">
        <v>6</v>
      </c>
      <c r="G404" s="21" t="s">
        <v>7</v>
      </c>
      <c r="H404" s="21" t="s">
        <v>8</v>
      </c>
      <c r="I404" s="21" t="s">
        <v>9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thickTop="1" thickBot="1">
      <c r="A405" s="21">
        <v>14.1</v>
      </c>
      <c r="B405" s="21">
        <v>1000000</v>
      </c>
      <c r="C405" s="21">
        <f>VLOOKUP(A405&amp;"|"&amp;B405,$O$3:$P$16,2,FALSE)</f>
        <v>1850</v>
      </c>
      <c r="D405" s="21">
        <f>VLOOKUP(A405&amp;"|"&amp;B405,$Q$3:$R$16,2,FALSE)</f>
        <v>48150</v>
      </c>
      <c r="E405" s="4"/>
      <c r="F405" s="21">
        <v>14</v>
      </c>
      <c r="G405" s="21">
        <v>500000</v>
      </c>
      <c r="H405" s="21">
        <f>VLOOKUP(F405&amp;"|"&amp;G405,$O$3:$P$16,2,FALSE)</f>
        <v>1000</v>
      </c>
      <c r="I405" s="21">
        <f>VLOOKUP(F405&amp;"|"&amp;G405,$Q$3:$R$16,2,FALSE)</f>
        <v>24000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thickTop="1" thickBot="1">
      <c r="A406" s="21"/>
      <c r="B406" s="21"/>
      <c r="C406" s="21"/>
      <c r="D406" s="21"/>
      <c r="E406" s="4"/>
      <c r="F406" s="21">
        <v>18</v>
      </c>
      <c r="G406" s="21">
        <v>500000</v>
      </c>
      <c r="H406" s="21">
        <f>VLOOKUP(F406&amp;"|"&amp;G406,$O$3:$P$16,2,FALSE)</f>
        <v>150</v>
      </c>
      <c r="I406" s="21">
        <f>VLOOKUP(F406&amp;"|"&amp;G406,$Q$3:$R$16,2,FALSE)</f>
        <v>24850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thickTop="1" thickBot="1">
      <c r="A407" s="21"/>
      <c r="B407" s="21"/>
      <c r="C407" s="21"/>
      <c r="D407" s="21"/>
      <c r="E407" s="4"/>
      <c r="F407" s="21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thickTop="1" thickBot="1">
      <c r="A408" s="21"/>
      <c r="B408" s="21"/>
      <c r="C408" s="21"/>
      <c r="D408" s="21"/>
      <c r="E408" s="4"/>
      <c r="F408" s="21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thickTop="1" thickBot="1">
      <c r="A409" s="21"/>
      <c r="B409" s="21"/>
      <c r="C409" s="21"/>
      <c r="D409" s="21"/>
      <c r="E409" s="4"/>
      <c r="F409" s="21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thickTop="1" thickBot="1">
      <c r="A410" s="59" t="s">
        <v>49</v>
      </c>
      <c r="B410" s="53"/>
      <c r="C410" s="54"/>
      <c r="D410" s="21">
        <f>SUM(D405:D409)</f>
        <v>48150</v>
      </c>
      <c r="E410" s="4"/>
      <c r="F410" s="84" t="s">
        <v>16</v>
      </c>
      <c r="G410" s="85"/>
      <c r="H410" s="86"/>
      <c r="I410" s="21">
        <f>SUM(I405:I409)</f>
        <v>48850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thickTop="1" thickBot="1">
      <c r="A411" s="2"/>
      <c r="B411" s="2"/>
      <c r="C411" s="2"/>
      <c r="D411" s="2"/>
      <c r="E411" s="4"/>
      <c r="F411" s="2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thickTop="1" thickBot="1">
      <c r="A412" s="12" t="s">
        <v>0</v>
      </c>
      <c r="B412" s="12" t="s">
        <v>145</v>
      </c>
      <c r="C412" s="12" t="s">
        <v>43</v>
      </c>
      <c r="D412" s="9">
        <v>45844</v>
      </c>
      <c r="E412" s="4"/>
      <c r="F412" s="21" t="s">
        <v>0</v>
      </c>
      <c r="G412" s="21" t="s">
        <v>146</v>
      </c>
      <c r="H412" s="21" t="s">
        <v>147</v>
      </c>
      <c r="I412" s="9">
        <v>45844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thickTop="1" thickBot="1">
      <c r="A413" s="21" t="s">
        <v>6</v>
      </c>
      <c r="B413" s="21" t="s">
        <v>7</v>
      </c>
      <c r="C413" s="21" t="s">
        <v>8</v>
      </c>
      <c r="D413" s="21" t="s">
        <v>9</v>
      </c>
      <c r="E413" s="4"/>
      <c r="F413" s="21" t="s">
        <v>6</v>
      </c>
      <c r="G413" s="21" t="s">
        <v>7</v>
      </c>
      <c r="H413" s="21" t="s">
        <v>8</v>
      </c>
      <c r="I413" s="21" t="s">
        <v>9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thickTop="1" thickBot="1">
      <c r="A414" s="21">
        <v>3</v>
      </c>
      <c r="B414" s="21">
        <v>500000</v>
      </c>
      <c r="C414" s="21">
        <f>VLOOKUP(A414&amp;"|"&amp;B414,$O$3:$P$17,2,FALSE)</f>
        <v>3600</v>
      </c>
      <c r="D414" s="21">
        <f>VLOOKUP(A414&amp;"|"&amp;B414,$Q$3:$R$17,2,FALSE)</f>
        <v>21400</v>
      </c>
      <c r="E414" s="4"/>
      <c r="F414" s="21">
        <v>3</v>
      </c>
      <c r="G414" s="21">
        <v>1000000</v>
      </c>
      <c r="H414" s="21">
        <f>VLOOKUP(F414&amp;"|"&amp;G414,$O$3:$P$16,2,FALSE)</f>
        <v>6500</v>
      </c>
      <c r="I414" s="21">
        <f>VLOOKUP(F414&amp;"|"&amp;G414,$Q$3:$R$16,2,FALSE)</f>
        <v>43500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thickTop="1" thickBot="1">
      <c r="A415" s="21"/>
      <c r="B415" s="21"/>
      <c r="C415" s="21"/>
      <c r="D415" s="21"/>
      <c r="E415" s="4"/>
      <c r="F415" s="21">
        <v>18</v>
      </c>
      <c r="G415" s="21">
        <v>500000</v>
      </c>
      <c r="H415" s="21">
        <f>VLOOKUP(F415&amp;"|"&amp;G415,$O$3:$P$16,2,FALSE)</f>
        <v>150</v>
      </c>
      <c r="I415" s="21">
        <f>VLOOKUP(F415&amp;"|"&amp;G415,$Q$3:$R$16,2,FALSE)</f>
        <v>24850</v>
      </c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thickTop="1" thickBot="1">
      <c r="A416" s="21"/>
      <c r="B416" s="21"/>
      <c r="C416" s="21"/>
      <c r="D416" s="21"/>
      <c r="E416" s="4"/>
      <c r="F416" s="21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thickTop="1" thickBot="1">
      <c r="A417" s="21"/>
      <c r="B417" s="21"/>
      <c r="C417" s="21"/>
      <c r="D417" s="21"/>
      <c r="E417" s="4"/>
      <c r="F417" s="21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thickTop="1" thickBot="1">
      <c r="A418" s="21"/>
      <c r="B418" s="21"/>
      <c r="C418" s="21"/>
      <c r="D418" s="21"/>
      <c r="E418" s="4"/>
      <c r="F418" s="21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thickTop="1" thickBot="1">
      <c r="A419" s="59" t="s">
        <v>49</v>
      </c>
      <c r="B419" s="53"/>
      <c r="C419" s="54"/>
      <c r="D419" s="21">
        <f>SUM(D414:D418)</f>
        <v>21400</v>
      </c>
      <c r="E419" s="4"/>
      <c r="F419" s="84" t="s">
        <v>16</v>
      </c>
      <c r="G419" s="85"/>
      <c r="H419" s="86"/>
      <c r="I419" s="21">
        <f>SUM(I414:I418)</f>
        <v>68350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thickTop="1" thickBot="1">
      <c r="A420" s="2"/>
      <c r="B420" s="2"/>
      <c r="C420" s="2"/>
      <c r="D420" s="2"/>
      <c r="E420" s="4"/>
      <c r="F420" s="2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thickTop="1" thickBot="1">
      <c r="A421" s="12" t="s">
        <v>0</v>
      </c>
      <c r="B421" s="12" t="s">
        <v>148</v>
      </c>
      <c r="C421" s="12" t="s">
        <v>62</v>
      </c>
      <c r="D421" s="9">
        <v>45844</v>
      </c>
      <c r="E421" s="4"/>
      <c r="F421" s="12" t="s">
        <v>0</v>
      </c>
      <c r="G421" s="12" t="s">
        <v>33</v>
      </c>
      <c r="H421" s="12" t="s">
        <v>76</v>
      </c>
      <c r="I421" s="9">
        <v>45844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thickTop="1" thickBot="1">
      <c r="A422" s="21" t="s">
        <v>6</v>
      </c>
      <c r="B422" s="21" t="s">
        <v>7</v>
      </c>
      <c r="C422" s="21" t="s">
        <v>8</v>
      </c>
      <c r="D422" s="21" t="s">
        <v>9</v>
      </c>
      <c r="E422" s="4"/>
      <c r="F422" s="21" t="s">
        <v>6</v>
      </c>
      <c r="G422" s="21" t="s">
        <v>7</v>
      </c>
      <c r="H422" s="21" t="s">
        <v>8</v>
      </c>
      <c r="I422" s="21" t="s">
        <v>9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thickTop="1" thickBot="1">
      <c r="A423" s="21">
        <v>3.1</v>
      </c>
      <c r="B423" s="21">
        <v>1000000</v>
      </c>
      <c r="C423" s="21">
        <f>VLOOKUP(A423&amp;"|"&amp;B423,$O$3:$P$17,2,FALSE)</f>
        <v>6750</v>
      </c>
      <c r="D423" s="21">
        <f>VLOOKUP(A423&amp;"|"&amp;B423,$Q$3:$R$17,2,FALSE)</f>
        <v>43250</v>
      </c>
      <c r="E423" s="4"/>
      <c r="F423" s="21">
        <v>3</v>
      </c>
      <c r="G423" s="21">
        <v>2000000</v>
      </c>
      <c r="H423" s="21">
        <f>VLOOKUP(F423&amp;"|"&amp;G423,$O$3:$P$16,2,FALSE)</f>
        <v>13500</v>
      </c>
      <c r="I423" s="21">
        <f>VLOOKUP(F423&amp;"|"&amp;G423,$Q$3:$R$16,2,FALSE)</f>
        <v>86500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thickTop="1" thickBot="1">
      <c r="A424" s="21"/>
      <c r="B424" s="21"/>
      <c r="C424" s="21"/>
      <c r="D424" s="21"/>
      <c r="E424" s="4"/>
      <c r="F424" s="21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thickTop="1" thickBot="1">
      <c r="A425" s="21"/>
      <c r="B425" s="21"/>
      <c r="C425" s="21"/>
      <c r="D425" s="21"/>
      <c r="E425" s="4"/>
      <c r="F425" s="21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thickTop="1" thickBot="1">
      <c r="A426" s="21"/>
      <c r="B426" s="21"/>
      <c r="C426" s="21"/>
      <c r="D426" s="21"/>
      <c r="E426" s="4"/>
      <c r="F426" s="21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thickTop="1" thickBot="1">
      <c r="A427" s="21"/>
      <c r="B427" s="21"/>
      <c r="C427" s="21"/>
      <c r="D427" s="21"/>
      <c r="E427" s="4"/>
      <c r="F427" s="21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thickTop="1" thickBot="1">
      <c r="A428" s="59" t="s">
        <v>49</v>
      </c>
      <c r="B428" s="53"/>
      <c r="C428" s="54"/>
      <c r="D428" s="21">
        <f>SUM(D423:D427)</f>
        <v>43250</v>
      </c>
      <c r="E428" s="4"/>
      <c r="F428" s="81" t="s">
        <v>49</v>
      </c>
      <c r="G428" s="82"/>
      <c r="H428" s="83"/>
      <c r="I428" s="21">
        <f>SUM(I423:I427)</f>
        <v>86500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thickTop="1" thickBot="1">
      <c r="A429" s="2"/>
      <c r="B429" s="2"/>
      <c r="C429" s="2"/>
      <c r="D429" s="2"/>
      <c r="E429" s="4"/>
      <c r="F429" s="2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thickTop="1" thickBot="1">
      <c r="A430" s="12" t="s">
        <v>0</v>
      </c>
      <c r="B430" s="12" t="s">
        <v>149</v>
      </c>
      <c r="C430" s="12" t="s">
        <v>24</v>
      </c>
      <c r="D430" s="9">
        <v>45844</v>
      </c>
      <c r="E430" s="4"/>
      <c r="F430" s="12" t="s">
        <v>0</v>
      </c>
      <c r="G430" s="12" t="s">
        <v>57</v>
      </c>
      <c r="H430" s="12" t="s">
        <v>150</v>
      </c>
      <c r="I430" s="9">
        <v>45844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thickTop="1" thickBot="1">
      <c r="A431" s="21" t="s">
        <v>6</v>
      </c>
      <c r="B431" s="21" t="s">
        <v>7</v>
      </c>
      <c r="C431" s="21" t="s">
        <v>8</v>
      </c>
      <c r="D431" s="21" t="s">
        <v>9</v>
      </c>
      <c r="E431" s="4"/>
      <c r="F431" s="21" t="s">
        <v>6</v>
      </c>
      <c r="G431" s="21" t="s">
        <v>7</v>
      </c>
      <c r="H431" s="21" t="s">
        <v>8</v>
      </c>
      <c r="I431" s="21" t="s">
        <v>9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thickTop="1" thickBot="1">
      <c r="A432" s="21">
        <v>3</v>
      </c>
      <c r="B432" s="21">
        <v>1000000</v>
      </c>
      <c r="C432" s="21">
        <f>VLOOKUP(A432&amp;"|"&amp;B432,$O$3:$P$16,2,FALSE)</f>
        <v>6500</v>
      </c>
      <c r="D432" s="21">
        <f>VLOOKUP(A432&amp;"|"&amp;B432,$Q$3:$R$16,2,FALSE)</f>
        <v>43500</v>
      </c>
      <c r="E432" s="4"/>
      <c r="F432" s="21">
        <v>3</v>
      </c>
      <c r="G432" s="21">
        <v>1000000</v>
      </c>
      <c r="H432" s="21">
        <f>VLOOKUP(F432&amp;"|"&amp;G432,$O$3:$P$16,2,FALSE)</f>
        <v>6500</v>
      </c>
      <c r="I432" s="21">
        <f>VLOOKUP(F432&amp;"|"&amp;G432,$Q$3:$R$16,2,FALSE)</f>
        <v>43500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thickTop="1" thickBot="1">
      <c r="A433" s="21"/>
      <c r="B433" s="21"/>
      <c r="C433" s="21"/>
      <c r="D433" s="21"/>
      <c r="E433" s="4"/>
      <c r="F433" s="21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thickTop="1" thickBot="1">
      <c r="A434" s="21"/>
      <c r="B434" s="21"/>
      <c r="C434" s="21"/>
      <c r="D434" s="21"/>
      <c r="E434" s="4"/>
      <c r="F434" s="21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thickTop="1" thickBot="1">
      <c r="A435" s="21"/>
      <c r="B435" s="21"/>
      <c r="C435" s="21"/>
      <c r="D435" s="21"/>
      <c r="E435" s="4"/>
      <c r="F435" s="21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thickTop="1" thickBot="1">
      <c r="A436" s="21"/>
      <c r="B436" s="21"/>
      <c r="C436" s="21"/>
      <c r="D436" s="21"/>
      <c r="E436" s="4"/>
      <c r="F436" s="21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thickTop="1" thickBot="1">
      <c r="A437" s="59" t="s">
        <v>49</v>
      </c>
      <c r="B437" s="53"/>
      <c r="C437" s="54"/>
      <c r="D437" s="21">
        <f>SUM(D432:D436)</f>
        <v>43500</v>
      </c>
      <c r="E437" s="4"/>
      <c r="F437" s="81" t="s">
        <v>49</v>
      </c>
      <c r="G437" s="82"/>
      <c r="H437" s="83"/>
      <c r="I437" s="21">
        <f>SUM(I432:I436)</f>
        <v>43500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thickTop="1" thickBot="1">
      <c r="A438" s="2"/>
      <c r="B438" s="6"/>
      <c r="C438" s="2"/>
      <c r="D438" s="10"/>
      <c r="E438" s="4"/>
      <c r="F438" s="2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thickTop="1" thickBot="1">
      <c r="A439" s="12" t="s">
        <v>0</v>
      </c>
      <c r="B439" s="12" t="s">
        <v>151</v>
      </c>
      <c r="C439" s="12" t="s">
        <v>43</v>
      </c>
      <c r="D439" s="9">
        <v>45844</v>
      </c>
      <c r="E439" s="4"/>
      <c r="F439" s="12" t="s">
        <v>0</v>
      </c>
      <c r="G439" s="12" t="s">
        <v>152</v>
      </c>
      <c r="H439" s="12" t="s">
        <v>43</v>
      </c>
      <c r="I439" s="9">
        <v>45844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thickTop="1" thickBot="1">
      <c r="A440" s="21" t="s">
        <v>6</v>
      </c>
      <c r="B440" s="21" t="s">
        <v>7</v>
      </c>
      <c r="C440" s="21" t="s">
        <v>8</v>
      </c>
      <c r="D440" s="21" t="s">
        <v>9</v>
      </c>
      <c r="E440" s="4"/>
      <c r="F440" s="21" t="s">
        <v>6</v>
      </c>
      <c r="G440" s="21" t="s">
        <v>7</v>
      </c>
      <c r="H440" s="21" t="s">
        <v>8</v>
      </c>
      <c r="I440" s="21" t="s">
        <v>9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thickTop="1" thickBot="1">
      <c r="A441" s="21">
        <v>18</v>
      </c>
      <c r="B441" s="21">
        <v>500000</v>
      </c>
      <c r="C441" s="21">
        <f>VLOOKUP(A441&amp;"|"&amp;B441,$O$3:$P$16,2,FALSE)</f>
        <v>150</v>
      </c>
      <c r="D441" s="21">
        <f>VLOOKUP(A441&amp;"|"&amp;B441,$Q$3:$R$16,2,FALSE)</f>
        <v>24850</v>
      </c>
      <c r="E441" s="4"/>
      <c r="F441" s="21">
        <v>3</v>
      </c>
      <c r="G441" s="21">
        <v>2000000</v>
      </c>
      <c r="H441" s="21">
        <f>VLOOKUP(F441&amp;"|"&amp;G441,$O$3:$P$16,2,FALSE)</f>
        <v>13500</v>
      </c>
      <c r="I441" s="21">
        <f>VLOOKUP(F441&amp;"|"&amp;G441,$Q$3:$R$16,2,FALSE)</f>
        <v>86500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thickTop="1" thickBot="1">
      <c r="A442" s="21"/>
      <c r="B442" s="21"/>
      <c r="C442" s="21"/>
      <c r="D442" s="21"/>
      <c r="E442" s="4"/>
      <c r="F442" s="21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thickTop="1" thickBot="1">
      <c r="A443" s="21"/>
      <c r="B443" s="21"/>
      <c r="C443" s="21"/>
      <c r="D443" s="21"/>
      <c r="E443" s="4"/>
      <c r="F443" s="21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thickTop="1" thickBot="1">
      <c r="A444" s="21"/>
      <c r="B444" s="21"/>
      <c r="C444" s="21"/>
      <c r="D444" s="21"/>
      <c r="E444" s="4"/>
      <c r="F444" s="21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thickTop="1" thickBot="1">
      <c r="A445" s="21"/>
      <c r="B445" s="21"/>
      <c r="C445" s="21"/>
      <c r="D445" s="21"/>
      <c r="E445" s="4"/>
      <c r="F445" s="21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thickTop="1" thickBot="1">
      <c r="A446" s="59" t="s">
        <v>49</v>
      </c>
      <c r="B446" s="53"/>
      <c r="C446" s="54"/>
      <c r="D446" s="21">
        <f>SUM(D441:D445)</f>
        <v>24850</v>
      </c>
      <c r="E446" s="4"/>
      <c r="F446" s="81" t="s">
        <v>49</v>
      </c>
      <c r="G446" s="82"/>
      <c r="H446" s="83"/>
      <c r="I446" s="21">
        <f>SUM(I441:I445)</f>
        <v>86500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thickTop="1" thickBot="1">
      <c r="A447" s="2"/>
      <c r="B447" s="2"/>
      <c r="C447" s="2"/>
      <c r="D447" s="2"/>
      <c r="E447" s="4"/>
      <c r="F447" s="2"/>
      <c r="G447" s="6"/>
      <c r="H447" s="2"/>
      <c r="I447" s="10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thickTop="1" thickBot="1">
      <c r="A448" s="12" t="s">
        <v>0</v>
      </c>
      <c r="B448" s="12" t="s">
        <v>128</v>
      </c>
      <c r="C448" s="12" t="s">
        <v>101</v>
      </c>
      <c r="D448" s="9">
        <v>45844</v>
      </c>
      <c r="E448" s="4"/>
      <c r="F448" s="12" t="s">
        <v>0</v>
      </c>
      <c r="G448" s="12" t="s">
        <v>153</v>
      </c>
      <c r="H448" s="12" t="s">
        <v>101</v>
      </c>
      <c r="I448" s="9">
        <v>45844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thickTop="1" thickBot="1">
      <c r="A449" s="21" t="s">
        <v>6</v>
      </c>
      <c r="B449" s="21" t="s">
        <v>7</v>
      </c>
      <c r="C449" s="21" t="s">
        <v>8</v>
      </c>
      <c r="D449" s="21" t="s">
        <v>9</v>
      </c>
      <c r="E449" s="4"/>
      <c r="F449" s="21" t="s">
        <v>6</v>
      </c>
      <c r="G449" s="21" t="s">
        <v>7</v>
      </c>
      <c r="H449" s="21" t="s">
        <v>8</v>
      </c>
      <c r="I449" s="21" t="s">
        <v>9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thickTop="1" thickBot="1">
      <c r="A450" s="21">
        <v>18</v>
      </c>
      <c r="B450" s="21">
        <v>500000</v>
      </c>
      <c r="C450" s="21">
        <f>VLOOKUP(A450&amp;"|"&amp;B450,$O$3:$P$16,2,FALSE)</f>
        <v>150</v>
      </c>
      <c r="D450" s="21">
        <f>VLOOKUP(A450&amp;"|"&amp;B450,$Q$3:$R$16,2,FALSE)</f>
        <v>24850</v>
      </c>
      <c r="E450" s="4"/>
      <c r="F450" s="21">
        <v>18</v>
      </c>
      <c r="G450" s="21">
        <v>500000</v>
      </c>
      <c r="H450" s="21">
        <f>VLOOKUP(F450&amp;"|"&amp;G450,$O$3:$P$19,2,FALSE)</f>
        <v>150</v>
      </c>
      <c r="I450" s="21">
        <f>VLOOKUP(F450&amp;"|"&amp;G450,$Q$3:$R$19,2,FALSE)</f>
        <v>24850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thickTop="1" thickBot="1">
      <c r="A451" s="21"/>
      <c r="B451" s="21"/>
      <c r="C451" s="21"/>
      <c r="D451" s="21"/>
      <c r="E451" s="4"/>
      <c r="F451" s="21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thickTop="1" thickBot="1">
      <c r="A452" s="21"/>
      <c r="B452" s="21"/>
      <c r="C452" s="21"/>
      <c r="D452" s="21"/>
      <c r="E452" s="4"/>
      <c r="F452" s="21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thickTop="1" thickBot="1">
      <c r="A453" s="21"/>
      <c r="B453" s="21"/>
      <c r="C453" s="21"/>
      <c r="D453" s="21"/>
      <c r="E453" s="4"/>
      <c r="F453" s="21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thickTop="1" thickBot="1">
      <c r="A454" s="21"/>
      <c r="B454" s="21"/>
      <c r="C454" s="21"/>
      <c r="D454" s="21"/>
      <c r="E454" s="4"/>
      <c r="F454" s="21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thickTop="1" thickBot="1">
      <c r="A455" s="59" t="s">
        <v>49</v>
      </c>
      <c r="B455" s="53"/>
      <c r="C455" s="54"/>
      <c r="D455" s="21">
        <f>SUM(D450:D454)</f>
        <v>24850</v>
      </c>
      <c r="E455" s="4"/>
      <c r="F455" s="81" t="s">
        <v>49</v>
      </c>
      <c r="G455" s="82"/>
      <c r="H455" s="83"/>
      <c r="I455" s="21">
        <f>SUM(I450:I454)</f>
        <v>24850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thickTop="1" thickBot="1">
      <c r="A456" s="2"/>
      <c r="B456" s="2"/>
      <c r="C456" s="2"/>
      <c r="D456" s="2"/>
      <c r="E456" s="4"/>
      <c r="F456" s="2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thickTop="1" thickBot="1">
      <c r="A457" s="12" t="s">
        <v>0</v>
      </c>
      <c r="B457" s="12" t="s">
        <v>35</v>
      </c>
      <c r="C457" s="12" t="s">
        <v>154</v>
      </c>
      <c r="D457" s="9">
        <v>45844</v>
      </c>
      <c r="E457" s="4"/>
      <c r="F457" s="12" t="s">
        <v>0</v>
      </c>
      <c r="G457" s="12" t="s">
        <v>155</v>
      </c>
      <c r="H457" s="12" t="s">
        <v>156</v>
      </c>
      <c r="I457" s="9">
        <v>45844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thickTop="1" thickBot="1">
      <c r="A458" s="21" t="s">
        <v>6</v>
      </c>
      <c r="B458" s="21" t="s">
        <v>7</v>
      </c>
      <c r="C458" s="21" t="s">
        <v>8</v>
      </c>
      <c r="D458" s="21" t="s">
        <v>9</v>
      </c>
      <c r="E458" s="4"/>
      <c r="F458" s="21" t="s">
        <v>6</v>
      </c>
      <c r="G458" s="21" t="s">
        <v>7</v>
      </c>
      <c r="H458" s="21" t="s">
        <v>8</v>
      </c>
      <c r="I458" s="21" t="s">
        <v>9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thickTop="1" thickBot="1">
      <c r="A459" s="21">
        <v>14</v>
      </c>
      <c r="B459" s="21">
        <v>500000</v>
      </c>
      <c r="C459" s="21">
        <f>VLOOKUP(A459&amp;"|"&amp;B459,$O$3:$P$16,2,FALSE)</f>
        <v>1000</v>
      </c>
      <c r="D459" s="21">
        <f>VLOOKUP(A459&amp;"|"&amp;B459,$Q$3:$R$16,2,FALSE)</f>
        <v>24000</v>
      </c>
      <c r="E459" s="4"/>
      <c r="F459" s="21">
        <v>3</v>
      </c>
      <c r="G459" s="21">
        <v>1000000</v>
      </c>
      <c r="H459" s="21">
        <f>VLOOKUP(F459&amp;"|"&amp;G459,$O$3:$P$17,2,FALSE)</f>
        <v>6500</v>
      </c>
      <c r="I459" s="21">
        <f>VLOOKUP(F459&amp;"|"&amp;G459,$Q$3:$R$17,2,FALSE)</f>
        <v>43500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thickTop="1" thickBot="1">
      <c r="A460" s="21">
        <v>3</v>
      </c>
      <c r="B460" s="21">
        <v>1000000</v>
      </c>
      <c r="C460" s="21">
        <f>VLOOKUP(A460&amp;"|"&amp;B460,$O$3:$P$16,2,FALSE)</f>
        <v>6500</v>
      </c>
      <c r="D460" s="21">
        <f>VLOOKUP(A460&amp;"|"&amp;B460,$Q$3:$R$16,2,FALSE)</f>
        <v>43500</v>
      </c>
      <c r="E460" s="4"/>
      <c r="F460" s="21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thickTop="1" thickBot="1">
      <c r="A461" s="21"/>
      <c r="B461" s="21"/>
      <c r="C461" s="21"/>
      <c r="D461" s="21"/>
      <c r="E461" s="4"/>
      <c r="F461" s="21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thickTop="1" thickBot="1">
      <c r="A462" s="21"/>
      <c r="B462" s="21"/>
      <c r="C462" s="21"/>
      <c r="D462" s="21"/>
      <c r="E462" s="4"/>
      <c r="F462" s="21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thickTop="1" thickBot="1">
      <c r="A463" s="21"/>
      <c r="B463" s="21"/>
      <c r="C463" s="21"/>
      <c r="D463" s="21"/>
      <c r="E463" s="4"/>
      <c r="F463" s="21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thickTop="1" thickBot="1">
      <c r="A464" s="59" t="s">
        <v>49</v>
      </c>
      <c r="B464" s="53"/>
      <c r="C464" s="54"/>
      <c r="D464" s="21">
        <f>SUM(D459:D463)</f>
        <v>67500</v>
      </c>
      <c r="E464" s="4"/>
      <c r="F464" s="81" t="s">
        <v>49</v>
      </c>
      <c r="G464" s="82"/>
      <c r="H464" s="83"/>
      <c r="I464" s="21">
        <f>SUM(I459:I463)</f>
        <v>43500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thickTop="1" thickBot="1">
      <c r="A465" s="2"/>
      <c r="B465" s="2"/>
      <c r="C465" s="2"/>
      <c r="D465" s="2"/>
      <c r="E465" s="4"/>
      <c r="F465" s="2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thickTop="1" thickBot="1">
      <c r="A466" s="12" t="s">
        <v>0</v>
      </c>
      <c r="B466" s="12" t="s">
        <v>157</v>
      </c>
      <c r="C466" s="12" t="s">
        <v>48</v>
      </c>
      <c r="D466" s="9">
        <v>45844</v>
      </c>
      <c r="E466" s="4"/>
      <c r="F466" s="12" t="s">
        <v>0</v>
      </c>
      <c r="G466" s="12" t="s">
        <v>59</v>
      </c>
      <c r="H466" s="12" t="s">
        <v>158</v>
      </c>
      <c r="I466" s="9">
        <v>45844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thickTop="1" thickBot="1">
      <c r="A467" s="21" t="s">
        <v>6</v>
      </c>
      <c r="B467" s="21" t="s">
        <v>7</v>
      </c>
      <c r="C467" s="21" t="s">
        <v>8</v>
      </c>
      <c r="D467" s="21" t="s">
        <v>9</v>
      </c>
      <c r="E467" s="4"/>
      <c r="F467" s="21" t="s">
        <v>6</v>
      </c>
      <c r="G467" s="21" t="s">
        <v>7</v>
      </c>
      <c r="H467" s="21" t="s">
        <v>8</v>
      </c>
      <c r="I467" s="21" t="s">
        <v>9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thickTop="1" thickBot="1">
      <c r="A468" s="21">
        <v>14</v>
      </c>
      <c r="B468" s="21">
        <v>1000000</v>
      </c>
      <c r="C468" s="21">
        <f>VLOOKUP(A468&amp;"|"&amp;B468,$O$3:$P$16,2,FALSE)</f>
        <v>1900</v>
      </c>
      <c r="D468" s="21">
        <f>VLOOKUP(A468&amp;"|"&amp;B468,$Q$3:$R$16,2,FALSE)</f>
        <v>48100</v>
      </c>
      <c r="E468" s="4"/>
      <c r="F468" s="21">
        <v>14</v>
      </c>
      <c r="G468" s="21">
        <v>1000000</v>
      </c>
      <c r="H468" s="21">
        <f>VLOOKUP(F468&amp;"|"&amp;G468,$O$3:$P$16,2,FALSE)</f>
        <v>1900</v>
      </c>
      <c r="I468" s="21">
        <f>VLOOKUP(F468&amp;"|"&amp;G468,$Q$3:$R$16,2,FALSE)</f>
        <v>48100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thickTop="1" thickBot="1">
      <c r="A469" s="21">
        <v>18</v>
      </c>
      <c r="B469" s="21">
        <v>1000000</v>
      </c>
      <c r="C469" s="21">
        <f>VLOOKUP(A469&amp;"|"&amp;B469,$O$3:$P$17,2,FALSE)</f>
        <v>300</v>
      </c>
      <c r="D469" s="21">
        <f>VLOOKUP(A469&amp;"|"&amp;B469,$Q$3:$R$17,2,FALSE)</f>
        <v>49700</v>
      </c>
      <c r="E469" s="4"/>
      <c r="F469" s="21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thickTop="1" thickBot="1">
      <c r="A470" s="21"/>
      <c r="B470" s="21"/>
      <c r="C470" s="21"/>
      <c r="D470" s="21"/>
      <c r="E470" s="4"/>
      <c r="F470" s="21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thickTop="1" thickBot="1">
      <c r="A471" s="21"/>
      <c r="B471" s="21"/>
      <c r="C471" s="21"/>
      <c r="D471" s="21"/>
      <c r="E471" s="4"/>
      <c r="F471" s="21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thickTop="1" thickBot="1">
      <c r="A472" s="21"/>
      <c r="B472" s="21"/>
      <c r="C472" s="21"/>
      <c r="D472" s="21"/>
      <c r="E472" s="4"/>
      <c r="F472" s="21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thickTop="1" thickBot="1">
      <c r="A473" s="59" t="s">
        <v>49</v>
      </c>
      <c r="B473" s="53"/>
      <c r="C473" s="54"/>
      <c r="D473" s="21">
        <f>SUM(D468:D472)</f>
        <v>97800</v>
      </c>
      <c r="E473" s="4"/>
      <c r="F473" s="81" t="s">
        <v>49</v>
      </c>
      <c r="G473" s="82"/>
      <c r="H473" s="83"/>
      <c r="I473" s="21">
        <f>SUM(I468:I472)</f>
        <v>48100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thickTop="1" thickBot="1">
      <c r="A474" s="2"/>
      <c r="B474" s="2"/>
      <c r="C474" s="2"/>
      <c r="D474" s="2"/>
      <c r="E474" s="4"/>
      <c r="F474" s="2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thickTop="1" thickBot="1">
      <c r="A475" s="12" t="s">
        <v>0</v>
      </c>
      <c r="B475" s="12" t="s">
        <v>66</v>
      </c>
      <c r="C475" s="12" t="s">
        <v>43</v>
      </c>
      <c r="D475" s="9">
        <v>45844</v>
      </c>
      <c r="E475" s="4"/>
      <c r="F475" s="12" t="s">
        <v>0</v>
      </c>
      <c r="G475" s="12" t="s">
        <v>159</v>
      </c>
      <c r="H475" s="12" t="s">
        <v>41</v>
      </c>
      <c r="I475" s="9">
        <v>45844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thickTop="1" thickBot="1">
      <c r="A476" s="21" t="s">
        <v>6</v>
      </c>
      <c r="B476" s="21" t="s">
        <v>7</v>
      </c>
      <c r="C476" s="21" t="s">
        <v>8</v>
      </c>
      <c r="D476" s="21" t="s">
        <v>9</v>
      </c>
      <c r="E476" s="4"/>
      <c r="F476" s="21" t="s">
        <v>6</v>
      </c>
      <c r="G476" s="21" t="s">
        <v>7</v>
      </c>
      <c r="H476" s="21" t="s">
        <v>8</v>
      </c>
      <c r="I476" s="21" t="s">
        <v>9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thickTop="1" thickBot="1">
      <c r="A477" s="21">
        <v>14</v>
      </c>
      <c r="B477" s="21">
        <v>500000</v>
      </c>
      <c r="C477" s="21">
        <f>VLOOKUP(A477&amp;"|"&amp;B477,$O$3:$P$16,2,FALSE)</f>
        <v>1000</v>
      </c>
      <c r="D477" s="21">
        <f>VLOOKUP(A477&amp;"|"&amp;B477,$Q$3:$R$16,2,FALSE)</f>
        <v>24000</v>
      </c>
      <c r="E477" s="4"/>
      <c r="F477" s="21">
        <v>18.100000000000001</v>
      </c>
      <c r="G477" s="21">
        <v>500000</v>
      </c>
      <c r="H477" s="21">
        <f>VLOOKUP(F477&amp;"|"&amp;G477,$O$3:$P$16,2,FALSE)</f>
        <v>150</v>
      </c>
      <c r="I477" s="21">
        <f>VLOOKUP(F477&amp;"|"&amp;G477,$Q$3:$R$16,2,FALSE)</f>
        <v>24850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thickTop="1" thickBot="1">
      <c r="A478" s="21"/>
      <c r="B478" s="21"/>
      <c r="C478" s="21"/>
      <c r="D478" s="21"/>
      <c r="E478" s="4"/>
      <c r="F478" s="21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thickTop="1" thickBot="1">
      <c r="A479" s="21"/>
      <c r="B479" s="21"/>
      <c r="C479" s="21"/>
      <c r="D479" s="21"/>
      <c r="E479" s="4"/>
      <c r="F479" s="21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thickTop="1" thickBot="1">
      <c r="A480" s="21"/>
      <c r="B480" s="21"/>
      <c r="C480" s="21"/>
      <c r="D480" s="21"/>
      <c r="E480" s="4"/>
      <c r="F480" s="21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thickTop="1" thickBot="1">
      <c r="A481" s="21"/>
      <c r="B481" s="21"/>
      <c r="C481" s="21"/>
      <c r="D481" s="21"/>
      <c r="E481" s="4"/>
      <c r="F481" s="21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thickTop="1" thickBot="1">
      <c r="A482" s="59" t="s">
        <v>49</v>
      </c>
      <c r="B482" s="53"/>
      <c r="C482" s="54"/>
      <c r="D482" s="21">
        <f>SUM(D477:D481)</f>
        <v>24000</v>
      </c>
      <c r="E482" s="4"/>
      <c r="F482" s="81" t="s">
        <v>49</v>
      </c>
      <c r="G482" s="82"/>
      <c r="H482" s="83"/>
      <c r="I482" s="21">
        <f>SUM(I477:I481)</f>
        <v>24850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thickTop="1" thickBot="1">
      <c r="A483" s="2"/>
      <c r="B483" s="6"/>
      <c r="C483" s="2"/>
      <c r="D483" s="10"/>
      <c r="E483" s="4"/>
      <c r="F483" s="2"/>
      <c r="G483" s="6"/>
      <c r="H483" s="2"/>
      <c r="I483" s="10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thickTop="1" thickBot="1">
      <c r="A484" s="12" t="s">
        <v>0</v>
      </c>
      <c r="B484" s="12" t="s">
        <v>160</v>
      </c>
      <c r="C484" s="12" t="s">
        <v>43</v>
      </c>
      <c r="D484" s="9">
        <v>45844</v>
      </c>
      <c r="E484" s="4"/>
      <c r="F484" s="12" t="s">
        <v>0</v>
      </c>
      <c r="G484" s="12" t="s">
        <v>44</v>
      </c>
      <c r="H484" s="12" t="s">
        <v>43</v>
      </c>
      <c r="I484" s="9">
        <v>45844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thickTop="1" thickBot="1">
      <c r="A485" s="21" t="s">
        <v>6</v>
      </c>
      <c r="B485" s="21" t="s">
        <v>7</v>
      </c>
      <c r="C485" s="21" t="s">
        <v>8</v>
      </c>
      <c r="D485" s="21" t="s">
        <v>9</v>
      </c>
      <c r="E485" s="4"/>
      <c r="F485" s="21" t="s">
        <v>6</v>
      </c>
      <c r="G485" s="21" t="s">
        <v>7</v>
      </c>
      <c r="H485" s="21" t="s">
        <v>8</v>
      </c>
      <c r="I485" s="21" t="s">
        <v>9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thickTop="1" thickBot="1">
      <c r="A486" s="21">
        <v>11</v>
      </c>
      <c r="B486" s="21">
        <v>500000</v>
      </c>
      <c r="C486" s="21">
        <f>VLOOKUP(A486&amp;"|"&amp;B486,$O$3:$P$16,2,FALSE)</f>
        <v>1650</v>
      </c>
      <c r="D486" s="21">
        <f>VLOOKUP(A486&amp;"|"&amp;B486,$Q$3:$R$16,2,FALSE)</f>
        <v>23350</v>
      </c>
      <c r="E486" s="4"/>
      <c r="F486" s="21">
        <v>3</v>
      </c>
      <c r="G486" s="21">
        <v>500000</v>
      </c>
      <c r="H486" s="21">
        <f>VLOOKUP(F486&amp;"|"&amp;G486,$O$3:$P$16,2,FALSE)</f>
        <v>3600</v>
      </c>
      <c r="I486" s="21">
        <f>VLOOKUP(F486&amp;"|"&amp;G486,$Q$3:$R$16,2,FALSE)</f>
        <v>21400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thickTop="1" thickBot="1">
      <c r="A487" s="21">
        <v>11</v>
      </c>
      <c r="B487" s="21">
        <v>500000</v>
      </c>
      <c r="C487" s="21">
        <f>VLOOKUP(A487&amp;"|"&amp;B487,$O$3:$P$16,2,FALSE)</f>
        <v>1650</v>
      </c>
      <c r="D487" s="21">
        <f>VLOOKUP(A487&amp;"|"&amp;B487,$Q$3:$R$16,2,FALSE)</f>
        <v>23350</v>
      </c>
      <c r="E487" s="4"/>
      <c r="F487" s="21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thickTop="1" thickBot="1">
      <c r="A488" s="21"/>
      <c r="B488" s="21"/>
      <c r="C488" s="21"/>
      <c r="D488" s="21"/>
      <c r="E488" s="4"/>
      <c r="F488" s="21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thickTop="1" thickBot="1">
      <c r="A489" s="21"/>
      <c r="B489" s="21"/>
      <c r="C489" s="21"/>
      <c r="D489" s="21"/>
      <c r="E489" s="4"/>
      <c r="F489" s="21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thickTop="1" thickBot="1">
      <c r="A490" s="21"/>
      <c r="B490" s="21"/>
      <c r="C490" s="21"/>
      <c r="D490" s="21"/>
      <c r="E490" s="4"/>
      <c r="F490" s="21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thickTop="1" thickBot="1">
      <c r="A491" s="59" t="s">
        <v>49</v>
      </c>
      <c r="B491" s="53"/>
      <c r="C491" s="54"/>
      <c r="D491" s="21">
        <f>SUM(D486:D490)</f>
        <v>46700</v>
      </c>
      <c r="E491" s="4"/>
      <c r="F491" s="81" t="s">
        <v>49</v>
      </c>
      <c r="G491" s="82"/>
      <c r="H491" s="83"/>
      <c r="I491" s="21">
        <f>SUM(I486:I490)</f>
        <v>21400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thickTop="1" thickBot="1">
      <c r="A492" s="2"/>
      <c r="B492" s="2"/>
      <c r="C492" s="2"/>
      <c r="D492" s="2"/>
      <c r="E492" s="4"/>
      <c r="F492" s="2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thickTop="1" thickBot="1">
      <c r="A493" s="12" t="s">
        <v>0</v>
      </c>
      <c r="B493" s="12" t="s">
        <v>161</v>
      </c>
      <c r="C493" s="12" t="s">
        <v>43</v>
      </c>
      <c r="D493" s="9">
        <v>45844</v>
      </c>
      <c r="E493" s="4"/>
      <c r="F493" s="12" t="s">
        <v>0</v>
      </c>
      <c r="G493" s="12" t="s">
        <v>162</v>
      </c>
      <c r="H493" s="12" t="s">
        <v>163</v>
      </c>
      <c r="I493" s="9">
        <v>45844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thickTop="1" thickBot="1">
      <c r="A494" s="21" t="s">
        <v>6</v>
      </c>
      <c r="B494" s="21" t="s">
        <v>7</v>
      </c>
      <c r="C494" s="21" t="s">
        <v>8</v>
      </c>
      <c r="D494" s="21" t="s">
        <v>9</v>
      </c>
      <c r="E494" s="4"/>
      <c r="F494" s="21" t="s">
        <v>6</v>
      </c>
      <c r="G494" s="21" t="s">
        <v>7</v>
      </c>
      <c r="H494" s="21" t="s">
        <v>8</v>
      </c>
      <c r="I494" s="21" t="s">
        <v>9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thickTop="1" thickBot="1">
      <c r="A495" s="21">
        <v>8</v>
      </c>
      <c r="B495" s="21">
        <v>500000</v>
      </c>
      <c r="C495" s="21">
        <f>VLOOKUP(A495&amp;"|"&amp;B495,$O$3:$P$16,2,FALSE)</f>
        <v>2500</v>
      </c>
      <c r="D495" s="21">
        <f>VLOOKUP(A495&amp;"|"&amp;B495,$Q$3:$R$16,2,FALSE)</f>
        <v>22500</v>
      </c>
      <c r="E495" s="4"/>
      <c r="F495" s="21">
        <v>8</v>
      </c>
      <c r="G495" s="21">
        <v>500000</v>
      </c>
      <c r="H495" s="21">
        <f>VLOOKUP(F495&amp;"|"&amp;G495,$O$3:$P$16,2,FALSE)</f>
        <v>2500</v>
      </c>
      <c r="I495" s="21">
        <f>VLOOKUP(F495&amp;"|"&amp;G495,$Q$3:$R$16,2,FALSE)</f>
        <v>22500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thickTop="1" thickBot="1">
      <c r="A496" s="21"/>
      <c r="B496" s="21"/>
      <c r="C496" s="21"/>
      <c r="D496" s="21"/>
      <c r="E496" s="4"/>
      <c r="F496" s="21">
        <v>8</v>
      </c>
      <c r="G496" s="21">
        <v>500000</v>
      </c>
      <c r="H496" s="21">
        <f>VLOOKUP(F496&amp;"|"&amp;G496,$O$3:$P$16,2,FALSE)</f>
        <v>2500</v>
      </c>
      <c r="I496" s="21">
        <f>VLOOKUP(F496&amp;"|"&amp;G496,$Q$3:$R$16,2,FALSE)</f>
        <v>22500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thickTop="1" thickBot="1">
      <c r="A497" s="21"/>
      <c r="B497" s="21"/>
      <c r="C497" s="21"/>
      <c r="D497" s="21"/>
      <c r="E497" s="4"/>
      <c r="F497" s="21">
        <v>3</v>
      </c>
      <c r="G497" s="21">
        <v>500000</v>
      </c>
      <c r="H497" s="21">
        <f>VLOOKUP(F497&amp;"|"&amp;G497,$O$3:$P$17,2,FALSE)</f>
        <v>3600</v>
      </c>
      <c r="I497" s="21">
        <f>VLOOKUP(F497&amp;"|"&amp;G497,$Q$3:$R$17,2,FALSE)</f>
        <v>21400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thickTop="1" thickBot="1">
      <c r="A498" s="21"/>
      <c r="B498" s="21"/>
      <c r="C498" s="21"/>
      <c r="D498" s="21"/>
      <c r="E498" s="4"/>
      <c r="F498" s="21">
        <v>18</v>
      </c>
      <c r="G498" s="21">
        <v>1000000</v>
      </c>
      <c r="H498" s="21">
        <f>VLOOKUP(F498&amp;"|"&amp;G498,$O$3:$P$17,2,FALSE)</f>
        <v>300</v>
      </c>
      <c r="I498" s="21">
        <f>VLOOKUP(F498&amp;"|"&amp;G498,$Q$3:$R$17,2,FALSE)</f>
        <v>49700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thickTop="1" thickBot="1">
      <c r="A499" s="21"/>
      <c r="B499" s="21"/>
      <c r="C499" s="21"/>
      <c r="D499" s="21"/>
      <c r="E499" s="4"/>
      <c r="F499" s="21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thickTop="1" thickBot="1">
      <c r="A500" s="59" t="s">
        <v>49</v>
      </c>
      <c r="B500" s="53"/>
      <c r="C500" s="54"/>
      <c r="D500" s="21">
        <f>SUM(D495:D499)</f>
        <v>22500</v>
      </c>
      <c r="E500" s="4"/>
      <c r="F500" s="81" t="s">
        <v>49</v>
      </c>
      <c r="G500" s="82"/>
      <c r="H500" s="83"/>
      <c r="I500" s="21">
        <f>SUM(I495:I499)</f>
        <v>116100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thickTop="1" thickBot="1">
      <c r="A502" s="12" t="s">
        <v>0</v>
      </c>
      <c r="B502" s="12" t="s">
        <v>164</v>
      </c>
      <c r="C502" s="12" t="s">
        <v>165</v>
      </c>
      <c r="D502" s="9">
        <v>45844</v>
      </c>
      <c r="E502" s="4"/>
      <c r="F502" s="12" t="s">
        <v>3</v>
      </c>
      <c r="G502" s="12" t="s">
        <v>166</v>
      </c>
      <c r="H502" s="12" t="s">
        <v>195</v>
      </c>
      <c r="I502" s="9">
        <v>45844</v>
      </c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thickTop="1" thickBot="1">
      <c r="A503" s="21" t="s">
        <v>6</v>
      </c>
      <c r="B503" s="21" t="s">
        <v>7</v>
      </c>
      <c r="C503" s="21" t="s">
        <v>8</v>
      </c>
      <c r="D503" s="21" t="s">
        <v>9</v>
      </c>
      <c r="E503" s="4"/>
      <c r="F503" s="21" t="s">
        <v>6</v>
      </c>
      <c r="G503" s="21" t="s">
        <v>7</v>
      </c>
      <c r="H503" s="21" t="s">
        <v>8</v>
      </c>
      <c r="I503" s="21" t="s">
        <v>9</v>
      </c>
    </row>
    <row r="504" spans="1:26" ht="20.25" thickTop="1" thickBot="1">
      <c r="A504" s="21">
        <v>3</v>
      </c>
      <c r="B504" s="21">
        <v>2000000</v>
      </c>
      <c r="C504" s="21">
        <f>VLOOKUP(A504&amp;"|"&amp;B504,$O$3:$P$16,2,FALSE)</f>
        <v>13500</v>
      </c>
      <c r="D504" s="21">
        <f>VLOOKUP(A504&amp;"|"&amp;B504,$Q$3:$R$16,2,FALSE)</f>
        <v>86500</v>
      </c>
      <c r="E504" s="4"/>
      <c r="F504" s="21">
        <v>3</v>
      </c>
      <c r="G504" s="21">
        <v>500000</v>
      </c>
      <c r="H504" s="21">
        <f>VLOOKUP(F504&amp;"|"&amp;G504,$O$3:$P$17,2,FALSE)</f>
        <v>3600</v>
      </c>
      <c r="I504" s="21">
        <f>VLOOKUP(F504&amp;"|"&amp;G504,$Q$3:$R$17,2,FALSE)</f>
        <v>21400</v>
      </c>
    </row>
    <row r="505" spans="1:26" ht="20.25" thickTop="1" thickBot="1">
      <c r="A505" s="21"/>
      <c r="B505" s="21"/>
      <c r="C505" s="21"/>
      <c r="D505" s="21"/>
      <c r="E505" s="4"/>
      <c r="F505" s="21"/>
      <c r="G505" s="21"/>
      <c r="H505" s="21"/>
      <c r="I505" s="21"/>
    </row>
    <row r="506" spans="1:26" ht="20.25" thickTop="1" thickBot="1">
      <c r="A506" s="21"/>
      <c r="B506" s="21"/>
      <c r="C506" s="21"/>
      <c r="D506" s="21"/>
      <c r="E506" s="4"/>
      <c r="F506" s="21"/>
      <c r="G506" s="21"/>
      <c r="H506" s="21"/>
      <c r="I506" s="21"/>
    </row>
    <row r="507" spans="1:26" ht="20.25" thickTop="1" thickBot="1">
      <c r="A507" s="21"/>
      <c r="B507" s="21"/>
      <c r="C507" s="21"/>
      <c r="D507" s="21"/>
      <c r="E507" s="4"/>
      <c r="F507" s="21"/>
      <c r="G507" s="21"/>
      <c r="H507" s="21"/>
      <c r="I507" s="21"/>
    </row>
    <row r="508" spans="1:26" ht="20.25" thickTop="1" thickBot="1">
      <c r="A508" s="21"/>
      <c r="B508" s="21"/>
      <c r="C508" s="21"/>
      <c r="D508" s="21"/>
      <c r="E508" s="4"/>
      <c r="F508" s="21"/>
      <c r="G508" s="21"/>
      <c r="H508" s="21"/>
      <c r="I508" s="21"/>
    </row>
    <row r="509" spans="1:26" ht="20.25" thickTop="1" thickBot="1">
      <c r="A509" s="59" t="s">
        <v>49</v>
      </c>
      <c r="B509" s="53"/>
      <c r="C509" s="54"/>
      <c r="D509" s="21">
        <f>SUM(D504:D508)</f>
        <v>86500</v>
      </c>
      <c r="E509" s="4"/>
      <c r="F509" s="59" t="s">
        <v>49</v>
      </c>
      <c r="G509" s="53"/>
      <c r="H509" s="54"/>
      <c r="I509" s="21">
        <f>SUM(I504:I508)</f>
        <v>21400</v>
      </c>
    </row>
    <row r="510" spans="1:26" ht="16.5" thickTop="1" thickBot="1"/>
    <row r="511" spans="1:26" ht="20.25" thickTop="1" thickBot="1">
      <c r="A511" s="12" t="s">
        <v>0</v>
      </c>
      <c r="B511" s="12" t="s">
        <v>146</v>
      </c>
      <c r="C511" s="12" t="s">
        <v>38</v>
      </c>
      <c r="D511" s="9">
        <v>45844</v>
      </c>
      <c r="E511" s="4"/>
      <c r="F511" s="12" t="s">
        <v>3</v>
      </c>
      <c r="G511" s="12" t="s">
        <v>57</v>
      </c>
      <c r="H511" s="12" t="s">
        <v>179</v>
      </c>
      <c r="I511" s="9">
        <v>45844</v>
      </c>
    </row>
    <row r="512" spans="1:26" ht="20.25" thickTop="1" thickBot="1">
      <c r="A512" s="21" t="s">
        <v>6</v>
      </c>
      <c r="B512" s="21" t="s">
        <v>7</v>
      </c>
      <c r="C512" s="21" t="s">
        <v>8</v>
      </c>
      <c r="D512" s="21" t="s">
        <v>9</v>
      </c>
      <c r="E512" s="4"/>
      <c r="F512" s="21" t="s">
        <v>6</v>
      </c>
      <c r="G512" s="21" t="s">
        <v>7</v>
      </c>
      <c r="H512" s="21" t="s">
        <v>8</v>
      </c>
      <c r="I512" s="21" t="s">
        <v>9</v>
      </c>
    </row>
    <row r="513" spans="1:9" ht="20.25" thickTop="1" thickBot="1">
      <c r="A513" s="21">
        <v>3</v>
      </c>
      <c r="B513" s="21">
        <v>500000</v>
      </c>
      <c r="C513" s="21">
        <f>VLOOKUP(A513&amp;"|"&amp;B513,$O$3:$P$17,2,FALSE)</f>
        <v>3600</v>
      </c>
      <c r="D513" s="21">
        <f>VLOOKUP(A513&amp;"|"&amp;B513,$Q$3:$R$17,2,FALSE)</f>
        <v>21400</v>
      </c>
      <c r="E513" s="4"/>
      <c r="F513" s="21">
        <v>3</v>
      </c>
      <c r="G513" s="21">
        <v>500000</v>
      </c>
      <c r="H513" s="21">
        <f>VLOOKUP(F513&amp;"|"&amp;G513,$O$3:$P$17,2,FALSE)</f>
        <v>3600</v>
      </c>
      <c r="I513" s="21">
        <f>VLOOKUP(F513&amp;"|"&amp;G513,$Q$3:$R$17,2,FALSE)</f>
        <v>21400</v>
      </c>
    </row>
    <row r="514" spans="1:9" ht="20.25" thickTop="1" thickBot="1">
      <c r="A514" s="21"/>
      <c r="B514" s="21"/>
      <c r="C514" s="21"/>
      <c r="D514" s="21"/>
      <c r="E514" s="4"/>
      <c r="F514" s="21"/>
      <c r="G514" s="21"/>
      <c r="H514" s="21"/>
      <c r="I514" s="21"/>
    </row>
    <row r="515" spans="1:9" ht="20.25" thickTop="1" thickBot="1">
      <c r="A515" s="21"/>
      <c r="B515" s="21"/>
      <c r="C515" s="21"/>
      <c r="D515" s="21"/>
      <c r="E515" s="4"/>
      <c r="F515" s="21"/>
      <c r="G515" s="21"/>
      <c r="H515" s="21"/>
      <c r="I515" s="21"/>
    </row>
    <row r="516" spans="1:9" ht="20.25" thickTop="1" thickBot="1">
      <c r="A516" s="21"/>
      <c r="B516" s="21"/>
      <c r="C516" s="21"/>
      <c r="D516" s="21"/>
      <c r="E516" s="4"/>
      <c r="F516" s="21"/>
      <c r="G516" s="21"/>
      <c r="H516" s="21"/>
      <c r="I516" s="21"/>
    </row>
    <row r="517" spans="1:9" ht="20.25" thickTop="1" thickBot="1">
      <c r="A517" s="21"/>
      <c r="B517" s="21"/>
      <c r="C517" s="21"/>
      <c r="D517" s="21"/>
      <c r="E517" s="4"/>
      <c r="F517" s="21"/>
      <c r="G517" s="21"/>
      <c r="H517" s="21"/>
      <c r="I517" s="21"/>
    </row>
    <row r="518" spans="1:9" ht="20.25" thickTop="1" thickBot="1">
      <c r="A518" s="59" t="s">
        <v>49</v>
      </c>
      <c r="B518" s="53"/>
      <c r="C518" s="54"/>
      <c r="D518" s="21">
        <f>SUM(D513:D517)</f>
        <v>21400</v>
      </c>
      <c r="E518" s="4"/>
      <c r="F518" s="81" t="s">
        <v>25</v>
      </c>
      <c r="G518" s="82"/>
      <c r="H518" s="83"/>
      <c r="I518" s="21">
        <f>SUM(I513:I517)</f>
        <v>21400</v>
      </c>
    </row>
    <row r="519" spans="1:9" ht="16.5" thickTop="1" thickBot="1"/>
    <row r="520" spans="1:9" ht="20.25" thickTop="1" thickBot="1">
      <c r="A520" s="12" t="s">
        <v>3</v>
      </c>
      <c r="B520" s="12" t="s">
        <v>169</v>
      </c>
      <c r="C520" s="12" t="s">
        <v>170</v>
      </c>
      <c r="D520" s="9">
        <v>45844</v>
      </c>
      <c r="F520" s="12" t="s">
        <v>3</v>
      </c>
      <c r="G520" s="12" t="s">
        <v>171</v>
      </c>
      <c r="H520" s="12" t="s">
        <v>172</v>
      </c>
      <c r="I520" s="9">
        <v>45844</v>
      </c>
    </row>
    <row r="521" spans="1:9" ht="20.25" thickTop="1" thickBot="1">
      <c r="A521" s="21" t="s">
        <v>6</v>
      </c>
      <c r="B521" s="21" t="s">
        <v>7</v>
      </c>
      <c r="C521" s="21" t="s">
        <v>8</v>
      </c>
      <c r="D521" s="21" t="s">
        <v>9</v>
      </c>
      <c r="F521" s="21" t="s">
        <v>6</v>
      </c>
      <c r="G521" s="21" t="s">
        <v>7</v>
      </c>
      <c r="H521" s="21" t="s">
        <v>8</v>
      </c>
      <c r="I521" s="21" t="s">
        <v>9</v>
      </c>
    </row>
    <row r="522" spans="1:9" ht="20.25" thickTop="1" thickBot="1">
      <c r="A522" s="21">
        <v>14</v>
      </c>
      <c r="B522" s="21">
        <v>500000</v>
      </c>
      <c r="C522" s="21">
        <f>VLOOKUP(A522&amp;"|"&amp;B522,$O$3:$P$17,2,FALSE)</f>
        <v>1000</v>
      </c>
      <c r="D522" s="21">
        <f>VLOOKUP(A522&amp;"|"&amp;B522,$Q$3:$R$17,2,FALSE)</f>
        <v>24000</v>
      </c>
      <c r="F522" s="21">
        <v>3</v>
      </c>
      <c r="G522" s="21">
        <v>1000000</v>
      </c>
      <c r="H522" s="21">
        <f>VLOOKUP(F522&amp;"|"&amp;G522,$O$3:$P$17,2,FALSE)</f>
        <v>6500</v>
      </c>
      <c r="I522" s="21">
        <f>VLOOKUP(F522&amp;"|"&amp;G522,$Q$3:$R$17,2,FALSE)</f>
        <v>43500</v>
      </c>
    </row>
    <row r="523" spans="1:9" ht="20.25" thickTop="1" thickBot="1">
      <c r="A523" s="21"/>
      <c r="B523" s="21"/>
      <c r="C523" s="21"/>
      <c r="D523" s="21"/>
      <c r="F523" s="21">
        <v>3</v>
      </c>
      <c r="G523" s="21">
        <v>1000000</v>
      </c>
      <c r="H523" s="21">
        <f>VLOOKUP(F523&amp;"|"&amp;G523,$O$3:$P$17,2,FALSE)</f>
        <v>6500</v>
      </c>
      <c r="I523" s="21">
        <f>VLOOKUP(F523&amp;"|"&amp;G523,$Q$3:$R$17,2,FALSE)</f>
        <v>43500</v>
      </c>
    </row>
    <row r="524" spans="1:9" ht="20.25" thickTop="1" thickBot="1">
      <c r="A524" s="21"/>
      <c r="B524" s="21"/>
      <c r="C524" s="21"/>
      <c r="D524" s="21"/>
      <c r="F524" s="21"/>
      <c r="G524" s="21"/>
      <c r="H524" s="21"/>
      <c r="I524" s="21"/>
    </row>
    <row r="525" spans="1:9" ht="20.25" thickTop="1" thickBot="1">
      <c r="A525" s="21"/>
      <c r="B525" s="21"/>
      <c r="C525" s="21"/>
      <c r="D525" s="21"/>
      <c r="F525" s="21"/>
      <c r="G525" s="21"/>
      <c r="H525" s="21"/>
      <c r="I525" s="21"/>
    </row>
    <row r="526" spans="1:9" ht="20.25" thickTop="1" thickBot="1">
      <c r="A526" s="21"/>
      <c r="B526" s="21"/>
      <c r="C526" s="21"/>
      <c r="D526" s="21"/>
      <c r="F526" s="21"/>
      <c r="G526" s="21"/>
      <c r="H526" s="21"/>
      <c r="I526" s="21"/>
    </row>
    <row r="527" spans="1:9" ht="20.25" thickTop="1" thickBot="1">
      <c r="A527" s="59" t="s">
        <v>49</v>
      </c>
      <c r="B527" s="53"/>
      <c r="C527" s="54"/>
      <c r="D527" s="21">
        <f>SUM(D522:D526)</f>
        <v>24000</v>
      </c>
      <c r="F527" s="81" t="s">
        <v>25</v>
      </c>
      <c r="G527" s="82"/>
      <c r="H527" s="83"/>
      <c r="I527" s="21">
        <f>SUM(I522:I526)</f>
        <v>87000</v>
      </c>
    </row>
    <row r="528" spans="1:9" ht="16.5" thickTop="1" thickBot="1"/>
    <row r="529" spans="1:4" ht="20.25" thickTop="1" thickBot="1">
      <c r="A529" s="12" t="s">
        <v>3</v>
      </c>
      <c r="B529" s="12" t="s">
        <v>61</v>
      </c>
      <c r="C529" s="12" t="s">
        <v>173</v>
      </c>
      <c r="D529" s="9">
        <v>45844</v>
      </c>
    </row>
    <row r="530" spans="1:4" ht="20.25" thickTop="1" thickBot="1">
      <c r="A530" s="21" t="s">
        <v>6</v>
      </c>
      <c r="B530" s="21" t="s">
        <v>7</v>
      </c>
      <c r="C530" s="21" t="s">
        <v>8</v>
      </c>
      <c r="D530" s="21" t="s">
        <v>9</v>
      </c>
    </row>
    <row r="531" spans="1:4" ht="20.25" thickTop="1" thickBot="1">
      <c r="A531" s="21">
        <v>3</v>
      </c>
      <c r="B531" s="21">
        <v>2000000</v>
      </c>
      <c r="C531" s="21">
        <f>VLOOKUP(A531&amp;"|"&amp;B531,$O$3:$P$17,2,FALSE)</f>
        <v>13500</v>
      </c>
      <c r="D531" s="21">
        <f>VLOOKUP(A531&amp;"|"&amp;B531,$Q$3:$R$17,2,FALSE)</f>
        <v>86500</v>
      </c>
    </row>
    <row r="532" spans="1:4" ht="20.25" thickTop="1" thickBot="1">
      <c r="A532" s="21"/>
      <c r="B532" s="21"/>
      <c r="C532" s="21"/>
      <c r="D532" s="21"/>
    </row>
    <row r="533" spans="1:4" ht="20.25" thickTop="1" thickBot="1">
      <c r="A533" s="21"/>
      <c r="B533" s="21"/>
      <c r="C533" s="21"/>
      <c r="D533" s="21"/>
    </row>
    <row r="534" spans="1:4" ht="20.25" thickTop="1" thickBot="1">
      <c r="A534" s="21"/>
      <c r="B534" s="21"/>
      <c r="C534" s="21"/>
      <c r="D534" s="21"/>
    </row>
    <row r="535" spans="1:4" ht="20.25" thickTop="1" thickBot="1">
      <c r="A535" s="21"/>
      <c r="B535" s="21"/>
      <c r="C535" s="21"/>
      <c r="D535" s="21"/>
    </row>
    <row r="536" spans="1:4" ht="20.25" thickTop="1" thickBot="1">
      <c r="A536" s="59" t="s">
        <v>49</v>
      </c>
      <c r="B536" s="53"/>
      <c r="C536" s="54"/>
      <c r="D536" s="21">
        <f>SUM(D531:D535)</f>
        <v>86500</v>
      </c>
    </row>
    <row r="537" spans="1:4" ht="15.75" thickTop="1"/>
  </sheetData>
  <mergeCells count="64">
    <mergeCell ref="A8:C8"/>
    <mergeCell ref="F8:H8"/>
    <mergeCell ref="A17:C17"/>
    <mergeCell ref="F17:H17"/>
    <mergeCell ref="A26:C26"/>
    <mergeCell ref="F26:H26"/>
    <mergeCell ref="F103:H103"/>
    <mergeCell ref="A35:C35"/>
    <mergeCell ref="F35:H35"/>
    <mergeCell ref="A44:C44"/>
    <mergeCell ref="F44:H44"/>
    <mergeCell ref="A53:C53"/>
    <mergeCell ref="F53:H53"/>
    <mergeCell ref="A62:C62"/>
    <mergeCell ref="F62:H62"/>
    <mergeCell ref="F71:H71"/>
    <mergeCell ref="F85:H85"/>
    <mergeCell ref="F94:H94"/>
    <mergeCell ref="F211:H211"/>
    <mergeCell ref="F112:H112"/>
    <mergeCell ref="F121:H121"/>
    <mergeCell ref="F130:H130"/>
    <mergeCell ref="F139:H139"/>
    <mergeCell ref="F148:H148"/>
    <mergeCell ref="F157:H157"/>
    <mergeCell ref="F166:H166"/>
    <mergeCell ref="F175:H175"/>
    <mergeCell ref="F184:H184"/>
    <mergeCell ref="F193:H193"/>
    <mergeCell ref="F202:H202"/>
    <mergeCell ref="F320:H320"/>
    <mergeCell ref="F220:H220"/>
    <mergeCell ref="F229:H229"/>
    <mergeCell ref="F238:H238"/>
    <mergeCell ref="F247:H247"/>
    <mergeCell ref="F256:H256"/>
    <mergeCell ref="F265:H265"/>
    <mergeCell ref="F274:H274"/>
    <mergeCell ref="F284:H284"/>
    <mergeCell ref="F293:H293"/>
    <mergeCell ref="F302:H302"/>
    <mergeCell ref="F311:H311"/>
    <mergeCell ref="F428:H428"/>
    <mergeCell ref="F329:H329"/>
    <mergeCell ref="F338:H338"/>
    <mergeCell ref="F347:H347"/>
    <mergeCell ref="F356:H356"/>
    <mergeCell ref="F365:H365"/>
    <mergeCell ref="F374:H374"/>
    <mergeCell ref="F383:H383"/>
    <mergeCell ref="F392:H392"/>
    <mergeCell ref="F401:H401"/>
    <mergeCell ref="F410:H410"/>
    <mergeCell ref="F419:H419"/>
    <mergeCell ref="F491:H491"/>
    <mergeCell ref="F500:H500"/>
    <mergeCell ref="F518:H518"/>
    <mergeCell ref="F527:H527"/>
    <mergeCell ref="F437:H437"/>
    <mergeCell ref="F446:H446"/>
    <mergeCell ref="F455:H455"/>
    <mergeCell ref="F464:H464"/>
    <mergeCell ref="F473:H473"/>
    <mergeCell ref="F482:H48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1C7786-3339-4F8D-AA29-27D0BF8F03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Sheet9</vt:lpstr>
      <vt:lpstr>Sheet8</vt:lpstr>
      <vt:lpstr>Sheet7</vt:lpstr>
      <vt:lpstr>Sheet6</vt:lpstr>
      <vt:lpstr>Sheet5</vt:lpstr>
      <vt:lpstr>Sheet4</vt:lpstr>
      <vt:lpstr>Sheet3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cp:lastPrinted>2026-01-04T08:30:58Z</cp:lastPrinted>
  <dcterms:created xsi:type="dcterms:W3CDTF">2025-12-14T07:50:07Z</dcterms:created>
  <dcterms:modified xsi:type="dcterms:W3CDTF">2026-03-01T06:56:13Z</dcterms:modified>
</cp:coreProperties>
</file>