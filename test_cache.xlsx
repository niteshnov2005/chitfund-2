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rch" sheetId="1" state="visible" r:id="rId1"/>
    <sheet name="Sheet9" sheetId="2" state="visible" r:id="rId2"/>
    <sheet name="Sheet8" sheetId="3" state="visible" r:id="rId3"/>
    <sheet name="Sheet7" sheetId="4" state="visible" r:id="rId4"/>
    <sheet name="Sheet6" sheetId="5" state="visible" r:id="rId5"/>
    <sheet name="Sheet5" sheetId="6" state="visible" r:id="rId6"/>
    <sheet name="Sheet4" sheetId="7" state="visible" r:id="rId7"/>
    <sheet name="Sheet3" sheetId="8" state="visible" r:id="rId8"/>
    <sheet name="Sheet2" sheetId="9" state="visible" r:id="rId9"/>
    <sheet name="Sheet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_ ;_ * \-#,##0.0_ ;_ * &quot;-&quot;??_ ;_ @_ "/>
    <numFmt numFmtId="166" formatCode="_ * #,##0_ ;_ * \-#,##0_ ;_ * &quot;-&quot;_ ;_ @_ 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4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Times New Roman"/>
      <charset val="134"/>
      <b val="1"/>
      <sz val="12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b val="1"/>
      <sz val="12"/>
    </font>
    <font>
      <name val="Times New Roman"/>
      <charset val="134"/>
      <sz val="11"/>
    </font>
    <font>
      <name val="Times New Roman"/>
      <charset val="134"/>
      <b val="1"/>
      <sz val="11"/>
    </font>
    <font>
      <name val="Calibri"/>
      <charset val="134"/>
      <color rgb="FFFF0000"/>
      <sz val="11"/>
      <scheme val="minor"/>
    </font>
    <font>
      <name val="Times New Roman"/>
      <charset val="134"/>
      <b val="1"/>
      <color rgb="FFFF0000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Times New Roman"/>
      <charset val="134"/>
      <sz val="14"/>
    </font>
    <font>
      <name val="Times New Roman"/>
      <family val="1"/>
      <b val="1"/>
      <color rgb="FFFF0000"/>
      <sz val="12"/>
    </font>
    <font>
      <name val="Times New Roman"/>
      <charset val="134"/>
      <b val="1"/>
      <color rgb="FFFF0000"/>
      <sz val="14"/>
    </font>
    <font>
      <name val="Calibri"/>
      <family val="2"/>
      <b val="1"/>
      <color rgb="FFFF0000"/>
      <sz val="12"/>
      <scheme val="minor"/>
    </font>
    <font>
      <name val="Times New Roman"/>
      <charset val="134"/>
      <b val="1"/>
      <color rgb="FFFF0000"/>
      <sz val="12"/>
    </font>
    <font>
      <name val="Calibri"/>
      <family val="2"/>
      <b val="1"/>
      <color theme="0"/>
      <sz val="11"/>
      <scheme val="minor"/>
    </font>
    <font>
      <name val="Times New Roman"/>
      <family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7" tint="0.5999938962981048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2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4">
    <xf numFmtId="0" fontId="1" fillId="0" borderId="0"/>
    <xf numFmtId="43" fontId="1" fillId="0" borderId="0"/>
    <xf numFmtId="41" fontId="1" fillId="0" borderId="0"/>
    <xf numFmtId="0" fontId="20" fillId="3" borderId="10"/>
  </cellStyleXfs>
  <cellXfs count="13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/>
    </xf>
    <xf numFmtId="164" fontId="8" fillId="2" borderId="1" applyAlignment="1" pivotButton="0" quotePrefix="0" xfId="1">
      <alignment horizontal="center" vertical="center"/>
    </xf>
    <xf numFmtId="164" fontId="2" fillId="2" borderId="1" applyAlignment="1" pivotButton="0" quotePrefix="0" xfId="1">
      <alignment horizontal="left" vertical="center"/>
    </xf>
    <xf numFmtId="15" fontId="2" fillId="0" borderId="1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9" fillId="0" borderId="0" pivotButton="0" quotePrefix="0" xfId="1"/>
    <xf numFmtId="164" fontId="9" fillId="0" borderId="2" pivotButton="0" quotePrefix="0" xfId="1"/>
    <xf numFmtId="164" fontId="10" fillId="0" borderId="2" pivotButton="0" quotePrefix="0" xfId="1"/>
    <xf numFmtId="164" fontId="10" fillId="0" borderId="2" applyAlignment="1" pivotButton="0" quotePrefix="0" xfId="1">
      <alignment horizontal="center" vertical="center" wrapText="1"/>
    </xf>
    <xf numFmtId="164" fontId="10" fillId="0" borderId="3" pivotButton="0" quotePrefix="0" xfId="1"/>
    <xf numFmtId="0" fontId="11" fillId="0" borderId="0" pivotButton="0" quotePrefix="0" xfId="0"/>
    <xf numFmtId="0" fontId="7" fillId="0" borderId="0" pivotButton="0" quotePrefix="0" xfId="0"/>
    <xf numFmtId="164" fontId="8" fillId="0" borderId="1" applyAlignment="1" pivotButton="0" quotePrefix="0" xfId="1">
      <alignment horizontal="center" vertical="center"/>
    </xf>
    <xf numFmtId="164" fontId="2" fillId="0" borderId="1" applyAlignment="1" pivotButton="0" quotePrefix="0" xfId="1">
      <alignment horizontal="left" vertical="center"/>
    </xf>
    <xf numFmtId="165" fontId="9" fillId="0" borderId="2" pivotButton="0" quotePrefix="0" xfId="1"/>
    <xf numFmtId="164" fontId="9" fillId="0" borderId="2" applyAlignment="1" pivotButton="0" quotePrefix="0" xfId="1">
      <alignment horizontal="center" vertical="center" wrapText="1"/>
    </xf>
    <xf numFmtId="164" fontId="10" fillId="0" borderId="2" applyAlignment="1" pivotButton="0" quotePrefix="0" xfId="1">
      <alignment horizontal="center" wrapText="1"/>
    </xf>
    <xf numFmtId="164" fontId="12" fillId="0" borderId="0" pivotButton="0" quotePrefix="0" xfId="1"/>
    <xf numFmtId="0" fontId="13" fillId="0" borderId="0" applyAlignment="1" pivotButton="0" quotePrefix="0" xfId="0">
      <alignment horizontal="center"/>
    </xf>
    <xf numFmtId="0" fontId="3" fillId="2" borderId="0" pivotButton="0" quotePrefix="0" xfId="0"/>
    <xf numFmtId="164" fontId="10" fillId="2" borderId="4" pivotButton="0" quotePrefix="0" xfId="1"/>
    <xf numFmtId="164" fontId="10" fillId="2" borderId="5" pivotButton="0" quotePrefix="0" xfId="1"/>
    <xf numFmtId="164" fontId="11" fillId="0" borderId="0" pivotButton="0" quotePrefix="0" xfId="0"/>
    <xf numFmtId="0" fontId="14" fillId="0" borderId="0" applyAlignment="1" pivotButton="0" quotePrefix="0" xfId="0">
      <alignment horizontal="center" vertical="center"/>
    </xf>
    <xf numFmtId="164" fontId="9" fillId="2" borderId="4" pivotButton="0" quotePrefix="0" xfId="1"/>
    <xf numFmtId="164" fontId="2" fillId="2" borderId="6" applyAlignment="1" pivotButton="0" quotePrefix="0" xfId="1">
      <alignment horizontal="left" vertical="center"/>
    </xf>
    <xf numFmtId="164" fontId="2" fillId="2" borderId="7" applyAlignment="1" pivotButton="0" quotePrefix="0" xfId="1">
      <alignment horizontal="left" vertical="center"/>
    </xf>
    <xf numFmtId="164" fontId="2" fillId="2" borderId="8" applyAlignment="1" pivotButton="0" quotePrefix="0" xfId="1">
      <alignment horizontal="left" vertical="center"/>
    </xf>
    <xf numFmtId="164" fontId="2" fillId="0" borderId="6" applyAlignment="1" pivotButton="0" quotePrefix="0" xfId="1">
      <alignment horizontal="left" vertical="center"/>
    </xf>
    <xf numFmtId="164" fontId="2" fillId="0" borderId="7" applyAlignment="1" pivotButton="0" quotePrefix="0" xfId="1">
      <alignment horizontal="left" vertical="center"/>
    </xf>
    <xf numFmtId="164" fontId="2" fillId="0" borderId="8" applyAlignment="1" pivotButton="0" quotePrefix="0" xfId="1">
      <alignment horizontal="left" vertical="center"/>
    </xf>
    <xf numFmtId="164" fontId="8" fillId="2" borderId="0" applyAlignment="1" pivotButton="0" quotePrefix="0" xfId="1">
      <alignment horizontal="center" vertical="center"/>
    </xf>
    <xf numFmtId="164" fontId="15" fillId="2" borderId="9" applyAlignment="1" pivotButton="0" quotePrefix="0" xfId="1">
      <alignment horizontal="left" vertical="center"/>
    </xf>
    <xf numFmtId="164" fontId="15" fillId="2" borderId="0" applyAlignment="1" pivotButton="0" quotePrefix="0" xfId="1">
      <alignment horizontal="left" vertical="center"/>
    </xf>
    <xf numFmtId="164" fontId="15" fillId="0" borderId="0" applyAlignment="1" pivotButton="0" quotePrefix="0" xfId="1">
      <alignment horizontal="left" vertical="center"/>
    </xf>
    <xf numFmtId="164" fontId="8" fillId="0" borderId="0" applyAlignment="1" pivotButton="0" quotePrefix="0" xfId="1">
      <alignment horizontal="center" vertical="center"/>
    </xf>
    <xf numFmtId="164" fontId="15" fillId="0" borderId="0" pivotButton="0" quotePrefix="0" xfId="1"/>
    <xf numFmtId="164" fontId="9" fillId="0" borderId="4" pivotButton="0" quotePrefix="0" xfId="1"/>
    <xf numFmtId="164" fontId="10" fillId="0" borderId="4" pivotButton="0" quotePrefix="0" xfId="1"/>
    <xf numFmtId="164" fontId="10" fillId="0" borderId="5" pivotButton="0" quotePrefix="0" xfId="1"/>
    <xf numFmtId="1" fontId="9" fillId="0" borderId="4" pivotButton="0" quotePrefix="0" xfId="1"/>
    <xf numFmtId="164" fontId="3" fillId="0" borderId="0" pivotButton="0" quotePrefix="0" xfId="0"/>
    <xf numFmtId="3" fontId="0" fillId="0" borderId="0" pivotButton="0" quotePrefix="0" xfId="0"/>
    <xf numFmtId="0" fontId="1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/>
    </xf>
    <xf numFmtId="164" fontId="15" fillId="0" borderId="1" pivotButton="0" quotePrefix="0" xfId="1"/>
    <xf numFmtId="0" fontId="14" fillId="0" borderId="0" applyAlignment="1" pivotButton="0" quotePrefix="0" xfId="0">
      <alignment horizontal="center"/>
    </xf>
    <xf numFmtId="164" fontId="2" fillId="0" borderId="1" applyAlignment="1" pivotButton="0" quotePrefix="0" xfId="1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15" fontId="17" fillId="0" borderId="1" applyAlignment="1" pivotButton="0" quotePrefix="0" xfId="1">
      <alignment horizontal="left" vertical="center"/>
    </xf>
    <xf numFmtId="164" fontId="16" fillId="0" borderId="1" applyAlignment="1" pivotButton="0" quotePrefix="0" xfId="1">
      <alignment horizontal="center" vertical="center"/>
    </xf>
    <xf numFmtId="164" fontId="17" fillId="0" borderId="1" applyAlignment="1" pivotButton="0" quotePrefix="0" xfId="1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7" applyAlignment="1" pivotButton="0" quotePrefix="0" xfId="0">
      <alignment horizontal="left" vertical="center"/>
    </xf>
    <xf numFmtId="0" fontId="19" fillId="0" borderId="8" applyAlignment="1" pivotButton="0" quotePrefix="0" xfId="0">
      <alignment horizontal="left" vertical="center"/>
    </xf>
    <xf numFmtId="0" fontId="16" fillId="0" borderId="6" applyAlignment="1" pivotButton="0" quotePrefix="0" xfId="0">
      <alignment horizontal="center" vertical="center"/>
    </xf>
    <xf numFmtId="164" fontId="10" fillId="0" borderId="0" pivotButton="0" quotePrefix="0" xfId="1"/>
    <xf numFmtId="164" fontId="10" fillId="4" borderId="4" pivotButton="0" quotePrefix="0" xfId="1"/>
    <xf numFmtId="1" fontId="9" fillId="0" borderId="11" pivotButton="0" quotePrefix="0" xfId="1"/>
    <xf numFmtId="0" fontId="4" fillId="2" borderId="10" pivotButton="0" quotePrefix="0" xfId="3"/>
    <xf numFmtId="164" fontId="0" fillId="0" borderId="0" pivotButton="0" quotePrefix="0" xfId="0"/>
    <xf numFmtId="164" fontId="3" fillId="0" borderId="0" applyAlignment="1" pivotButton="0" quotePrefix="0" xfId="0">
      <alignment horizontal="center"/>
    </xf>
    <xf numFmtId="166" fontId="21" fillId="0" borderId="1" applyAlignment="1" pivotButton="0" quotePrefix="0" xfId="2">
      <alignment horizontal="left" vertical="center"/>
    </xf>
    <xf numFmtId="164" fontId="6" fillId="0" borderId="0" pivotButton="0" quotePrefix="0" xfId="0"/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164" fontId="2" fillId="0" borderId="6" applyAlignment="1" pivotButton="0" quotePrefix="0" xfId="1">
      <alignment horizontal="left" vertical="center"/>
    </xf>
    <xf numFmtId="164" fontId="2" fillId="0" borderId="7" applyAlignment="1" pivotButton="0" quotePrefix="0" xfId="1">
      <alignment horizontal="left" vertical="center"/>
    </xf>
    <xf numFmtId="164" fontId="2" fillId="0" borderId="8" applyAlignment="1" pivotButton="0" quotePrefix="0" xfId="1">
      <alignment horizontal="left" vertical="center"/>
    </xf>
    <xf numFmtId="164" fontId="2" fillId="2" borderId="6" applyAlignment="1" pivotButton="0" quotePrefix="0" xfId="1">
      <alignment horizontal="left" vertical="center"/>
    </xf>
    <xf numFmtId="164" fontId="2" fillId="2" borderId="7" applyAlignment="1" pivotButton="0" quotePrefix="0" xfId="1">
      <alignment horizontal="left" vertical="center"/>
    </xf>
    <xf numFmtId="164" fontId="2" fillId="2" borderId="8" applyAlignment="1" pivotButton="0" quotePrefix="0" xfId="1">
      <alignment horizontal="left" vertical="center"/>
    </xf>
    <xf numFmtId="164" fontId="2" fillId="2" borderId="1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9" fillId="0" borderId="0" pivotButton="0" quotePrefix="0" xfId="1"/>
    <xf numFmtId="164" fontId="9" fillId="0" borderId="2" pivotButton="0" quotePrefix="0" xfId="1"/>
    <xf numFmtId="164" fontId="10" fillId="0" borderId="2" pivotButton="0" quotePrefix="0" xfId="1"/>
    <xf numFmtId="164" fontId="10" fillId="0" borderId="2" applyAlignment="1" pivotButton="0" quotePrefix="0" xfId="1">
      <alignment horizontal="center" vertical="center" wrapText="1"/>
    </xf>
    <xf numFmtId="164" fontId="10" fillId="0" borderId="3" pivotButton="0" quotePrefix="0" xfId="1"/>
    <xf numFmtId="164" fontId="2" fillId="0" borderId="1" applyAlignment="1" pivotButton="0" quotePrefix="0" xfId="1">
      <alignment horizontal="left" vertical="center"/>
    </xf>
    <xf numFmtId="165" fontId="9" fillId="0" borderId="2" pivotButton="0" quotePrefix="0" xfId="1"/>
    <xf numFmtId="164" fontId="9" fillId="0" borderId="2" applyAlignment="1" pivotButton="0" quotePrefix="0" xfId="1">
      <alignment horizontal="center" vertical="center" wrapText="1"/>
    </xf>
    <xf numFmtId="164" fontId="10" fillId="0" borderId="2" applyAlignment="1" pivotButton="0" quotePrefix="0" xfId="1">
      <alignment horizontal="center" wrapText="1"/>
    </xf>
    <xf numFmtId="164" fontId="10" fillId="0" borderId="0" pivotButton="0" quotePrefix="0" xfId="1"/>
    <xf numFmtId="164" fontId="10" fillId="0" borderId="4" pivotButton="0" quotePrefix="0" xfId="1"/>
    <xf numFmtId="164" fontId="10" fillId="4" borderId="4" pivotButton="0" quotePrefix="0" xfId="1"/>
    <xf numFmtId="164" fontId="10" fillId="0" borderId="5" pivotButton="0" quotePrefix="0" xfId="1"/>
    <xf numFmtId="164" fontId="3" fillId="0" borderId="0" pivotButton="0" quotePrefix="0" xfId="0"/>
    <xf numFmtId="164" fontId="9" fillId="0" borderId="4" pivotButton="0" quotePrefix="0" xfId="1"/>
    <xf numFmtId="0" fontId="0" fillId="0" borderId="7" pivotButton="0" quotePrefix="0" xfId="0"/>
    <xf numFmtId="0" fontId="0" fillId="0" borderId="8" pivotButton="0" quotePrefix="0" xfId="0"/>
    <xf numFmtId="164" fontId="15" fillId="2" borderId="0" applyAlignment="1" pivotButton="0" quotePrefix="0" xfId="1">
      <alignment horizontal="left" vertical="center"/>
    </xf>
    <xf numFmtId="164" fontId="15" fillId="2" borderId="9" applyAlignment="1" pivotButton="0" quotePrefix="0" xfId="1">
      <alignment horizontal="left" vertical="center"/>
    </xf>
    <xf numFmtId="164" fontId="15" fillId="0" borderId="0" applyAlignment="1" pivotButton="0" quotePrefix="0" xfId="1">
      <alignment horizontal="left" vertical="center"/>
    </xf>
    <xf numFmtId="164" fontId="15" fillId="0" borderId="0" pivotButton="0" quotePrefix="0" xfId="1"/>
    <xf numFmtId="164" fontId="15" fillId="0" borderId="1" pivotButton="0" quotePrefix="0" xfId="1"/>
    <xf numFmtId="0" fontId="5" fillId="0" borderId="1" applyAlignment="1" pivotButton="0" quotePrefix="0" xfId="0">
      <alignment horizontal="left" vertical="center"/>
    </xf>
    <xf numFmtId="164" fontId="8" fillId="2" borderId="1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10" fillId="2" borderId="4" pivotButton="0" quotePrefix="0" xfId="1"/>
    <xf numFmtId="164" fontId="10" fillId="2" borderId="5" pivotButton="0" quotePrefix="0" xfId="1"/>
    <xf numFmtId="164" fontId="9" fillId="2" borderId="4" pivotButton="0" quotePrefix="0" xfId="1"/>
    <xf numFmtId="164" fontId="2" fillId="2" borderId="6" applyAlignment="1" pivotButton="0" quotePrefix="0" xfId="1">
      <alignment horizontal="left" vertical="center"/>
    </xf>
    <xf numFmtId="164" fontId="2" fillId="2" borderId="7" applyAlignment="1" pivotButton="0" quotePrefix="0" xfId="1">
      <alignment horizontal="left" vertical="center"/>
    </xf>
    <xf numFmtId="164" fontId="2" fillId="2" borderId="8" applyAlignment="1" pivotButton="0" quotePrefix="0" xfId="1">
      <alignment horizontal="left" vertical="center"/>
    </xf>
    <xf numFmtId="164" fontId="2" fillId="0" borderId="6" applyAlignment="1" pivotButton="0" quotePrefix="0" xfId="1">
      <alignment horizontal="left" vertical="center"/>
    </xf>
    <xf numFmtId="164" fontId="2" fillId="0" borderId="7" applyAlignment="1" pivotButton="0" quotePrefix="0" xfId="1">
      <alignment horizontal="left" vertical="center"/>
    </xf>
    <xf numFmtId="164" fontId="2" fillId="0" borderId="8" applyAlignment="1" pivotButton="0" quotePrefix="0" xfId="1">
      <alignment horizontal="left" vertical="center"/>
    </xf>
    <xf numFmtId="164" fontId="8" fillId="2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166" fontId="21" fillId="0" borderId="1" applyAlignment="1" pivotButton="0" quotePrefix="0" xfId="2">
      <alignment horizontal="left" vertical="center"/>
    </xf>
    <xf numFmtId="164" fontId="6" fillId="0" borderId="0" pivotButton="0" quotePrefix="0" xfId="0"/>
    <xf numFmtId="164" fontId="3" fillId="0" borderId="0" applyAlignment="1" pivotButton="0" quotePrefix="0" xfId="0">
      <alignment horizontal="center"/>
    </xf>
    <xf numFmtId="164" fontId="2" fillId="0" borderId="1" applyAlignment="1" pivotButton="0" quotePrefix="0" xfId="1">
      <alignment horizontal="center" vertical="center"/>
    </xf>
    <xf numFmtId="164" fontId="16" fillId="0" borderId="1" applyAlignment="1" pivotButton="0" quotePrefix="0" xfId="1">
      <alignment horizontal="center" vertical="center"/>
    </xf>
    <xf numFmtId="164" fontId="17" fillId="0" borderId="1" applyAlignment="1" pivotButton="0" quotePrefix="0" xfId="1">
      <alignment horizontal="left" vertical="center"/>
    </xf>
    <xf numFmtId="164" fontId="12" fillId="0" borderId="0" pivotButton="0" quotePrefix="0" xfId="1"/>
    <xf numFmtId="164" fontId="11" fillId="0" borderId="0" pivotButton="0" quotePrefix="0" xfId="0"/>
    <xf numFmtId="164" fontId="11" fillId="0" borderId="0" applyAlignment="1" pivotButton="0" quotePrefix="0" xfId="0">
      <alignment horizontal="center"/>
    </xf>
    <xf numFmtId="164" fontId="0" fillId="0" borderId="0" pivotButton="0" quotePrefix="0" xfId="0"/>
  </cellXfs>
  <cellStyles count="4">
    <cellStyle name="Normal" xfId="0" builtinId="0"/>
    <cellStyle name="Comma" xfId="1" builtinId="3"/>
    <cellStyle name="Comma [0]" xfId="2" builtinId="6"/>
    <cellStyle name="Check Cell" xfId="3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"/>
    </sheetView>
  </sheetViews>
  <sheetFormatPr baseColWidth="8" defaultRowHeight="15"/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inlineStr">
        <is>
          <t>2026-03-01</t>
        </is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inlineStr">
        <is>
          <t>2026-03-01</t>
        </is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46.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14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14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8</v>
      </c>
      <c r="M3" s="103" t="n">
        <v>500000</v>
      </c>
      <c r="N3" s="102" t="n">
        <v>50000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3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8</v>
      </c>
      <c r="M4" s="103" t="n">
        <v>250000</v>
      </c>
      <c r="N4" s="106" t="n">
        <v>25000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3</v>
      </c>
      <c r="M5" s="1" t="n">
        <v>2000000</v>
      </c>
      <c r="N5" s="1" t="n">
        <v>270000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3</v>
      </c>
      <c r="M6" s="106" t="n">
        <v>500000</v>
      </c>
      <c r="N6" s="106" t="n">
        <v>72000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14.1</v>
      </c>
      <c r="M7" s="106" t="n">
        <v>500000</v>
      </c>
      <c r="N7" s="106" t="n">
        <v>19000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 t="n">
        <v>69500</v>
      </c>
      <c r="E8" s="91" t="n"/>
      <c r="F8" s="97" t="inlineStr">
        <is>
          <t>Total Payable</t>
        </is>
      </c>
      <c r="G8" s="107" t="n"/>
      <c r="H8" s="108" t="n"/>
      <c r="I8" s="97" t="n">
        <v>24000</v>
      </c>
      <c r="J8" s="92" t="n"/>
      <c r="K8" s="1" t="n"/>
      <c r="L8" s="48" t="n">
        <v>14</v>
      </c>
      <c r="M8" s="106" t="n">
        <v>1000000</v>
      </c>
      <c r="N8" s="106" t="n">
        <v>38000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14.1</v>
      </c>
      <c r="M9" s="106" t="n">
        <v>1000000</v>
      </c>
      <c r="N9" s="106" t="n">
        <v>37000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inlineStr">
        <is>
          <t>2026-03-01</t>
        </is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inlineStr">
        <is>
          <t>2026-03-01</t>
        </is>
      </c>
      <c r="J10" s="112" t="n"/>
      <c r="K10" s="1" t="n"/>
      <c r="L10" s="48" t="n">
        <v>11</v>
      </c>
      <c r="M10" s="106" t="n">
        <v>500000</v>
      </c>
      <c r="N10" s="106" t="n">
        <v>33000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19</v>
      </c>
      <c r="M11" s="106" t="n">
        <v>500000</v>
      </c>
      <c r="N11" s="106" t="n">
        <v>2000</v>
      </c>
      <c r="O11" s="106">
        <f>L11&amp;"|"&amp;M11</f>
        <v/>
      </c>
      <c r="P11" s="102" t="n">
        <v>100</v>
      </c>
      <c r="Q11" s="106">
        <f>L11&amp;"|"&amp;M11</f>
        <v/>
      </c>
      <c r="R11" s="104" t="n">
        <v>24900</v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14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14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18</v>
      </c>
      <c r="M12" s="106" t="n">
        <v>1000000</v>
      </c>
      <c r="N12" s="106" t="n">
        <v>6000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18.1</v>
      </c>
      <c r="M13" s="1" t="n">
        <v>500000</v>
      </c>
      <c r="N13" s="1" t="n">
        <v>3000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3</v>
      </c>
      <c r="M14" s="106" t="n">
        <v>1000000</v>
      </c>
      <c r="N14" s="106" t="n">
        <v>130000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14</v>
      </c>
      <c r="M15" s="106" t="n">
        <v>500000</v>
      </c>
      <c r="N15" s="106" t="n">
        <v>20000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3.1</v>
      </c>
      <c r="M16" s="102" t="n">
        <v>1000000</v>
      </c>
      <c r="N16" s="106" t="n">
        <v>135000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 t="n">
        <v>24000</v>
      </c>
      <c r="E17" s="2" t="n"/>
      <c r="F17" s="97" t="inlineStr">
        <is>
          <t>Total Payable</t>
        </is>
      </c>
      <c r="G17" s="107" t="n"/>
      <c r="H17" s="108" t="n"/>
      <c r="I17" s="97" t="n">
        <v>24000</v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14</v>
      </c>
      <c r="M18" s="1" t="n">
        <v>250000</v>
      </c>
      <c r="N18" s="1" t="n">
        <v>10000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inlineStr">
        <is>
          <t>2026-03-01</t>
        </is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inlineStr">
        <is>
          <t>2026-03-01</t>
        </is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14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14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3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14.1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76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14.1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05">
        <f>SUM(O21,R21)</f>
        <v/>
      </c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 t="n">
        <v>134600</v>
      </c>
      <c r="E26" s="2" t="n"/>
      <c r="F26" s="97" t="inlineStr">
        <is>
          <t>Total payable</t>
        </is>
      </c>
      <c r="G26" s="107" t="n"/>
      <c r="H26" s="108" t="n"/>
      <c r="I26" s="97" t="n">
        <v>144400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inlineStr">
        <is>
          <t>2026-03-01</t>
        </is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inlineStr">
        <is>
          <t>2026-03-01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14.1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3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11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11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14.1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 t="n">
        <v>143000</v>
      </c>
      <c r="E35" s="2" t="n"/>
      <c r="F35" s="97" t="inlineStr">
        <is>
          <t>Total Payable</t>
        </is>
      </c>
      <c r="G35" s="107" t="n"/>
      <c r="H35" s="108" t="n"/>
      <c r="I35" s="97" t="n">
        <v>21400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inlineStr">
        <is>
          <t>2026-03-01</t>
        </is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inlineStr">
        <is>
          <t>2026-03-01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8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14.1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14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3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 t="n">
        <v>23250</v>
      </c>
      <c r="E44" s="2" t="n"/>
      <c r="F44" s="97" t="inlineStr">
        <is>
          <t>Total Payable</t>
        </is>
      </c>
      <c r="G44" s="107" t="n"/>
      <c r="H44" s="108" t="n"/>
      <c r="I44" s="97" t="n">
        <v>134650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inlineStr">
        <is>
          <t>2026-03-01</t>
        </is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inlineStr">
        <is>
          <t>2026-03-01</t>
        </is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14.1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11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 t="n">
        <v>24050</v>
      </c>
      <c r="E53" s="2" t="n"/>
      <c r="F53" s="97" t="inlineStr">
        <is>
          <t>Total Payable</t>
        </is>
      </c>
      <c r="G53" s="107" t="n"/>
      <c r="H53" s="108" t="n"/>
      <c r="I53" s="97" t="n">
        <v>23350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inlineStr">
        <is>
          <t>2026-03-01</t>
        </is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inlineStr">
        <is>
          <t>2026-03-01</t>
        </is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14.1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18.1</v>
      </c>
      <c r="G57" s="97" t="n">
        <v>500000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19</v>
      </c>
      <c r="B58" s="97" t="n">
        <v>500000</v>
      </c>
      <c r="C58" s="97" t="n">
        <v>100</v>
      </c>
      <c r="D58" s="97" t="n">
        <v>24900</v>
      </c>
      <c r="E58" s="2" t="n"/>
      <c r="F58" s="97" t="n">
        <v>3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 t="n"/>
      <c r="Y61" s="1" t="n"/>
      <c r="Z61" s="1" t="n"/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 t="n">
        <v>73050</v>
      </c>
      <c r="E62" s="2" t="n"/>
      <c r="F62" s="97" t="inlineStr">
        <is>
          <t>Total Payable</t>
        </is>
      </c>
      <c r="G62" s="107" t="n"/>
      <c r="H62" s="108" t="n"/>
      <c r="I62" s="97" t="n">
        <v>46250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05" t="n"/>
      <c r="U62" s="1" t="n"/>
      <c r="V62" s="1" t="n"/>
      <c r="W62" s="105" t="n"/>
      <c r="X62" s="1" t="n"/>
      <c r="Y62" s="1" t="n"/>
      <c r="Z62" s="1" t="n"/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05">
        <f>SUM(T3:T62)</f>
        <v/>
      </c>
      <c r="U63" s="1" t="n"/>
      <c r="V63" s="1" t="n"/>
      <c r="W63" s="1" t="n"/>
      <c r="X63" s="105">
        <f>SUM(X3:X62)</f>
        <v/>
      </c>
      <c r="Y63" s="1" t="n"/>
      <c r="Z63" s="1" t="n"/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inlineStr">
        <is>
          <t>2026-03-01</t>
        </is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inlineStr">
        <is>
          <t>2026-03-01</t>
        </is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thickBot="1" thickTop="1">
      <c r="A66" s="97" t="n">
        <v>14.1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14.1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inlineStr">
        <is>
          <t>TOTAL</t>
        </is>
      </c>
      <c r="W66" s="105">
        <f>SUM(T63,X63)</f>
        <v/>
      </c>
      <c r="X66" s="1" t="n"/>
      <c r="Y66" s="1" t="n"/>
      <c r="Z66" s="1" t="n"/>
    </row>
    <row r="67" ht="20.25" customHeight="1" thickBot="1" thickTop="1">
      <c r="A67" s="97" t="n">
        <v>3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3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>
        <v>14450</v>
      </c>
      <c r="D71" s="97" t="n">
        <v>110550</v>
      </c>
      <c r="E71" s="2" t="n"/>
      <c r="F71" s="97" t="inlineStr">
        <is>
          <t>Total Payable</t>
        </is>
      </c>
      <c r="G71" s="107" t="n"/>
      <c r="H71" s="108" t="n"/>
      <c r="I71" s="97" t="n">
        <v>45450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inlineStr">
        <is>
          <t>2026-03-01</t>
        </is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inlineStr">
        <is>
          <t>2026-03-01</t>
        </is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14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18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14.1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18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18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19</v>
      </c>
      <c r="G77" s="97" t="n">
        <v>500000</v>
      </c>
      <c r="H77" s="97" t="n">
        <v>100</v>
      </c>
      <c r="I77" s="97" t="n">
        <v>24900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18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14.1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3</v>
      </c>
      <c r="B79" s="97" t="n">
        <v>2000000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3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8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14.1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14.1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19</v>
      </c>
      <c r="G81" s="97" t="n">
        <v>500000</v>
      </c>
      <c r="H81" s="97" t="n">
        <v>100</v>
      </c>
      <c r="I81" s="97" t="n">
        <v>24900</v>
      </c>
      <c r="J81" s="1" t="n"/>
      <c r="K81" s="1" t="n"/>
      <c r="L81" s="113" t="n"/>
      <c r="M81" s="113" t="n"/>
      <c r="N81" s="113" t="n"/>
      <c r="O81" s="11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14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14</v>
      </c>
      <c r="G82" s="97" t="n">
        <v>500000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/>
      <c r="B83" s="97" t="n"/>
      <c r="C83" s="97" t="n"/>
      <c r="D83" s="97" t="n"/>
      <c r="E83" s="2" t="n"/>
      <c r="F83" s="97" t="n">
        <v>14.1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12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n">
        <v>20550</v>
      </c>
      <c r="D85" s="97" t="n">
        <v>329450</v>
      </c>
      <c r="E85" s="2" t="n"/>
      <c r="F85" s="97" t="inlineStr">
        <is>
          <t>Total Payable</t>
        </is>
      </c>
      <c r="G85" s="107" t="n"/>
      <c r="H85" s="108" t="n"/>
      <c r="I85" s="97" t="n">
        <v>314950</v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inlineStr">
        <is>
          <t>2026-03-01</t>
        </is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inlineStr">
        <is>
          <t>2026-03-01</t>
        </is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14.1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14.1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18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3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3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>
        <v>29150</v>
      </c>
      <c r="D94" s="97" t="n">
        <v>270850</v>
      </c>
      <c r="E94" s="2" t="n"/>
      <c r="F94" s="97" t="inlineStr">
        <is>
          <t>Total Payable</t>
        </is>
      </c>
      <c r="G94" s="107" t="n"/>
      <c r="H94" s="108" t="n"/>
      <c r="I94" s="97" t="n">
        <v>24050</v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inlineStr">
        <is>
          <t>2026-03-01</t>
        </is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inlineStr">
        <is>
          <t>2026-03-01</t>
        </is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14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14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3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14.1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18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>
        <v>4600</v>
      </c>
      <c r="D103" s="97" t="n">
        <v>45400</v>
      </c>
      <c r="E103" s="2" t="n"/>
      <c r="F103" s="97" t="inlineStr">
        <is>
          <t>Total Payable</t>
        </is>
      </c>
      <c r="G103" s="107" t="n"/>
      <c r="H103" s="108" t="n"/>
      <c r="I103" s="97" t="n">
        <v>145950</v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inlineStr">
        <is>
          <t>2026-03-01</t>
        </is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inlineStr">
        <is>
          <t>2026-03-01</t>
        </is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14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14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14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3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>
        <v>1000</v>
      </c>
      <c r="D112" s="97" t="n">
        <v>24000</v>
      </c>
      <c r="E112" s="2" t="n"/>
      <c r="F112" s="97" t="inlineStr">
        <is>
          <t>Total Payable</t>
        </is>
      </c>
      <c r="G112" s="107" t="n"/>
      <c r="H112" s="108" t="n"/>
      <c r="I112" s="97" t="n">
        <v>158600</v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inlineStr">
        <is>
          <t>2026-03-01</t>
        </is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inlineStr">
        <is>
          <t>2026-03-01</t>
        </is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14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14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19</v>
      </c>
      <c r="B117" s="97" t="n">
        <v>500000</v>
      </c>
      <c r="C117" s="97" t="n">
        <v>100</v>
      </c>
      <c r="D117" s="97" t="n">
        <v>24900</v>
      </c>
      <c r="E117" s="2" t="n"/>
      <c r="F117" s="97" t="n">
        <v>3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8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8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>
        <v>6100</v>
      </c>
      <c r="D121" s="97" t="n">
        <v>93900</v>
      </c>
      <c r="E121" s="2" t="n"/>
      <c r="F121" s="97" t="inlineStr">
        <is>
          <t>Total Payable</t>
        </is>
      </c>
      <c r="G121" s="107" t="n"/>
      <c r="H121" s="108" t="n"/>
      <c r="I121" s="97" t="n">
        <v>134600</v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inlineStr">
        <is>
          <t>2026-03-01</t>
        </is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inlineStr">
        <is>
          <t>2026-03-01</t>
        </is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14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14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3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8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8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19</v>
      </c>
      <c r="G128" s="97" t="n">
        <v>500000</v>
      </c>
      <c r="H128" s="97" t="n">
        <v>100</v>
      </c>
      <c r="I128" s="97" t="n">
        <v>24900</v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/>
      <c r="G129" s="97" t="n"/>
      <c r="H129" s="97" t="n"/>
      <c r="I129" s="9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>
        <v>14500</v>
      </c>
      <c r="D130" s="97" t="n">
        <v>110500</v>
      </c>
      <c r="E130" s="2" t="n"/>
      <c r="F130" s="97" t="inlineStr">
        <is>
          <t>Total Payable</t>
        </is>
      </c>
      <c r="G130" s="107" t="n"/>
      <c r="H130" s="108" t="n"/>
      <c r="I130" s="97" t="n">
        <v>118000</v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inlineStr">
        <is>
          <t>2026-03-01</t>
        </is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inlineStr">
        <is>
          <t>2026-03-01</t>
        </is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14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14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19</v>
      </c>
      <c r="B135" s="97" t="n">
        <v>500000</v>
      </c>
      <c r="C135" s="97" t="n">
        <v>100</v>
      </c>
      <c r="D135" s="97" t="n">
        <v>24900</v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>
        <v>1100</v>
      </c>
      <c r="D139" s="97" t="n">
        <v>48900</v>
      </c>
      <c r="E139" s="2" t="n"/>
      <c r="F139" s="97" t="inlineStr">
        <is>
          <t>Total Payable</t>
        </is>
      </c>
      <c r="G139" s="107" t="n"/>
      <c r="H139" s="108" t="n"/>
      <c r="I139" s="97" t="n">
        <v>24000</v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inlineStr">
        <is>
          <t>2026-03-01</t>
        </is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inlineStr">
        <is>
          <t>2026-03-01</t>
        </is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14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18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8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18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11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18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>
        <v>5450</v>
      </c>
      <c r="D148" s="97" t="n">
        <v>119550</v>
      </c>
      <c r="E148" s="2" t="n"/>
      <c r="F148" s="97" t="inlineStr">
        <is>
          <t>Total Payable</t>
        </is>
      </c>
      <c r="G148" s="107" t="n"/>
      <c r="H148" s="108" t="n"/>
      <c r="I148" s="97" t="n">
        <v>99400</v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inlineStr">
        <is>
          <t>2026-03-01</t>
        </is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inlineStr">
        <is>
          <t>2026-03-01</t>
        </is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18</v>
      </c>
      <c r="B152" s="97" t="n">
        <v>1000000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14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11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19</v>
      </c>
      <c r="G154" s="97" t="n">
        <v>500000</v>
      </c>
      <c r="H154" s="97" t="n">
        <v>100</v>
      </c>
      <c r="I154" s="97" t="n">
        <v>24900</v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>
        <v>300</v>
      </c>
      <c r="D157" s="97" t="n">
        <v>49700</v>
      </c>
      <c r="E157" s="2" t="n"/>
      <c r="F157" s="97" t="inlineStr">
        <is>
          <t>Total Payable</t>
        </is>
      </c>
      <c r="G157" s="107" t="n"/>
      <c r="H157" s="108" t="n"/>
      <c r="I157" s="97" t="n">
        <v>72250</v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inlineStr">
        <is>
          <t>2026-03-01</t>
        </is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inlineStr">
        <is>
          <t>2026-03-01</t>
        </is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14.1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14.1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>
        <v>1850</v>
      </c>
      <c r="D166" s="97" t="n">
        <v>48150</v>
      </c>
      <c r="E166" s="2" t="n"/>
      <c r="F166" s="97" t="inlineStr">
        <is>
          <t>Total Payable</t>
        </is>
      </c>
      <c r="G166" s="107" t="n"/>
      <c r="H166" s="108" t="n"/>
      <c r="I166" s="97" t="n">
        <v>48150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inlineStr">
        <is>
          <t>2026-03-01</t>
        </is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inlineStr">
        <is>
          <t>2026-03-01</t>
        </is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14.1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14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3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8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/>
      <c r="B172" s="97" t="n"/>
      <c r="C172" s="97" t="n"/>
      <c r="D172" s="97" t="n"/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>
        <v>8350</v>
      </c>
      <c r="D175" s="97" t="n">
        <v>91650</v>
      </c>
      <c r="E175" s="2" t="n"/>
      <c r="F175" s="97" t="inlineStr">
        <is>
          <t>Total Payable</t>
        </is>
      </c>
      <c r="G175" s="107" t="n"/>
      <c r="H175" s="108" t="n"/>
      <c r="I175" s="97" t="n">
        <v>70600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inlineStr">
        <is>
          <t>2026-03-01</t>
        </is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inlineStr">
        <is>
          <t>2026-03-01</t>
        </is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3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14.1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11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>
        <v>15150</v>
      </c>
      <c r="D184" s="97" t="n">
        <v>109850</v>
      </c>
      <c r="E184" s="2" t="n"/>
      <c r="F184" s="97" t="inlineStr">
        <is>
          <t>Total Payable</t>
        </is>
      </c>
      <c r="G184" s="107" t="n"/>
      <c r="H184" s="108" t="n"/>
      <c r="I184" s="97" t="n">
        <v>48150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inlineStr">
        <is>
          <t>2026-03-01</t>
        </is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inlineStr">
        <is>
          <t>2026-03-01</t>
        </is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18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14.1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14.1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>
        <v>2150</v>
      </c>
      <c r="D193" s="97" t="n">
        <v>97850</v>
      </c>
      <c r="E193" s="2" t="n"/>
      <c r="F193" s="97" t="inlineStr">
        <is>
          <t>Total Payable</t>
        </is>
      </c>
      <c r="G193" s="107" t="n"/>
      <c r="H193" s="108" t="n"/>
      <c r="I193" s="97" t="n">
        <v>24050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inlineStr">
        <is>
          <t>2026-03-01</t>
        </is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inlineStr">
        <is>
          <t>2026-03-01</t>
        </is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14.1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14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3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>
        <v>8350</v>
      </c>
      <c r="D202" s="97" t="n">
        <v>91650</v>
      </c>
      <c r="E202" s="2" t="n"/>
      <c r="F202" s="97" t="inlineStr">
        <is>
          <t>Total Payable</t>
        </is>
      </c>
      <c r="G202" s="107" t="n"/>
      <c r="H202" s="108" t="n"/>
      <c r="I202" s="97" t="n">
        <v>48100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inlineStr">
        <is>
          <t>2026-03-01</t>
        </is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inlineStr">
        <is>
          <t>2026-03-01</t>
        </is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 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14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19</v>
      </c>
      <c r="G206" s="97" t="n">
        <v>500000</v>
      </c>
      <c r="H206" s="97" t="n">
        <v>100</v>
      </c>
      <c r="I206" s="97" t="n">
        <v>24900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14.1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3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>
        <v>3750</v>
      </c>
      <c r="D211" s="97" t="n">
        <v>96250</v>
      </c>
      <c r="E211" s="2" t="n"/>
      <c r="F211" s="97" t="inlineStr">
        <is>
          <t>Total Payable</t>
        </is>
      </c>
      <c r="G211" s="107" t="n"/>
      <c r="H211" s="108" t="n"/>
      <c r="I211" s="97" t="n">
        <v>68400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inlineStr">
        <is>
          <t>2026-03-01</t>
        </is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inlineStr">
        <is>
          <t>2026-03-01</t>
        </is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19</v>
      </c>
      <c r="B215" s="97" t="n">
        <v>500000</v>
      </c>
      <c r="C215" s="97" t="n">
        <v>100</v>
      </c>
      <c r="D215" s="97" t="n">
        <v>24900</v>
      </c>
      <c r="E215" s="2" t="n"/>
      <c r="F215" s="97" t="n">
        <v>19</v>
      </c>
      <c r="G215" s="97" t="n">
        <v>500000</v>
      </c>
      <c r="H215" s="97" t="n">
        <v>100</v>
      </c>
      <c r="I215" s="97" t="n">
        <v>24900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11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>
        <v>100</v>
      </c>
      <c r="D220" s="97" t="n">
        <v>24900</v>
      </c>
      <c r="E220" s="2" t="n"/>
      <c r="F220" s="97" t="inlineStr">
        <is>
          <t>Total Payable</t>
        </is>
      </c>
      <c r="G220" s="107" t="n"/>
      <c r="H220" s="108" t="n"/>
      <c r="I220" s="97" t="n">
        <v>48250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inlineStr">
        <is>
          <t>2026-03-01</t>
        </is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inlineStr">
        <is>
          <t>2026-03-01</t>
        </is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8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8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>
        <v>2500</v>
      </c>
      <c r="D229" s="97" t="n">
        <v>22500</v>
      </c>
      <c r="E229" s="2" t="n"/>
      <c r="F229" s="97" t="inlineStr">
        <is>
          <t>Total Payable</t>
        </is>
      </c>
      <c r="G229" s="107" t="n"/>
      <c r="H229" s="108" t="n"/>
      <c r="I229" s="97" t="n">
        <v>22500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inlineStr">
        <is>
          <t>2026-03-01</t>
        </is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inlineStr">
        <is>
          <t>2026-03-01</t>
        </is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3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3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>
        <v>3600</v>
      </c>
      <c r="D238" s="97" t="n">
        <v>21400</v>
      </c>
      <c r="E238" s="2" t="n"/>
      <c r="F238" s="97" t="inlineStr">
        <is>
          <t>Total Payable</t>
        </is>
      </c>
      <c r="G238" s="107" t="n"/>
      <c r="H238" s="108" t="n"/>
      <c r="I238" s="97" t="n">
        <v>86500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RUPARAMJI</t>
        </is>
      </c>
      <c r="C240" s="97" t="inlineStr">
        <is>
          <t>MIYAPUR</t>
        </is>
      </c>
      <c r="D240" s="9" t="inlineStr">
        <is>
          <t>2026-03-01</t>
        </is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inlineStr">
        <is>
          <t>2026-03-01</t>
        </is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3</v>
      </c>
      <c r="B242" s="97" t="n">
        <v>1000000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18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/>
      <c r="B243" s="97" t="n"/>
      <c r="C243" s="97" t="n"/>
      <c r="D243" s="97" t="n"/>
      <c r="E243" s="2" t="n"/>
      <c r="F243" s="97" t="n">
        <v>3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11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11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/>
      <c r="G246" s="97" t="n"/>
      <c r="H246" s="97" t="n"/>
      <c r="I246" s="97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>
        <v>6500</v>
      </c>
      <c r="D247" s="97" t="n">
        <v>43500</v>
      </c>
      <c r="E247" s="2" t="n"/>
      <c r="F247" s="97" t="inlineStr">
        <is>
          <t>Total Payable</t>
        </is>
      </c>
      <c r="G247" s="107" t="n"/>
      <c r="H247" s="108" t="n"/>
      <c r="I247" s="97" t="n">
        <v>182900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inlineStr">
        <is>
          <t>2026-03-01</t>
        </is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inlineStr">
        <is>
          <t>2026-03-01</t>
        </is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18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8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18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>
        <v>600</v>
      </c>
      <c r="D256" s="97" t="n">
        <v>99400</v>
      </c>
      <c r="E256" s="2" t="n"/>
      <c r="F256" s="97" t="inlineStr">
        <is>
          <t>Total Payable</t>
        </is>
      </c>
      <c r="G256" s="107" t="n"/>
      <c r="H256" s="108" t="n"/>
      <c r="I256" s="97" t="n">
        <v>22500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inlineStr">
        <is>
          <t>2026-03-01</t>
        </is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inlineStr">
        <is>
          <t>2026-03-01</t>
        </is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14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19</v>
      </c>
      <c r="G260" s="97" t="n">
        <v>500000</v>
      </c>
      <c r="H260" s="97" t="n">
        <v>100</v>
      </c>
      <c r="I260" s="97" t="n">
        <v>24900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3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/>
      <c r="G261" s="97" t="n"/>
      <c r="H261" s="97" t="n"/>
      <c r="I261" s="9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>
        <v>7500</v>
      </c>
      <c r="D265" s="97" t="n">
        <v>67500</v>
      </c>
      <c r="E265" s="2" t="n"/>
      <c r="F265" s="97" t="inlineStr">
        <is>
          <t>Total Payable</t>
        </is>
      </c>
      <c r="G265" s="107" t="n"/>
      <c r="H265" s="108" t="n"/>
      <c r="I265" s="97" t="n">
        <v>24900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inlineStr">
        <is>
          <t>2026-03-01</t>
        </is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inlineStr">
        <is>
          <t>2026-03-01</t>
        </is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3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3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>
        <v>3600</v>
      </c>
      <c r="D274" s="97" t="n">
        <v>21400</v>
      </c>
      <c r="E274" s="2" t="n"/>
      <c r="F274" s="97" t="inlineStr">
        <is>
          <t>Total Payable</t>
        </is>
      </c>
      <c r="G274" s="107" t="n"/>
      <c r="H274" s="108" t="n"/>
      <c r="I274" s="97" t="n">
        <v>21400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inlineStr">
        <is>
          <t>2026-03-01</t>
        </is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inlineStr">
        <is>
          <t>2026-03-01</t>
        </is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3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3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18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19</v>
      </c>
      <c r="G279" s="97" t="n">
        <v>500000</v>
      </c>
      <c r="H279" s="97" t="n">
        <v>100</v>
      </c>
      <c r="I279" s="97" t="n">
        <v>24900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11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11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3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8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>
        <v>6800</v>
      </c>
      <c r="D284" s="97" t="n">
        <v>93200</v>
      </c>
      <c r="E284" s="2" t="n"/>
      <c r="F284" s="97" t="inlineStr">
        <is>
          <t>Total Payable</t>
        </is>
      </c>
      <c r="G284" s="107" t="n"/>
      <c r="H284" s="108" t="n"/>
      <c r="I284" s="97" t="n">
        <v>181100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inlineStr">
        <is>
          <t>2026-03-01</t>
        </is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inlineStr">
        <is>
          <t>2026-03-01</t>
        </is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3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3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3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8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>
        <v>18</v>
      </c>
      <c r="B290" s="97" t="n">
        <v>1000000</v>
      </c>
      <c r="C290" s="97">
        <f>VLOOKUP(A290&amp;"|"&amp;B290,$O$3:$P$17,2,FALSE)</f>
        <v/>
      </c>
      <c r="D290" s="97">
        <f>VLOOKUP(A290&amp;"|"&amp;B290,$Q$3:$R$17,2,FALSE)</f>
        <v/>
      </c>
      <c r="E290" s="2" t="n"/>
      <c r="F290" s="97" t="n">
        <v>11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11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>
        <v>17400</v>
      </c>
      <c r="D293" s="97" t="n">
        <v>157600</v>
      </c>
      <c r="E293" s="2" t="n"/>
      <c r="F293" s="97" t="inlineStr">
        <is>
          <t>Total Payable</t>
        </is>
      </c>
      <c r="G293" s="107" t="n"/>
      <c r="H293" s="108" t="n"/>
      <c r="I293" s="97" t="n">
        <v>112700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inlineStr">
        <is>
          <t>2026-03-01</t>
        </is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inlineStr">
        <is>
          <t>2026-03-01</t>
        </is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3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3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11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3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14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>
        <v>17050</v>
      </c>
      <c r="D302" s="97" t="n">
        <v>157950</v>
      </c>
      <c r="E302" s="2" t="n"/>
      <c r="F302" s="97" t="inlineStr">
        <is>
          <t>Total Payable</t>
        </is>
      </c>
      <c r="G302" s="107" t="n"/>
      <c r="H302" s="108" t="n"/>
      <c r="I302" s="97" t="n">
        <v>130000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inlineStr">
        <is>
          <t>2026-03-01</t>
        </is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inlineStr">
        <is>
          <t>2026-03-01</t>
        </is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3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3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18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>
        <v>6800</v>
      </c>
      <c r="D311" s="97" t="n">
        <v>93200</v>
      </c>
      <c r="E311" s="2" t="n"/>
      <c r="F311" s="97" t="inlineStr">
        <is>
          <t>Total Payable</t>
        </is>
      </c>
      <c r="G311" s="107" t="n"/>
      <c r="H311" s="108" t="n"/>
      <c r="I311" s="97" t="n">
        <v>43500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inlineStr">
        <is>
          <t>2026-03-01</t>
        </is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inlineStr">
        <is>
          <t>2026-03-01</t>
        </is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3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14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8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>
        <v>6100</v>
      </c>
      <c r="D320" s="97" t="n">
        <v>43900</v>
      </c>
      <c r="E320" s="2" t="n"/>
      <c r="F320" s="97" t="inlineStr">
        <is>
          <t>Total Payable</t>
        </is>
      </c>
      <c r="G320" s="107" t="n"/>
      <c r="H320" s="108" t="n"/>
      <c r="I320" s="97" t="n">
        <v>24000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inlineStr">
        <is>
          <t>2026-03-01</t>
        </is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inlineStr">
        <is>
          <t>2026-03-01</t>
        </is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19</v>
      </c>
      <c r="B324" s="97" t="n">
        <v>500000</v>
      </c>
      <c r="C324" s="97" t="n">
        <v>100</v>
      </c>
      <c r="D324" s="97" t="n">
        <v>24900</v>
      </c>
      <c r="E324" s="2" t="n"/>
      <c r="F324" s="97" t="n">
        <v>8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>
        <v>100</v>
      </c>
      <c r="D329" s="97" t="n">
        <v>24900</v>
      </c>
      <c r="E329" s="2" t="n"/>
      <c r="F329" s="97" t="inlineStr">
        <is>
          <t>Total Payable</t>
        </is>
      </c>
      <c r="G329" s="107" t="n"/>
      <c r="H329" s="108" t="n"/>
      <c r="I329" s="97" t="n">
        <v>22500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inlineStr">
        <is>
          <t>2026-03-01</t>
        </is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inlineStr">
        <is>
          <t>2026-03-01</t>
        </is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8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8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11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>
        <v>4150</v>
      </c>
      <c r="D338" s="97" t="n">
        <v>45850</v>
      </c>
      <c r="E338" s="91" t="n"/>
      <c r="F338" s="97" t="inlineStr">
        <is>
          <t>Total Payable</t>
        </is>
      </c>
      <c r="G338" s="107" t="n"/>
      <c r="H338" s="108" t="n"/>
      <c r="I338" s="97" t="n">
        <v>22500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inlineStr">
        <is>
          <t>2026-03-01</t>
        </is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inlineStr">
        <is>
          <t>2026-03-01</t>
        </is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11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19</v>
      </c>
      <c r="G342" s="97" t="n">
        <v>500000</v>
      </c>
      <c r="H342" s="97" t="n">
        <v>100</v>
      </c>
      <c r="I342" s="97" t="n">
        <v>24900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>
        <v>1650</v>
      </c>
      <c r="D347" s="97" t="n">
        <v>23350</v>
      </c>
      <c r="E347" s="2" t="n"/>
      <c r="F347" s="97" t="inlineStr">
        <is>
          <t>Total Payable</t>
        </is>
      </c>
      <c r="G347" s="107" t="n"/>
      <c r="H347" s="108" t="n"/>
      <c r="I347" s="97" t="n">
        <v>24900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inlineStr">
        <is>
          <t>2026-03-01</t>
        </is>
      </c>
      <c r="E349" s="2" t="n"/>
      <c r="F349" s="97" t="inlineStr">
        <is>
          <t>Name</t>
        </is>
      </c>
      <c r="G349" s="97" t="n"/>
      <c r="H349" s="97" t="n"/>
      <c r="I349" s="9" t="inlineStr">
        <is>
          <t>2026-03-01</t>
        </is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14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/>
      <c r="G351" s="97" t="n"/>
      <c r="H351" s="97" t="n"/>
      <c r="I351" s="97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>
        <v>1000</v>
      </c>
      <c r="D356" s="97" t="n">
        <v>24000</v>
      </c>
      <c r="E356" s="2" t="n"/>
      <c r="F356" s="97" t="inlineStr">
        <is>
          <t>Total Payable</t>
        </is>
      </c>
      <c r="G356" s="107" t="n"/>
      <c r="H356" s="108" t="n"/>
      <c r="I356" s="97" t="n">
        <v>0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inlineStr">
        <is>
          <t>2026-03-01</t>
        </is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inlineStr">
        <is>
          <t>2026-03-01</t>
        </is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3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11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/>
      <c r="B361" s="97" t="n"/>
      <c r="C361" s="97" t="n"/>
      <c r="D361" s="97" t="n"/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>
        <v>3600</v>
      </c>
      <c r="D365" s="97" t="n">
        <v>21400</v>
      </c>
      <c r="E365" s="2" t="n"/>
      <c r="F365" s="97" t="inlineStr">
        <is>
          <t>Total Payable</t>
        </is>
      </c>
      <c r="G365" s="107" t="n"/>
      <c r="H365" s="108" t="n"/>
      <c r="I365" s="97" t="n">
        <v>23350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inlineStr">
        <is>
          <t>2026-03-01</t>
        </is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inlineStr">
        <is>
          <t>2026-03-01</t>
        </is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3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11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19</v>
      </c>
      <c r="B370" s="97" t="n">
        <v>500000</v>
      </c>
      <c r="C370" s="97" t="n">
        <v>100</v>
      </c>
      <c r="D370" s="97" t="n">
        <v>24900</v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>
        <v>6600</v>
      </c>
      <c r="D374" s="97" t="n">
        <v>68400</v>
      </c>
      <c r="E374" s="4" t="n"/>
      <c r="F374" s="97" t="inlineStr">
        <is>
          <t>Total Payable</t>
        </is>
      </c>
      <c r="G374" s="107" t="n"/>
      <c r="H374" s="108" t="n"/>
      <c r="I374" s="97" t="n">
        <v>23350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inlineStr">
        <is>
          <t>2026-03-01</t>
        </is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inlineStr">
        <is>
          <t>2026-03-01</t>
        </is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3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3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>
        <v>3600</v>
      </c>
      <c r="D383" s="97" t="n">
        <v>21400</v>
      </c>
      <c r="E383" s="4" t="n"/>
      <c r="F383" s="97" t="inlineStr">
        <is>
          <t>Total Payable</t>
        </is>
      </c>
      <c r="G383" s="107" t="n"/>
      <c r="H383" s="108" t="n"/>
      <c r="I383" s="97" t="n">
        <v>21400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inlineStr">
        <is>
          <t>2026-03-01</t>
        </is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inlineStr">
        <is>
          <t>2026-03-01</t>
        </is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14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8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14.1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>
        <v>3750</v>
      </c>
      <c r="D392" s="97" t="n">
        <v>96250</v>
      </c>
      <c r="E392" s="4" t="n"/>
      <c r="F392" s="97" t="inlineStr">
        <is>
          <t>Total Payable</t>
        </is>
      </c>
      <c r="G392" s="107" t="n"/>
      <c r="H392" s="108" t="n"/>
      <c r="I392" s="97" t="n">
        <v>22500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inlineStr">
        <is>
          <t>2026-03-01</t>
        </is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inlineStr">
        <is>
          <t>2026-03-01</t>
        </is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14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3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>
        <v>1900</v>
      </c>
      <c r="D401" s="97" t="n">
        <v>48100</v>
      </c>
      <c r="E401" s="4" t="n"/>
      <c r="F401" s="97" t="inlineStr">
        <is>
          <t>Total Payable</t>
        </is>
      </c>
      <c r="G401" s="107" t="n"/>
      <c r="H401" s="108" t="n"/>
      <c r="I401" s="97" t="n">
        <v>43500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inlineStr">
        <is>
          <t>2026-03-01</t>
        </is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inlineStr">
        <is>
          <t>2026-03-01</t>
        </is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14.1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14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19</v>
      </c>
      <c r="G406" s="97" t="n">
        <v>500000</v>
      </c>
      <c r="H406" s="97" t="n">
        <v>100</v>
      </c>
      <c r="I406" s="97" t="n">
        <v>24900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>
        <v>1850</v>
      </c>
      <c r="D410" s="97" t="n">
        <v>48150</v>
      </c>
      <c r="E410" s="4" t="n"/>
      <c r="F410" s="97" t="inlineStr">
        <is>
          <t>Total Payable</t>
        </is>
      </c>
      <c r="G410" s="107" t="n"/>
      <c r="H410" s="108" t="n"/>
      <c r="I410" s="97" t="n">
        <v>48900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inlineStr">
        <is>
          <t>2026-03-01</t>
        </is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inlineStr">
        <is>
          <t>2026-03-01</t>
        </is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3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3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>
        <v>19</v>
      </c>
      <c r="G415" s="97" t="n">
        <v>500000</v>
      </c>
      <c r="H415" s="97" t="n">
        <v>100</v>
      </c>
      <c r="I415" s="97" t="n">
        <v>24900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>
        <v>3600</v>
      </c>
      <c r="D419" s="97" t="n">
        <v>21400</v>
      </c>
      <c r="E419" s="4" t="n"/>
      <c r="F419" s="97" t="inlineStr">
        <is>
          <t>Total Payable</t>
        </is>
      </c>
      <c r="G419" s="107" t="n"/>
      <c r="H419" s="108" t="n"/>
      <c r="I419" s="97" t="n">
        <v>68400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inlineStr">
        <is>
          <t>2026-03-01</t>
        </is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inlineStr">
        <is>
          <t>2026-03-01</t>
        </is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3.1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3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>
        <v>6750</v>
      </c>
      <c r="D428" s="97" t="n">
        <v>43250</v>
      </c>
      <c r="E428" s="4" t="n"/>
      <c r="F428" s="114" t="inlineStr">
        <is>
          <t>TOTAL PAYABLE</t>
        </is>
      </c>
      <c r="G428" s="107" t="n"/>
      <c r="H428" s="108" t="n"/>
      <c r="I428" s="97" t="n">
        <v>86500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inlineStr">
        <is>
          <t>2026-03-01</t>
        </is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inlineStr">
        <is>
          <t>2026-03-01</t>
        </is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3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3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>
        <v>6500</v>
      </c>
      <c r="D437" s="97" t="n">
        <v>43500</v>
      </c>
      <c r="E437" s="4" t="n"/>
      <c r="F437" s="114" t="inlineStr">
        <is>
          <t>TOTAL PAYABLE</t>
        </is>
      </c>
      <c r="G437" s="107" t="n"/>
      <c r="H437" s="108" t="n"/>
      <c r="I437" s="97" t="n">
        <v>43500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inlineStr">
        <is>
          <t>2026-03-01</t>
        </is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inlineStr">
        <is>
          <t>2026-03-01</t>
        </is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19</v>
      </c>
      <c r="B441" s="97" t="n">
        <v>500000</v>
      </c>
      <c r="C441" s="97" t="n">
        <v>100</v>
      </c>
      <c r="D441" s="97" t="n">
        <v>24900</v>
      </c>
      <c r="E441" s="4" t="n"/>
      <c r="F441" s="97" t="n">
        <v>3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>
        <v>100</v>
      </c>
      <c r="D446" s="97" t="n">
        <v>24900</v>
      </c>
      <c r="E446" s="4" t="n"/>
      <c r="F446" s="114" t="inlineStr">
        <is>
          <t>TOTAL PAYABLE</t>
        </is>
      </c>
      <c r="G446" s="107" t="n"/>
      <c r="H446" s="108" t="n"/>
      <c r="I446" s="97" t="n">
        <v>86500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inlineStr">
        <is>
          <t>2026-03-01</t>
        </is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inlineStr">
        <is>
          <t>2026-03-01</t>
        </is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19</v>
      </c>
      <c r="B450" s="97" t="n">
        <v>500000</v>
      </c>
      <c r="C450" s="97" t="n">
        <v>100</v>
      </c>
      <c r="D450" s="97" t="n">
        <v>24900</v>
      </c>
      <c r="E450" s="4" t="n"/>
      <c r="F450" s="97" t="n">
        <v>19</v>
      </c>
      <c r="G450" s="97" t="n">
        <v>500000</v>
      </c>
      <c r="H450" s="97" t="n">
        <v>100</v>
      </c>
      <c r="I450" s="97" t="n">
        <v>24900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>
        <v>100</v>
      </c>
      <c r="D455" s="97" t="n">
        <v>24900</v>
      </c>
      <c r="E455" s="4" t="n"/>
      <c r="F455" s="114" t="inlineStr">
        <is>
          <t>TOTAL PAYABLE</t>
        </is>
      </c>
      <c r="G455" s="107" t="n"/>
      <c r="H455" s="108" t="n"/>
      <c r="I455" s="97" t="n">
        <v>24900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inlineStr">
        <is>
          <t>2026-03-01</t>
        </is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inlineStr">
        <is>
          <t>2026-03-01</t>
        </is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14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3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3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>
        <v>7500</v>
      </c>
      <c r="D464" s="97" t="n">
        <v>67500</v>
      </c>
      <c r="E464" s="4" t="n"/>
      <c r="F464" s="114" t="inlineStr">
        <is>
          <t>TOTAL PAYABLE</t>
        </is>
      </c>
      <c r="G464" s="107" t="n"/>
      <c r="H464" s="108" t="n"/>
      <c r="I464" s="97" t="n">
        <v>43500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inlineStr">
        <is>
          <t>2026-03-01</t>
        </is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inlineStr">
        <is>
          <t>2026-03-01</t>
        </is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14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14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18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>
        <v>2200</v>
      </c>
      <c r="D473" s="97" t="n">
        <v>97800</v>
      </c>
      <c r="E473" s="4" t="n"/>
      <c r="F473" s="114" t="inlineStr">
        <is>
          <t>TOTAL PAYABLE</t>
        </is>
      </c>
      <c r="G473" s="107" t="n"/>
      <c r="H473" s="108" t="n"/>
      <c r="I473" s="97" t="n">
        <v>48100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inlineStr">
        <is>
          <t>2026-03-01</t>
        </is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inlineStr">
        <is>
          <t>2026-03-01</t>
        </is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14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18.1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>
        <v>1000</v>
      </c>
      <c r="D482" s="97" t="n">
        <v>24000</v>
      </c>
      <c r="E482" s="4" t="n"/>
      <c r="F482" s="114" t="inlineStr">
        <is>
          <t>TOTAL PAYABLE</t>
        </is>
      </c>
      <c r="G482" s="107" t="n"/>
      <c r="H482" s="108" t="n"/>
      <c r="I482" s="97" t="n">
        <v>24850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inlineStr">
        <is>
          <t>2026-03-01</t>
        </is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inlineStr">
        <is>
          <t>2026-03-01</t>
        </is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11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3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11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>
        <v>3300</v>
      </c>
      <c r="D491" s="97" t="n">
        <v>46700</v>
      </c>
      <c r="E491" s="4" t="n"/>
      <c r="F491" s="114" t="inlineStr">
        <is>
          <t>TOTAL PAYABLE</t>
        </is>
      </c>
      <c r="G491" s="107" t="n"/>
      <c r="H491" s="108" t="n"/>
      <c r="I491" s="97" t="n">
        <v>21400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inlineStr">
        <is>
          <t>2026-03-01</t>
        </is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inlineStr">
        <is>
          <t>2026-03-01</t>
        </is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8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8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8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3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18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>
        <v>2500</v>
      </c>
      <c r="D500" s="97" t="n">
        <v>22500</v>
      </c>
      <c r="E500" s="4" t="n"/>
      <c r="F500" s="114" t="inlineStr">
        <is>
          <t>TOTAL PAYABLE</t>
        </is>
      </c>
      <c r="G500" s="107" t="n"/>
      <c r="H500" s="108" t="n"/>
      <c r="I500" s="97" t="n">
        <v>116100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inlineStr">
        <is>
          <t>2026-03-01</t>
        </is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C0</t>
        </is>
      </c>
      <c r="I502" s="9" t="inlineStr">
        <is>
          <t>2026-03-01</t>
        </is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3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3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>
        <v>13500</v>
      </c>
      <c r="D509" s="97" t="n">
        <v>86500</v>
      </c>
      <c r="E509" s="4" t="n"/>
      <c r="F509" s="81" t="inlineStr">
        <is>
          <t>TOTAL PAYABLE</t>
        </is>
      </c>
      <c r="G509" s="82" t="n"/>
      <c r="H509" s="83" t="n">
        <v>3600</v>
      </c>
      <c r="I509" s="97" t="n">
        <v>21400</v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inlineStr">
        <is>
          <t>2026-03-01</t>
        </is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AMINPUR</t>
        </is>
      </c>
      <c r="I511" s="9" t="inlineStr">
        <is>
          <t>2026-03-01</t>
        </is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3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3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>
        <v>3600</v>
      </c>
      <c r="D518" s="97" t="n">
        <v>21400</v>
      </c>
      <c r="E518" s="4" t="n"/>
      <c r="F518" s="114" t="inlineStr">
        <is>
          <t>TOTAL</t>
        </is>
      </c>
      <c r="G518" s="107" t="n"/>
      <c r="H518" s="108" t="n"/>
      <c r="I518" s="97" t="n">
        <v>21400</v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inlineStr">
        <is>
          <t>2026-03-01</t>
        </is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inlineStr">
        <is>
          <t>2026-03-01</t>
        </is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14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3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3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>
        <v>1000</v>
      </c>
      <c r="D527" s="97" t="n">
        <v>24000</v>
      </c>
      <c r="F527" s="114" t="inlineStr">
        <is>
          <t>TOTAL</t>
        </is>
      </c>
      <c r="G527" s="107" t="n"/>
      <c r="H527" s="108" t="n"/>
      <c r="I527" s="97" t="n">
        <v>87000</v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inlineStr">
        <is>
          <t>2026-03-01</t>
        </is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</row>
    <row r="531" ht="20.25" customHeight="1" thickBot="1" thickTop="1">
      <c r="A531" s="97" t="n">
        <v>3</v>
      </c>
      <c r="B531" s="97" t="n">
        <v>2000000</v>
      </c>
      <c r="C531" s="97">
        <f>VLOOKUP(A531&amp;"|"&amp;B531,$O$3:$P$17,2,FALSE)</f>
        <v/>
      </c>
      <c r="D531" s="97">
        <f>VLOOKUP(A531&amp;"|"&amp;B531,$Q$3:$R$17,2,FALSE)</f>
        <v/>
      </c>
    </row>
    <row r="532" ht="20.25" customHeight="1" thickBot="1" thickTop="1">
      <c r="A532" s="97" t="n"/>
      <c r="B532" s="97" t="n"/>
      <c r="C532" s="97" t="n"/>
      <c r="D532" s="97" t="n"/>
    </row>
    <row r="533" ht="20.25" customHeight="1" thickBot="1" thickTop="1">
      <c r="A533" s="97" t="n"/>
      <c r="B533" s="97" t="n"/>
      <c r="C533" s="97" t="n"/>
      <c r="D533" s="97" t="n"/>
    </row>
    <row r="534" ht="20.25" customHeight="1" thickBot="1" thickTop="1">
      <c r="A534" s="97" t="n"/>
      <c r="B534" s="97" t="n"/>
      <c r="C534" s="97" t="n"/>
      <c r="D534" s="97" t="n"/>
    </row>
    <row r="535" ht="20.25" customHeight="1" thickBot="1" thickTop="1">
      <c r="A535" s="97" t="n"/>
      <c r="B535" s="97" t="n"/>
      <c r="C535" s="97" t="n"/>
      <c r="D535" s="97" t="n"/>
    </row>
    <row r="536" ht="20.25" customHeight="1" thickBot="1" thickTop="1">
      <c r="A536" s="81" t="inlineStr">
        <is>
          <t>TOTAL PAYABLE</t>
        </is>
      </c>
      <c r="B536" s="82" t="n"/>
      <c r="C536" s="83" t="n">
        <v>13500</v>
      </c>
      <c r="D536" s="97" t="n">
        <v>86500</v>
      </c>
    </row>
    <row r="537" ht="15.75" customHeight="1" thickTop="1"/>
  </sheetData>
  <mergeCells count="64">
    <mergeCell ref="F94:H94"/>
    <mergeCell ref="F374:H374"/>
    <mergeCell ref="F238:H238"/>
    <mergeCell ref="F85:H85"/>
    <mergeCell ref="F356:H356"/>
    <mergeCell ref="F383:H383"/>
    <mergeCell ref="F35:H35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184:H184"/>
    <mergeCell ref="F311:H311"/>
    <mergeCell ref="F211:H211"/>
    <mergeCell ref="A17:C17"/>
    <mergeCell ref="F347:H347"/>
    <mergeCell ref="A62:C62"/>
    <mergeCell ref="F500:H500"/>
    <mergeCell ref="F220:H220"/>
    <mergeCell ref="F518:H518"/>
    <mergeCell ref="A53:C53"/>
    <mergeCell ref="F338:H338"/>
    <mergeCell ref="F229:H229"/>
    <mergeCell ref="A35:C35"/>
    <mergeCell ref="F130:H130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473:H473"/>
    <mergeCell ref="F103:H10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J6" sqref="J6"/>
    </sheetView>
  </sheetViews>
  <sheetFormatPr baseColWidth="8" defaultRowHeight="15"/>
  <sheetData>
    <row r="1" ht="20.25" customHeight="1" thickBot="1" thickTop="1">
      <c r="A1" s="115" t="inlineStr">
        <is>
          <t>Name</t>
        </is>
      </c>
      <c r="B1" s="90" t="inlineStr">
        <is>
          <t>SOHANJI</t>
        </is>
      </c>
      <c r="C1" s="90" t="inlineStr">
        <is>
          <t>AL CO</t>
        </is>
      </c>
      <c r="D1" s="9" t="n">
        <v>46054</v>
      </c>
      <c r="E1" s="91" t="n"/>
      <c r="F1" s="11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46054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T1" s="1" t="n"/>
      <c r="U1" s="1" t="n"/>
      <c r="V1" s="5" t="inlineStr">
        <is>
          <t>Date  :   01-feb-2026</t>
        </is>
      </c>
      <c r="W1" s="1" t="n"/>
      <c r="X1" s="1" t="n"/>
      <c r="Y1" s="1" t="n"/>
      <c r="Z1" s="1" t="n"/>
    </row>
    <row r="2" ht="46.5" customHeight="1" thickBot="1" thickTop="1">
      <c r="A2" s="115" t="inlineStr">
        <is>
          <t>Month</t>
        </is>
      </c>
      <c r="B2" s="90" t="inlineStr">
        <is>
          <t>SOHANJI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116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115" t="n">
        <v>1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26" t="n">
        <v>1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27" t="n">
        <v>15</v>
      </c>
      <c r="M3" s="117" t="n">
        <v>500000</v>
      </c>
      <c r="N3" s="117" t="n">
        <v>15000</v>
      </c>
      <c r="O3" s="117">
        <f>L3&amp;"|"&amp;M3</f>
        <v/>
      </c>
      <c r="P3" s="117">
        <f>N3/20</f>
        <v/>
      </c>
      <c r="Q3" s="117">
        <f>L3&amp;"|"&amp;M3</f>
        <v/>
      </c>
      <c r="R3" s="118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31" t="n">
        <v>10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116" t="n"/>
      <c r="G4" s="97" t="n"/>
      <c r="H4" s="97" t="n"/>
      <c r="I4" s="97" t="n"/>
      <c r="J4" s="92" t="n"/>
      <c r="K4" s="1" t="n"/>
      <c r="L4" s="27" t="n">
        <v>15</v>
      </c>
      <c r="M4" s="117" t="n">
        <v>250000</v>
      </c>
      <c r="N4" s="119" t="n">
        <v>7000</v>
      </c>
      <c r="O4" s="117">
        <f>L4&amp;"|"&amp;M4</f>
        <v/>
      </c>
      <c r="P4" s="117">
        <f>N4/20</f>
        <v/>
      </c>
      <c r="Q4" s="117">
        <f>L4&amp;"|"&amp;M4</f>
        <v/>
      </c>
      <c r="R4" s="118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115" t="n"/>
      <c r="B5" s="90" t="n"/>
      <c r="C5" s="90" t="n"/>
      <c r="D5" s="90" t="n"/>
      <c r="E5" s="91" t="n"/>
      <c r="F5" s="116" t="n"/>
      <c r="G5" s="97" t="n"/>
      <c r="H5" s="97" t="n"/>
      <c r="I5" s="97" t="n"/>
      <c r="J5" s="92" t="n"/>
      <c r="K5" s="1" t="n"/>
      <c r="L5" s="27" t="n">
        <v>10</v>
      </c>
      <c r="M5" s="27" t="n">
        <v>2000000</v>
      </c>
      <c r="N5" s="27" t="n">
        <v>135000</v>
      </c>
      <c r="O5" s="119">
        <f>L5&amp;"|"&amp;M5</f>
        <v/>
      </c>
      <c r="P5" s="117">
        <f>N5/20</f>
        <v/>
      </c>
      <c r="Q5" s="119">
        <f>L5&amp;"|"&amp;M5</f>
        <v/>
      </c>
      <c r="R5" s="118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115" t="n"/>
      <c r="B6" s="90" t="n"/>
      <c r="C6" s="90" t="n"/>
      <c r="D6" s="90" t="n"/>
      <c r="E6" s="91" t="n"/>
      <c r="F6" s="116" t="n"/>
      <c r="G6" s="97" t="n"/>
      <c r="H6" s="97" t="n"/>
      <c r="I6" s="97" t="n"/>
      <c r="J6" s="92" t="n"/>
      <c r="K6" s="1" t="n"/>
      <c r="L6" s="27" t="n">
        <v>10</v>
      </c>
      <c r="M6" s="119" t="n">
        <v>500000</v>
      </c>
      <c r="N6" s="119" t="n">
        <v>36000</v>
      </c>
      <c r="O6" s="119">
        <f>L6&amp;"|"&amp;M6</f>
        <v/>
      </c>
      <c r="P6" s="117">
        <f>N6/20</f>
        <v/>
      </c>
      <c r="Q6" s="119">
        <f>L6&amp;"|"&amp;M6</f>
        <v/>
      </c>
      <c r="R6" s="118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115" t="n"/>
      <c r="B7" s="90" t="n"/>
      <c r="C7" s="90" t="n"/>
      <c r="D7" s="90" t="n"/>
      <c r="E7" s="91" t="n"/>
      <c r="F7" s="116" t="n"/>
      <c r="G7" s="97" t="n"/>
      <c r="H7" s="97" t="n"/>
      <c r="I7" s="97" t="n"/>
      <c r="J7" s="92" t="n"/>
      <c r="K7" s="1" t="n"/>
      <c r="L7" s="27" t="n">
        <v>1</v>
      </c>
      <c r="M7" s="119" t="n">
        <v>500000</v>
      </c>
      <c r="N7" s="119" t="n">
        <v>86000</v>
      </c>
      <c r="O7" s="119">
        <f>L7&amp;"|"&amp;M7</f>
        <v/>
      </c>
      <c r="P7" s="117">
        <f>N7/20</f>
        <v/>
      </c>
      <c r="Q7" s="117">
        <f>L7&amp;"|"&amp;M7</f>
        <v/>
      </c>
      <c r="R7" s="118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120" t="inlineStr">
        <is>
          <t>Total Payable</t>
        </is>
      </c>
      <c r="B8" s="121" t="n"/>
      <c r="C8" s="122" t="n"/>
      <c r="D8" s="90">
        <f>SUM(D3:D7)</f>
        <v/>
      </c>
      <c r="E8" s="91" t="n"/>
      <c r="F8" s="123" t="inlineStr">
        <is>
          <t>Total Payable</t>
        </is>
      </c>
      <c r="G8" s="124" t="n"/>
      <c r="H8" s="125" t="n"/>
      <c r="I8" s="97">
        <f>SUM(I3:I7)</f>
        <v/>
      </c>
      <c r="J8" s="92" t="n"/>
      <c r="K8" s="1" t="n"/>
      <c r="L8" s="27" t="n">
        <v>1</v>
      </c>
      <c r="M8" s="119" t="n">
        <v>1000000</v>
      </c>
      <c r="N8" s="119" t="n">
        <v>172000</v>
      </c>
      <c r="O8" s="119">
        <f>L8&amp;"|"&amp;M8</f>
        <v/>
      </c>
      <c r="P8" s="117">
        <f>N8/20</f>
        <v/>
      </c>
      <c r="Q8" s="119">
        <f>L8&amp;"|"&amp;M8</f>
        <v/>
      </c>
      <c r="R8" s="118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26" t="n"/>
      <c r="B9" s="110" t="n"/>
      <c r="C9" s="109" t="n"/>
      <c r="D9" s="109" t="n"/>
      <c r="E9" s="111" t="n"/>
      <c r="F9" s="127" t="n"/>
      <c r="G9" s="111" t="n"/>
      <c r="H9" s="111" t="n"/>
      <c r="I9" s="111" t="n"/>
      <c r="J9" s="92" t="n"/>
      <c r="K9" s="1" t="n"/>
      <c r="L9" s="27" t="n">
        <v>1.1</v>
      </c>
      <c r="M9" s="119" t="n">
        <v>1000000</v>
      </c>
      <c r="N9" s="119" t="n">
        <v>175000</v>
      </c>
      <c r="O9" s="119">
        <f>L9&amp;"|"&amp;M9</f>
        <v/>
      </c>
      <c r="P9" s="117">
        <f>N9/20</f>
        <v/>
      </c>
      <c r="Q9" s="119">
        <f>L9&amp;"|"&amp;M9</f>
        <v/>
      </c>
      <c r="R9" s="118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116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46054</v>
      </c>
      <c r="E10" s="91" t="n"/>
      <c r="F10" s="116" t="inlineStr">
        <is>
          <t>Name</t>
        </is>
      </c>
      <c r="G10" s="97" t="inlineStr">
        <is>
          <t>JABBARSINGHJI</t>
        </is>
      </c>
      <c r="H10" s="97" t="inlineStr">
        <is>
          <t>K PALLY</t>
        </is>
      </c>
      <c r="I10" s="9" t="n">
        <v>46054</v>
      </c>
      <c r="J10" s="112" t="n"/>
      <c r="K10" s="1" t="n"/>
      <c r="L10" s="27" t="n">
        <v>18</v>
      </c>
      <c r="M10" s="119" t="n">
        <v>500000</v>
      </c>
      <c r="N10" s="119" t="n">
        <v>4000</v>
      </c>
      <c r="O10" s="119">
        <f>L10&amp;"|"&amp;M10</f>
        <v/>
      </c>
      <c r="P10" s="117">
        <f>N10/20</f>
        <v/>
      </c>
      <c r="Q10" s="119">
        <f>L10&amp;"|"&amp;M10</f>
        <v/>
      </c>
      <c r="R10" s="118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116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116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27" t="n">
        <v>5</v>
      </c>
      <c r="M11" s="119" t="n">
        <v>500000</v>
      </c>
      <c r="N11" s="119" t="n">
        <v>64000</v>
      </c>
      <c r="O11" s="119">
        <f>L11&amp;"|"&amp;M11</f>
        <v/>
      </c>
      <c r="P11" s="117">
        <f>N11/20</f>
        <v/>
      </c>
      <c r="Q11" s="119">
        <f>L11&amp;"|"&amp;M11</f>
        <v/>
      </c>
      <c r="R11" s="118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31" t="n">
        <v>1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26" t="n">
        <v>1</v>
      </c>
      <c r="G12" s="97" t="n">
        <v>1000000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27" t="n">
        <v>5</v>
      </c>
      <c r="M12" s="119" t="n">
        <v>1000000</v>
      </c>
      <c r="N12" s="119" t="n">
        <v>150000</v>
      </c>
      <c r="O12" s="119">
        <f>L12&amp;"|"&amp;M12</f>
        <v/>
      </c>
      <c r="P12" s="117">
        <f>N12/20</f>
        <v/>
      </c>
      <c r="Q12" s="119">
        <f>L12&amp;"|"&amp;M12</f>
        <v/>
      </c>
      <c r="R12" s="118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116" t="n"/>
      <c r="B13" s="97" t="n"/>
      <c r="C13" s="97" t="n"/>
      <c r="D13" s="97" t="n"/>
      <c r="E13" s="91" t="n"/>
      <c r="F13" s="116" t="n">
        <v>1.1</v>
      </c>
      <c r="G13" s="97" t="n">
        <v>1000000</v>
      </c>
      <c r="H13" s="97">
        <f>VLOOKUP(F13&amp;"|"&amp;G13,$O$3:$P$16,2,FALSE)</f>
        <v/>
      </c>
      <c r="I13" s="97">
        <f>VLOOKUP(F13&amp;"|"&amp;G13,$Q$3:$R$16,2,FALSE)</f>
        <v/>
      </c>
      <c r="J13" s="92" t="n"/>
      <c r="K13" s="1" t="n"/>
      <c r="L13" s="27" t="n">
        <v>5.1</v>
      </c>
      <c r="M13" s="27" t="n">
        <v>1000000</v>
      </c>
      <c r="N13" s="27" t="n">
        <v>148000</v>
      </c>
      <c r="O13" s="119">
        <f>L13&amp;"|"&amp;M13</f>
        <v/>
      </c>
      <c r="P13" s="117">
        <f>N13/20</f>
        <v/>
      </c>
      <c r="Q13" s="119">
        <f>L13&amp;"|"&amp;M13</f>
        <v/>
      </c>
      <c r="R13" s="118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116" t="n"/>
      <c r="B14" s="97" t="n"/>
      <c r="C14" s="97" t="n"/>
      <c r="D14" s="97" t="n"/>
      <c r="E14" s="91" t="n"/>
      <c r="F14" s="116" t="n"/>
      <c r="G14" s="97" t="n"/>
      <c r="H14" s="97" t="n"/>
      <c r="I14" s="97" t="n"/>
      <c r="J14" s="92" t="inlineStr">
        <is>
          <t> </t>
        </is>
      </c>
      <c r="K14" s="1" t="n"/>
      <c r="L14" s="27" t="n">
        <v>10</v>
      </c>
      <c r="M14" s="119" t="n">
        <v>1000000</v>
      </c>
      <c r="N14" s="119" t="n">
        <v>72000</v>
      </c>
      <c r="O14" s="119">
        <f>L14&amp;"|"&amp;M14</f>
        <v/>
      </c>
      <c r="P14" s="117">
        <f>N14/20</f>
        <v/>
      </c>
      <c r="Q14" s="119">
        <f>L14&amp;"|"&amp;M14</f>
        <v/>
      </c>
      <c r="R14" s="118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116" t="n"/>
      <c r="B15" s="97" t="n"/>
      <c r="C15" s="97" t="n"/>
      <c r="D15" s="97" t="n"/>
      <c r="E15" s="91" t="n"/>
      <c r="F15" s="116" t="n"/>
      <c r="G15" s="97" t="n"/>
      <c r="H15" s="97" t="n"/>
      <c r="I15" s="97" t="n"/>
      <c r="J15" s="92" t="n"/>
      <c r="K15" s="1" t="n"/>
      <c r="L15" s="27" t="n">
        <v>1</v>
      </c>
      <c r="M15" s="119" t="n">
        <v>250000</v>
      </c>
      <c r="N15" s="119" t="n">
        <v>43000</v>
      </c>
      <c r="O15" s="119">
        <f>L15&amp;"|"&amp;M15</f>
        <v/>
      </c>
      <c r="P15" s="117">
        <f>N15/20</f>
        <v/>
      </c>
      <c r="Q15" s="119">
        <f>L15&amp;"|"&amp;M15</f>
        <v/>
      </c>
      <c r="R15" s="118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116" t="n"/>
      <c r="B16" s="97" t="n"/>
      <c r="C16" s="97" t="n"/>
      <c r="D16" s="97" t="n"/>
      <c r="E16" s="2" t="n"/>
      <c r="F16" s="116" t="n"/>
      <c r="G16" s="97" t="n"/>
      <c r="H16" s="97" t="n"/>
      <c r="I16" s="97" t="n"/>
      <c r="J16" s="92" t="n"/>
      <c r="K16" s="1" t="n"/>
      <c r="L16" s="27" t="n">
        <v>10.1</v>
      </c>
      <c r="M16" s="117" t="n">
        <v>1000000</v>
      </c>
      <c r="N16" s="119" t="n">
        <v>67000</v>
      </c>
      <c r="O16" s="119">
        <f>L16&amp;"|"&amp;M16</f>
        <v/>
      </c>
      <c r="P16" s="117">
        <f>N16/20</f>
        <v/>
      </c>
      <c r="Q16" s="119">
        <f>L16&amp;"|"&amp;M16</f>
        <v/>
      </c>
      <c r="R16" s="118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123" t="inlineStr">
        <is>
          <t>Total Payable</t>
        </is>
      </c>
      <c r="B17" s="124" t="n"/>
      <c r="C17" s="125" t="n"/>
      <c r="D17" s="90">
        <f>SUM(D12:D16)</f>
        <v/>
      </c>
      <c r="E17" s="2" t="n"/>
      <c r="F17" s="123" t="inlineStr">
        <is>
          <t>Total Payable</t>
        </is>
      </c>
      <c r="G17" s="124" t="n"/>
      <c r="H17" s="125" t="n"/>
      <c r="I17" s="97">
        <f>SUM(I12:I16)</f>
        <v/>
      </c>
      <c r="J17" s="92" t="n"/>
      <c r="K17" s="1" t="n"/>
      <c r="L17" s="1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1" t="n"/>
      <c r="B18" s="3" t="n"/>
      <c r="C18" s="3" t="n"/>
      <c r="D18" s="3" t="n"/>
      <c r="E18" s="3" t="n"/>
      <c r="F18" s="127" t="n"/>
      <c r="G18" s="111" t="n"/>
      <c r="H18" s="111" t="n"/>
      <c r="I18" s="111" t="n"/>
      <c r="J18" s="92" t="n"/>
      <c r="K18" s="1" t="n"/>
      <c r="L18" s="1" t="n"/>
      <c r="M18" s="1" t="n"/>
      <c r="N18" s="1" t="n"/>
      <c r="O18" s="106" t="n"/>
      <c r="P18" s="102" t="n"/>
      <c r="Q18" s="106" t="n"/>
      <c r="R18" s="104" t="n"/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116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46054</v>
      </c>
      <c r="E19" s="2" t="n"/>
      <c r="F19" s="116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46054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116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116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116" t="n">
        <v>1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26" t="n">
        <v>1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116" t="n">
        <v>10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26" t="n">
        <v>1.1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116" t="n"/>
      <c r="B23" s="97" t="n"/>
      <c r="C23" s="97" t="n"/>
      <c r="D23" s="97" t="n"/>
      <c r="E23" s="2" t="n"/>
      <c r="F23" s="26" t="n">
        <v>1.1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116" t="n"/>
      <c r="B24" s="97" t="n"/>
      <c r="C24" s="97" t="n"/>
      <c r="D24" s="97" t="n"/>
      <c r="E24" s="2" t="n"/>
      <c r="F24" s="116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116" t="n"/>
      <c r="B25" s="97" t="n"/>
      <c r="C25" s="97" t="n"/>
      <c r="D25" s="97" t="n"/>
      <c r="E25" s="2" t="n"/>
      <c r="F25" s="116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123" t="inlineStr">
        <is>
          <t>Total Payable</t>
        </is>
      </c>
      <c r="B26" s="124" t="n"/>
      <c r="C26" s="125" t="n"/>
      <c r="D26" s="90">
        <f>SUM(D21:D25)</f>
        <v/>
      </c>
      <c r="E26" s="2" t="n"/>
      <c r="F26" s="123" t="inlineStr">
        <is>
          <t>Total payable</t>
        </is>
      </c>
      <c r="G26" s="124" t="n"/>
      <c r="H26" s="125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 t="n">
        <v>41400</v>
      </c>
      <c r="U26" s="128" t="inlineStr">
        <is>
          <t>MANOHARJI</t>
        </is>
      </c>
      <c r="V26" s="129" t="inlineStr">
        <is>
          <t>PAPRDY NGR</t>
        </is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7.25" customHeight="1" thickBot="1" thickTop="1">
      <c r="A27" s="31" t="n"/>
      <c r="B27" s="2" t="n"/>
      <c r="C27" s="2" t="n"/>
      <c r="D27" s="2" t="n"/>
      <c r="E27" s="2" t="n"/>
      <c r="F27" s="31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116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46054</v>
      </c>
      <c r="E28" s="2" t="n"/>
      <c r="F28" s="116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46054</v>
      </c>
      <c r="J28" s="1" t="n"/>
      <c r="K28" s="1" t="n"/>
      <c r="L28" s="1" t="n"/>
      <c r="M28" s="1" t="n"/>
      <c r="N28" s="50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116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116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31" t="n">
        <v>1.1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26" t="n">
        <v>10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31" t="n">
        <v>18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116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31" t="n">
        <v>18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116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31" t="n"/>
      <c r="B33" s="97" t="n"/>
      <c r="C33" s="97" t="n"/>
      <c r="D33" s="97" t="n"/>
      <c r="E33" s="2" t="n"/>
      <c r="F33" s="116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116" t="n"/>
      <c r="B34" s="97" t="n"/>
      <c r="C34" s="97" t="n"/>
      <c r="D34" s="97" t="n"/>
      <c r="E34" s="2" t="n"/>
      <c r="F34" s="116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123" t="inlineStr">
        <is>
          <t>Total Payable</t>
        </is>
      </c>
      <c r="B35" s="124" t="n"/>
      <c r="C35" s="125" t="n"/>
      <c r="D35" s="90">
        <f>SUM(D30:D34)</f>
        <v/>
      </c>
      <c r="E35" s="2" t="n"/>
      <c r="F35" s="123" t="inlineStr">
        <is>
          <t>Total Payable</t>
        </is>
      </c>
      <c r="G35" s="124" t="n"/>
      <c r="H35" s="125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7.25" customHeight="1" thickBot="1" thickTop="1">
      <c r="A36" s="31" t="n"/>
      <c r="B36" s="2" t="n"/>
      <c r="C36" s="2" t="n"/>
      <c r="D36" s="2" t="n"/>
      <c r="E36" s="2" t="n"/>
      <c r="F36" s="31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116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46054</v>
      </c>
      <c r="E37" s="2" t="n"/>
      <c r="F37" s="116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46054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116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116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31" t="n">
        <v>15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26" t="n">
        <v>1.1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31" t="n">
        <v>1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26" t="n">
        <v>10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116" t="n"/>
      <c r="B41" s="97" t="n"/>
      <c r="C41" s="97" t="n"/>
      <c r="D41" s="97" t="n"/>
      <c r="E41" s="2" t="n"/>
      <c r="F41" s="116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116" t="n"/>
      <c r="B42" s="97" t="n"/>
      <c r="C42" s="97" t="n"/>
      <c r="D42" s="97" t="n"/>
      <c r="E42" s="2" t="n"/>
      <c r="F42" s="116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116" t="n"/>
      <c r="B43" s="97" t="n"/>
      <c r="C43" s="97" t="n"/>
      <c r="D43" s="97" t="n"/>
      <c r="E43" s="2" t="n"/>
      <c r="F43" s="116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123" t="inlineStr">
        <is>
          <t>Total Payable</t>
        </is>
      </c>
      <c r="B44" s="124" t="n"/>
      <c r="C44" s="125" t="n"/>
      <c r="D44" s="90">
        <f>SUM(D39:D43)</f>
        <v/>
      </c>
      <c r="E44" s="2" t="n"/>
      <c r="F44" s="123" t="inlineStr">
        <is>
          <t>Total Payable</t>
        </is>
      </c>
      <c r="G44" s="124" t="n"/>
      <c r="H44" s="125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7.25" customHeight="1" thickBot="1" thickTop="1">
      <c r="A45" s="31" t="n"/>
      <c r="B45" s="2" t="n"/>
      <c r="C45" s="2" t="n"/>
      <c r="D45" s="2" t="n"/>
      <c r="E45" s="2" t="n"/>
      <c r="F45" s="31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116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46054</v>
      </c>
      <c r="E46" s="2" t="n"/>
      <c r="F46" s="116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46054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116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116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31" t="n">
        <v>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26" t="n">
        <v>18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116" t="n"/>
      <c r="B49" s="97" t="n"/>
      <c r="C49" s="97" t="n"/>
      <c r="D49" s="97" t="n"/>
      <c r="E49" s="2" t="n"/>
      <c r="F49" s="31" t="n">
        <v>5</v>
      </c>
      <c r="G49" s="97" t="n">
        <v>500000</v>
      </c>
      <c r="H49" s="97">
        <f>VLOOKUP(F49&amp;"|"&amp;G49,$O$3:$P$16,2,FALSE)</f>
        <v/>
      </c>
      <c r="I49" s="97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116" t="n"/>
      <c r="B50" s="97" t="n"/>
      <c r="C50" s="97" t="n"/>
      <c r="D50" s="97" t="n"/>
      <c r="E50" s="2" t="n"/>
      <c r="F50" s="116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116" t="n"/>
      <c r="B51" s="97" t="n"/>
      <c r="C51" s="97" t="n"/>
      <c r="D51" s="97" t="n"/>
      <c r="E51" s="2" t="n"/>
      <c r="F51" s="116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116" t="n"/>
      <c r="B52" s="97" t="n"/>
      <c r="C52" s="97" t="n"/>
      <c r="D52" s="97" t="n"/>
      <c r="E52" s="2" t="n"/>
      <c r="F52" s="116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123" t="inlineStr">
        <is>
          <t>Total Payable</t>
        </is>
      </c>
      <c r="B53" s="124" t="n"/>
      <c r="C53" s="125" t="n"/>
      <c r="D53" s="90">
        <f>SUM(D48:D52)</f>
        <v/>
      </c>
      <c r="E53" s="2" t="n"/>
      <c r="F53" s="123" t="inlineStr">
        <is>
          <t>Total Payable</t>
        </is>
      </c>
      <c r="G53" s="124" t="n"/>
      <c r="H53" s="125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7.25" customHeight="1" thickBot="1" thickTop="1">
      <c r="A54" s="31" t="n"/>
      <c r="B54" s="2" t="n"/>
      <c r="C54" s="2" t="n"/>
      <c r="D54" s="2" t="n"/>
      <c r="E54" s="2" t="n"/>
      <c r="F54" s="31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116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46054</v>
      </c>
      <c r="E55" s="2" t="n"/>
      <c r="F55" s="116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46054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116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116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31" t="n">
        <v>1.1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26" t="n">
        <v>5.1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31" t="n">
        <v>5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26" t="n">
        <v>10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116" t="n"/>
      <c r="B59" s="97" t="n"/>
      <c r="C59" s="97" t="n"/>
      <c r="D59" s="97" t="n"/>
      <c r="E59" s="2" t="n"/>
      <c r="F59" s="116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116" t="n"/>
      <c r="B60" s="97" t="n"/>
      <c r="C60" s="97" t="n"/>
      <c r="D60" s="97" t="n"/>
      <c r="E60" s="2" t="n"/>
      <c r="F60" s="116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116" t="n"/>
      <c r="B61" s="97" t="n"/>
      <c r="C61" s="97" t="n"/>
      <c r="D61" s="97" t="n"/>
      <c r="E61" s="2" t="n"/>
      <c r="F61" s="116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123" t="inlineStr">
        <is>
          <t>Total Payable</t>
        </is>
      </c>
      <c r="B62" s="124" t="n"/>
      <c r="C62" s="125" t="n"/>
      <c r="D62" s="90">
        <f>SUM(D57:D61)</f>
        <v/>
      </c>
      <c r="E62" s="2" t="n"/>
      <c r="F62" s="123" t="inlineStr">
        <is>
          <t>Total Payable</t>
        </is>
      </c>
      <c r="G62" s="124" t="n"/>
      <c r="H62" s="125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05">
        <f>D545</f>
        <v/>
      </c>
      <c r="U62" s="105">
        <f>B538</f>
        <v/>
      </c>
      <c r="V62" s="1">
        <f>C538</f>
        <v/>
      </c>
      <c r="W62" s="105" t="n"/>
      <c r="X62" s="105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127" t="n"/>
      <c r="B63" s="91" t="n"/>
      <c r="C63" s="91" t="n"/>
      <c r="D63" s="91" t="n"/>
      <c r="E63" s="2" t="n"/>
      <c r="F63" s="127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05">
        <f>D554</f>
        <v/>
      </c>
      <c r="U63" s="1">
        <f>B547</f>
        <v/>
      </c>
      <c r="V63" s="1">
        <f>C547</f>
        <v/>
      </c>
      <c r="W63" s="1" t="n"/>
      <c r="X63" s="105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11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46054</v>
      </c>
      <c r="E64" s="2" t="n"/>
      <c r="F64" s="116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46054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05">
        <f>D563</f>
        <v/>
      </c>
      <c r="U64" s="1">
        <f>B556</f>
        <v/>
      </c>
      <c r="V64" s="1">
        <f>C556</f>
        <v/>
      </c>
      <c r="W64" s="1" t="n"/>
      <c r="X64" s="105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116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116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05">
        <f>D572</f>
        <v/>
      </c>
      <c r="U65" s="1">
        <f>B565</f>
        <v/>
      </c>
      <c r="V65" s="1">
        <f>C565</f>
        <v/>
      </c>
      <c r="W65" s="1" t="n"/>
      <c r="X65" s="105" t="n">
        <v>20700</v>
      </c>
      <c r="Y65" s="1" t="inlineStr">
        <is>
          <t>PRAHLAD</t>
        </is>
      </c>
      <c r="Z65" s="1" t="inlineStr">
        <is>
          <t>GUTTA</t>
        </is>
      </c>
    </row>
    <row r="66" ht="20.25" customHeight="1" thickBot="1" thickTop="1">
      <c r="A66" s="31" t="n">
        <v>10</v>
      </c>
      <c r="B66" s="97" t="n">
        <v>2000000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26" t="n">
        <v>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05" t="n">
        <v>20700</v>
      </c>
      <c r="U66" s="1" t="inlineStr">
        <is>
          <t>DINESHJI BOOK</t>
        </is>
      </c>
      <c r="V66" s="1" t="inlineStr">
        <is>
          <t>GUTTA</t>
        </is>
      </c>
      <c r="W66" s="1" t="n"/>
      <c r="X66" s="105" t="n"/>
      <c r="Y66" s="1" t="n"/>
      <c r="Z66" s="1" t="n"/>
    </row>
    <row r="67" ht="20.25" customHeight="1" thickBot="1" thickTop="1">
      <c r="A67" s="31" t="n"/>
      <c r="B67" s="97" t="n"/>
      <c r="C67" s="97" t="n"/>
      <c r="D67" s="97" t="n"/>
      <c r="E67" s="2" t="n"/>
      <c r="F67" s="26" t="n">
        <v>10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05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116" t="n"/>
      <c r="B68" s="97" t="n"/>
      <c r="C68" s="97" t="n"/>
      <c r="D68" s="97" t="n"/>
      <c r="E68" s="2" t="n"/>
      <c r="F68" s="116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116" t="n"/>
      <c r="B69" s="97" t="n"/>
      <c r="C69" s="97" t="n"/>
      <c r="D69" s="97" t="n"/>
      <c r="E69" s="2" t="n"/>
      <c r="F69" s="116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05">
        <f>SUM(T3:T67)</f>
        <v/>
      </c>
      <c r="U69" s="1" t="n"/>
      <c r="V69" s="1" t="n"/>
      <c r="W69" s="1" t="n"/>
      <c r="X69" s="105">
        <f>SUM(X3:X66)</f>
        <v/>
      </c>
      <c r="Y69" s="1" t="n"/>
      <c r="Z69" s="1" t="n"/>
    </row>
    <row r="70" ht="20.25" customHeight="1" thickBot="1" thickTop="1">
      <c r="A70" s="116" t="n"/>
      <c r="B70" s="97" t="n"/>
      <c r="C70" s="97" t="n"/>
      <c r="D70" s="97" t="n"/>
      <c r="E70" s="2" t="n"/>
      <c r="F70" s="51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123" t="inlineStr">
        <is>
          <t>Total Payable</t>
        </is>
      </c>
      <c r="B71" s="82" t="n"/>
      <c r="C71" s="83" t="n"/>
      <c r="D71" s="97">
        <f>SUM(D66:D70)</f>
        <v/>
      </c>
      <c r="E71" s="2" t="n"/>
      <c r="F71" s="123" t="inlineStr">
        <is>
          <t>Total Payable</t>
        </is>
      </c>
      <c r="G71" s="124" t="n"/>
      <c r="H71" s="125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130">
        <f>SUM(T69,X69)</f>
        <v/>
      </c>
      <c r="X71" s="105">
        <f>SUM(T69,X69)</f>
        <v/>
      </c>
      <c r="Y71" s="1" t="n"/>
      <c r="Z71" s="1" t="n"/>
    </row>
    <row r="72" ht="20.25" customHeight="1" thickBot="1" thickTop="1">
      <c r="A72" s="127" t="n"/>
      <c r="B72" s="91" t="n"/>
      <c r="C72" s="91" t="n"/>
      <c r="D72" s="91" t="n"/>
      <c r="E72" s="2" t="n"/>
      <c r="F72" s="127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116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46054</v>
      </c>
      <c r="E73" s="2" t="n"/>
      <c r="F73" s="116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46054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116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116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31" t="n">
        <v>1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26" t="n">
        <v>5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31" t="n">
        <v>1.1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26" t="n">
        <v>5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31" t="n">
        <v>5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26" t="n">
        <v>5.1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31" t="n">
        <v>5.1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26" t="n">
        <v>5.1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31" t="n">
        <v>5.1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26" t="n">
        <v>10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31" t="n">
        <v>15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26" t="n">
        <v>10</v>
      </c>
      <c r="G80" s="97" t="n">
        <v>1000000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31" t="n">
        <v>5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26" t="n">
        <v>1.1</v>
      </c>
      <c r="G81" s="97" t="n">
        <v>1000000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31" t="n">
        <v>10</v>
      </c>
      <c r="B82" s="97" t="n">
        <v>2000000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26" t="n">
        <v>1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31" t="n"/>
      <c r="B83" s="97" t="n"/>
      <c r="C83" s="97" t="n"/>
      <c r="D83" s="97" t="n"/>
      <c r="E83" s="2" t="n"/>
      <c r="F83" s="26" t="n"/>
      <c r="G83" s="97" t="n"/>
      <c r="H83" s="97" t="n"/>
      <c r="I83" s="97" t="n"/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116" t="n"/>
      <c r="B84" s="97" t="n"/>
      <c r="C84" s="97" t="n"/>
      <c r="D84" s="97" t="n"/>
      <c r="E84" s="2" t="n"/>
      <c r="F84" s="26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123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123" t="inlineStr">
        <is>
          <t>Total Payable</t>
        </is>
      </c>
      <c r="G85" s="124" t="n"/>
      <c r="H85" s="125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thickBot="1" thickTop="1">
      <c r="A86" s="31" t="n"/>
      <c r="B86" s="2" t="n"/>
      <c r="C86" s="2" t="n"/>
      <c r="D86" s="2" t="n"/>
      <c r="E86" s="2" t="n"/>
      <c r="F86" s="31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31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46054</v>
      </c>
      <c r="E87" s="2" t="n"/>
      <c r="F87" s="116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46054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31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116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31" t="n">
        <v>1.1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26" t="n">
        <v>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31" t="n">
        <v>5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116" t="n">
        <v>1</v>
      </c>
      <c r="G90" s="97" t="n">
        <v>250000</v>
      </c>
      <c r="H90" s="97">
        <f>VLOOKUP(F90&amp;"|"&amp;G90,$O$3:$P$16,2,FALSE)</f>
        <v/>
      </c>
      <c r="I90" s="97">
        <f>VLOOKUP(F90&amp;"|"&amp;G90,$Q$3:$R$16,2,FALSE)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31" t="n">
        <v>10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116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31" t="n">
        <v>10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116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116" t="n"/>
      <c r="B93" s="97" t="n"/>
      <c r="C93" s="97" t="n"/>
      <c r="D93" s="97" t="n"/>
      <c r="E93" s="2" t="n"/>
      <c r="F93" s="116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123" t="inlineStr">
        <is>
          <t>Total Payable</t>
        </is>
      </c>
      <c r="B94" s="97" t="n"/>
      <c r="C94" s="97" t="n"/>
      <c r="D94" s="97">
        <f>SUM(D89:D93)</f>
        <v/>
      </c>
      <c r="E94" s="2" t="n"/>
      <c r="F94" s="123" t="inlineStr">
        <is>
          <t>Total Payable</t>
        </is>
      </c>
      <c r="G94" s="124" t="n"/>
      <c r="H94" s="125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thickBot="1" thickTop="1">
      <c r="A95" s="31" t="n"/>
      <c r="B95" s="2" t="n"/>
      <c r="C95" s="2" t="n"/>
      <c r="D95" s="2" t="n"/>
      <c r="E95" s="2" t="n"/>
      <c r="F95" s="31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116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46054</v>
      </c>
      <c r="E96" s="2" t="n"/>
      <c r="F96" s="116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46054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116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116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31" t="n">
        <v>1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26" t="n">
        <v>1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31" t="n">
        <v>10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26" t="n">
        <v>1.1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116" t="n">
        <v>1</v>
      </c>
      <c r="B100" s="97" t="n">
        <v>500000</v>
      </c>
      <c r="C100" s="97">
        <f>VLOOKUP(A100&amp;"|"&amp;B100,$O$3:$P$16,2,FALSE)</f>
        <v/>
      </c>
      <c r="D100" s="97">
        <f>VLOOKUP(A100&amp;"|"&amp;B100,$Q$3:$R$16,2,FALSE)</f>
        <v/>
      </c>
      <c r="E100" s="2" t="n"/>
      <c r="F100" s="26" t="n">
        <v>5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116" t="n"/>
      <c r="B101" s="97" t="n"/>
      <c r="C101" s="97" t="n"/>
      <c r="D101" s="97" t="n"/>
      <c r="E101" s="2" t="n"/>
      <c r="F101" s="116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116" t="n"/>
      <c r="B102" s="97" t="n"/>
      <c r="C102" s="97" t="n"/>
      <c r="D102" s="97" t="n"/>
      <c r="E102" s="2" t="n"/>
      <c r="F102" s="116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123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123" t="inlineStr">
        <is>
          <t>Total Payable</t>
        </is>
      </c>
      <c r="G103" s="124" t="n"/>
      <c r="H103" s="125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thickBot="1" thickTop="1">
      <c r="A104" s="31" t="n"/>
      <c r="B104" s="2" t="n"/>
      <c r="C104" s="2" t="n"/>
      <c r="D104" s="2" t="n"/>
      <c r="E104" s="2" t="n"/>
      <c r="F104" s="31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116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46054</v>
      </c>
      <c r="E105" s="2" t="n"/>
      <c r="F105" s="116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46054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116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116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31" t="n">
        <v>1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26" t="n">
        <v>1</v>
      </c>
      <c r="G107" s="97" t="n">
        <v>1000000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116" t="n"/>
      <c r="B108" s="97" t="n"/>
      <c r="C108" s="97" t="n"/>
      <c r="D108" s="97" t="n"/>
      <c r="E108" s="2" t="n"/>
      <c r="F108" s="26" t="n">
        <v>10</v>
      </c>
      <c r="G108" s="97" t="n">
        <v>2000000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116" t="n"/>
      <c r="B109" s="97" t="n"/>
      <c r="C109" s="97" t="n"/>
      <c r="D109" s="97" t="n"/>
      <c r="E109" s="2" t="n"/>
      <c r="F109" s="26" t="n"/>
      <c r="G109" s="97" t="n"/>
      <c r="H109" s="97" t="n"/>
      <c r="I109" s="97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116" t="n"/>
      <c r="B110" s="97" t="n"/>
      <c r="C110" s="97" t="n"/>
      <c r="D110" s="97" t="n"/>
      <c r="E110" s="2" t="n"/>
      <c r="F110" s="116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116" t="n"/>
      <c r="B111" s="97" t="n"/>
      <c r="C111" s="97" t="n"/>
      <c r="D111" s="97" t="n"/>
      <c r="E111" s="2" t="n"/>
      <c r="F111" s="116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123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123" t="inlineStr">
        <is>
          <t>Total Payable</t>
        </is>
      </c>
      <c r="G112" s="124" t="n"/>
      <c r="H112" s="125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thickBot="1" thickTop="1">
      <c r="A113" s="31" t="n"/>
      <c r="B113" s="2" t="n"/>
      <c r="C113" s="2" t="n"/>
      <c r="D113" s="2" t="n"/>
      <c r="E113" s="2" t="n"/>
      <c r="F113" s="31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116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46054</v>
      </c>
      <c r="E114" s="2" t="n"/>
      <c r="F114" s="116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46054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116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116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31" t="n">
        <v>1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26" t="n">
        <v>1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31" t="n">
        <v>5.1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26" t="n">
        <v>10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31" t="n">
        <v>15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116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31" t="n">
        <v>15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116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116" t="n"/>
      <c r="B120" s="97" t="n"/>
      <c r="C120" s="97" t="n"/>
      <c r="D120" s="97" t="n"/>
      <c r="E120" s="2" t="n"/>
      <c r="F120" s="116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123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123" t="inlineStr">
        <is>
          <t>Total Payable</t>
        </is>
      </c>
      <c r="G121" s="124" t="n"/>
      <c r="H121" s="125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thickBot="1" thickTop="1">
      <c r="A122" s="31" t="n"/>
      <c r="B122" s="2" t="n"/>
      <c r="C122" s="2" t="n"/>
      <c r="D122" s="2" t="n"/>
      <c r="E122" s="2" t="n"/>
      <c r="F122" s="31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116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46054</v>
      </c>
      <c r="E123" s="2" t="n"/>
      <c r="F123" s="116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46054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116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116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31" t="n">
        <v>10</v>
      </c>
      <c r="B125" s="97" t="n">
        <v>2000000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26" t="n">
        <v>1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31" t="n">
        <v>1</v>
      </c>
      <c r="B126" s="97" t="n">
        <v>1000000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26" t="n">
        <v>15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116" t="n">
        <v>1.1</v>
      </c>
      <c r="B127" s="97" t="n">
        <v>1000000</v>
      </c>
      <c r="C127" s="97">
        <f>VLOOKUP(A127&amp;"|"&amp;B127,$O$3:$P$16,2,FALSE)</f>
        <v/>
      </c>
      <c r="D127" s="97">
        <f>VLOOKUP(A127&amp;"|"&amp;B127,$Q$3:$R$16,2,FALSE)</f>
        <v/>
      </c>
      <c r="E127" s="2" t="n"/>
      <c r="F127" s="26" t="n">
        <v>15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116" t="n"/>
      <c r="B128" s="97" t="n"/>
      <c r="C128" s="97" t="n"/>
      <c r="D128" s="97" t="n"/>
      <c r="E128" s="2" t="n"/>
      <c r="F128" s="26" t="n">
        <v>5.1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116" t="n"/>
      <c r="B129" s="97" t="n"/>
      <c r="C129" s="97" t="n"/>
      <c r="D129" s="97" t="n"/>
      <c r="E129" s="2" t="n"/>
      <c r="F129" s="26" t="n">
        <v>5</v>
      </c>
      <c r="G129" s="97" t="n">
        <v>500000</v>
      </c>
      <c r="H129" s="97">
        <f>VLOOKUP(F129&amp;"|"&amp;G129,$O$3:$P$16,2,FALSE)</f>
        <v/>
      </c>
      <c r="I129" s="97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123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123" t="inlineStr">
        <is>
          <t>Total Payable</t>
        </is>
      </c>
      <c r="G130" s="124" t="n"/>
      <c r="H130" s="125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thickBot="1" thickTop="1">
      <c r="A131" s="31" t="n"/>
      <c r="B131" s="2" t="n"/>
      <c r="C131" s="2" t="n"/>
      <c r="D131" s="2" t="n"/>
      <c r="E131" s="2" t="n"/>
      <c r="F131" s="31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116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46054</v>
      </c>
      <c r="E132" s="2" t="n"/>
      <c r="F132" s="116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46054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116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116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31" t="n">
        <v>1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26" t="n">
        <v>1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31" t="n">
        <v>5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116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116" t="n"/>
      <c r="B136" s="97" t="n"/>
      <c r="C136" s="97" t="n"/>
      <c r="D136" s="97" t="n"/>
      <c r="E136" s="2" t="n"/>
      <c r="F136" s="116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116" t="n"/>
      <c r="B137" s="97" t="n"/>
      <c r="C137" s="97" t="n"/>
      <c r="D137" s="97" t="n"/>
      <c r="E137" s="2" t="n"/>
      <c r="F137" s="116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116" t="n"/>
      <c r="B138" s="97" t="n"/>
      <c r="C138" s="97" t="n"/>
      <c r="D138" s="97" t="n"/>
      <c r="E138" s="2" t="n"/>
      <c r="F138" s="116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123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123" t="inlineStr">
        <is>
          <t>Total Payable</t>
        </is>
      </c>
      <c r="G139" s="124" t="n"/>
      <c r="H139" s="125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thickBot="1" thickTop="1">
      <c r="A140" s="31" t="n"/>
      <c r="B140" s="2" t="n"/>
      <c r="C140" s="2" t="n"/>
      <c r="D140" s="2" t="n"/>
      <c r="E140" s="2" t="n"/>
      <c r="F140" s="31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116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46054</v>
      </c>
      <c r="E141" s="2" t="n"/>
      <c r="F141" s="11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46054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116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116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31" t="n">
        <v>1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26" t="n">
        <v>5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31" t="n">
        <v>15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26" t="n">
        <v>5.1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31" t="n">
        <v>18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116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31" t="n">
        <v>5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116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116" t="n"/>
      <c r="B147" s="97" t="n"/>
      <c r="C147" s="97" t="n"/>
      <c r="D147" s="97" t="n"/>
      <c r="E147" s="2" t="n"/>
      <c r="F147" s="116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123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123" t="inlineStr">
        <is>
          <t>Total Payable</t>
        </is>
      </c>
      <c r="G148" s="124" t="n"/>
      <c r="H148" s="125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31" t="n"/>
      <c r="B149" s="2" t="n"/>
      <c r="C149" s="2" t="n"/>
      <c r="D149" s="2" t="n"/>
      <c r="E149" s="2" t="n"/>
      <c r="F149" s="127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116" t="inlineStr">
        <is>
          <t>Name</t>
        </is>
      </c>
      <c r="B150" s="97" t="inlineStr">
        <is>
          <t>UDARAMJI</t>
        </is>
      </c>
      <c r="C150" s="97" t="inlineStr">
        <is>
          <t>CHINTAL</t>
        </is>
      </c>
      <c r="D150" s="9" t="n">
        <v>46054</v>
      </c>
      <c r="E150" s="2" t="n"/>
      <c r="F150" s="116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46054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116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116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31" t="n">
        <v>5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26" t="n">
        <v>5</v>
      </c>
      <c r="G152" s="97" t="n">
        <v>1000000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116" t="n"/>
      <c r="B153" s="97" t="n"/>
      <c r="C153" s="97" t="n"/>
      <c r="D153" s="97" t="n"/>
      <c r="E153" s="2" t="n"/>
      <c r="F153" s="26" t="n">
        <v>18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116" t="n"/>
      <c r="B154" s="97" t="n"/>
      <c r="C154" s="97" t="n"/>
      <c r="D154" s="97" t="n"/>
      <c r="E154" s="2" t="n"/>
      <c r="F154" s="26" t="n"/>
      <c r="G154" s="97" t="n"/>
      <c r="H154" s="97" t="n"/>
      <c r="I154" s="97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116" t="n"/>
      <c r="B155" s="97" t="n"/>
      <c r="C155" s="97" t="n"/>
      <c r="D155" s="97" t="n"/>
      <c r="E155" s="2" t="n"/>
      <c r="F155" s="116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116" t="n"/>
      <c r="B156" s="97" t="n"/>
      <c r="C156" s="97" t="n"/>
      <c r="D156" s="97" t="n"/>
      <c r="E156" s="2" t="n"/>
      <c r="F156" s="116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123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123" t="inlineStr">
        <is>
          <t>Total Payable</t>
        </is>
      </c>
      <c r="G157" s="124" t="n"/>
      <c r="H157" s="125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thickBot="1" thickTop="1">
      <c r="A158" s="31" t="n"/>
      <c r="B158" s="2" t="n"/>
      <c r="C158" s="2" t="n"/>
      <c r="D158" s="2" t="n"/>
      <c r="E158" s="2" t="n"/>
      <c r="F158" s="31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116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46054</v>
      </c>
      <c r="E159" s="2" t="n"/>
      <c r="F159" s="116" t="inlineStr">
        <is>
          <t>Name</t>
        </is>
      </c>
      <c r="G159" s="97" t="inlineStr">
        <is>
          <t>BHAWARLALJI</t>
        </is>
      </c>
      <c r="H159" s="97" t="inlineStr">
        <is>
          <t>RAMARAM</t>
        </is>
      </c>
      <c r="I159" s="9" t="n">
        <v>46054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116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116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31" t="n">
        <v>1.1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26" t="n">
        <v>1.1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116" t="n"/>
      <c r="B162" s="97" t="n"/>
      <c r="C162" s="97" t="n"/>
      <c r="D162" s="97" t="n"/>
      <c r="E162" s="2" t="n"/>
      <c r="F162" s="116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116" t="n"/>
      <c r="B163" s="97" t="n"/>
      <c r="C163" s="97" t="n"/>
      <c r="D163" s="97" t="n"/>
      <c r="E163" s="2" t="n"/>
      <c r="F163" s="116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116" t="n"/>
      <c r="B164" s="97" t="n"/>
      <c r="C164" s="97" t="n"/>
      <c r="D164" s="97" t="n"/>
      <c r="E164" s="2" t="n"/>
      <c r="F164" s="116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116" t="n"/>
      <c r="B165" s="97" t="n"/>
      <c r="C165" s="97" t="n"/>
      <c r="D165" s="97" t="n"/>
      <c r="E165" s="2" t="n"/>
      <c r="F165" s="116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123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123" t="inlineStr">
        <is>
          <t>Total Payable</t>
        </is>
      </c>
      <c r="G166" s="124" t="n"/>
      <c r="H166" s="125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thickBot="1" thickTop="1">
      <c r="A167" s="31" t="n"/>
      <c r="B167" s="2" t="n"/>
      <c r="C167" s="2" t="n"/>
      <c r="D167" s="2" t="n"/>
      <c r="E167" s="2" t="n"/>
      <c r="F167" s="31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116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46054</v>
      </c>
      <c r="E168" s="2" t="n"/>
      <c r="F168" s="116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46054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116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116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31" t="n">
        <v>1.1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26" t="n">
        <v>15</v>
      </c>
      <c r="G170" s="97" t="n">
        <v>500000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31" t="n">
        <v>10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26" t="n"/>
      <c r="G171" s="97" t="n"/>
      <c r="H171" s="97" t="n"/>
      <c r="I171" s="97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31" t="n">
        <v>10</v>
      </c>
      <c r="B172" s="97" t="n">
        <v>1000000</v>
      </c>
      <c r="C172" s="97">
        <f>VLOOKUP(A172&amp;"|"&amp;B172,$O$3:$P$16,2,FALSE)</f>
        <v/>
      </c>
      <c r="D172" s="97">
        <f>VLOOKUP(A172&amp;"|"&amp;B172,$Q$3:$R$16,2,FALSE)</f>
        <v/>
      </c>
      <c r="E172" s="2" t="n"/>
      <c r="F172" s="116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116" t="n"/>
      <c r="B173" s="97" t="n"/>
      <c r="C173" s="97" t="n"/>
      <c r="D173" s="97" t="n"/>
      <c r="E173" s="2" t="n"/>
      <c r="F173" s="116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116" t="n"/>
      <c r="B174" s="97" t="n"/>
      <c r="C174" s="97" t="n"/>
      <c r="D174" s="97" t="n"/>
      <c r="E174" s="2" t="n"/>
      <c r="F174" s="116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123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123" t="inlineStr">
        <is>
          <t>Total Payable</t>
        </is>
      </c>
      <c r="G175" s="124" t="n"/>
      <c r="H175" s="125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thickBot="1" thickTop="1">
      <c r="A176" s="31" t="n"/>
      <c r="B176" s="2" t="n"/>
      <c r="C176" s="2" t="n"/>
      <c r="D176" s="2" t="n"/>
      <c r="E176" s="2" t="n"/>
      <c r="F176" s="31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116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46054</v>
      </c>
      <c r="E177" s="2" t="n"/>
      <c r="F177" s="116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46054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116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116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31" t="n">
        <v>10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26" t="n">
        <v>1.1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31" t="n">
        <v>18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116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116" t="n"/>
      <c r="B181" s="97" t="n"/>
      <c r="C181" s="97" t="n"/>
      <c r="D181" s="97" t="n"/>
      <c r="E181" s="2" t="n"/>
      <c r="F181" s="116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116" t="n"/>
      <c r="B182" s="97" t="n"/>
      <c r="C182" s="97" t="n"/>
      <c r="D182" s="97" t="n"/>
      <c r="E182" s="2" t="n"/>
      <c r="F182" s="116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116" t="n"/>
      <c r="B183" s="97" t="n"/>
      <c r="C183" s="97" t="n"/>
      <c r="D183" s="97" t="n"/>
      <c r="E183" s="2" t="n"/>
      <c r="F183" s="116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123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123" t="inlineStr">
        <is>
          <t>Total Payable</t>
        </is>
      </c>
      <c r="G184" s="124" t="n"/>
      <c r="H184" s="125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thickBot="1" thickTop="1">
      <c r="A185" s="31" t="inlineStr">
        <is>
          <t> </t>
        </is>
      </c>
      <c r="B185" s="2" t="n"/>
      <c r="C185" s="2" t="n"/>
      <c r="D185" s="2" t="n"/>
      <c r="E185" s="2" t="n"/>
      <c r="F185" s="31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1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46054</v>
      </c>
      <c r="E186" s="2" t="n"/>
      <c r="F186" s="116" t="inlineStr">
        <is>
          <t>Name</t>
        </is>
      </c>
      <c r="G186" s="97" t="inlineStr">
        <is>
          <t>MOHANJI 1</t>
        </is>
      </c>
      <c r="H186" s="97" t="inlineStr">
        <is>
          <t>SNTR</t>
        </is>
      </c>
      <c r="I186" s="9" t="n">
        <v>46054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116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116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31" t="n">
        <v>5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26" t="n">
        <v>1</v>
      </c>
      <c r="G188" s="97" t="n">
        <v>1000000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31" t="n">
        <v>1.1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116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31" t="n"/>
      <c r="B190" s="97" t="n"/>
      <c r="C190" s="97" t="n"/>
      <c r="D190" s="97" t="n"/>
      <c r="E190" s="2" t="n"/>
      <c r="F190" s="116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116" t="n"/>
      <c r="B191" s="97" t="n"/>
      <c r="C191" s="97" t="n"/>
      <c r="D191" s="97" t="n"/>
      <c r="E191" s="2" t="n"/>
      <c r="F191" s="116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116" t="n"/>
      <c r="B192" s="97" t="n"/>
      <c r="C192" s="97" t="n"/>
      <c r="D192" s="97" t="n"/>
      <c r="E192" s="2" t="n"/>
      <c r="F192" s="116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123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123" t="inlineStr">
        <is>
          <t>Total Payable</t>
        </is>
      </c>
      <c r="G193" s="124" t="n"/>
      <c r="H193" s="125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thickBot="1" thickTop="1">
      <c r="A194" s="31" t="n"/>
      <c r="B194" s="2" t="n"/>
      <c r="C194" s="2" t="n"/>
      <c r="D194" s="2" t="n"/>
      <c r="E194" s="2" t="n"/>
      <c r="F194" s="31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116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46054</v>
      </c>
      <c r="E195" s="2" t="n"/>
      <c r="F195" s="116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46054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116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116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31" t="n">
        <v>1.1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26" t="n">
        <v>1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31" t="n">
        <v>10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116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116" t="n"/>
      <c r="B199" s="97" t="n"/>
      <c r="C199" s="97" t="n"/>
      <c r="D199" s="97" t="n"/>
      <c r="E199" s="2" t="n"/>
      <c r="F199" s="116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116" t="n"/>
      <c r="B200" s="97" t="n"/>
      <c r="C200" s="97" t="n"/>
      <c r="D200" s="97" t="n"/>
      <c r="E200" s="2" t="n"/>
      <c r="F200" s="116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116" t="n"/>
      <c r="B201" s="97" t="n"/>
      <c r="C201" s="97" t="n"/>
      <c r="D201" s="97" t="n"/>
      <c r="E201" s="2" t="n"/>
      <c r="F201" s="116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123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123" t="inlineStr">
        <is>
          <t>Total Payable</t>
        </is>
      </c>
      <c r="G202" s="124" t="n"/>
      <c r="H202" s="125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thickBot="1" thickTop="1">
      <c r="A203" s="31" t="n"/>
      <c r="B203" s="2" t="n"/>
      <c r="C203" s="2" t="n"/>
      <c r="D203" s="2" t="n"/>
      <c r="E203" s="2" t="n"/>
      <c r="F203" s="31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1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46054</v>
      </c>
      <c r="F204" s="11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46054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116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116" t="inlineStr">
        <is>
          <t>Month</t>
        </is>
      </c>
      <c r="G205" s="97" t="inlineStr">
        <is>
          <t>PLAN</t>
        </is>
      </c>
      <c r="H205" s="97" t="inlineStr">
        <is>
          <t>Commission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31" t="n">
        <v>1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26" t="n">
        <v>5.1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31" t="n">
        <v>1.1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26" t="n">
        <v>10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116" t="n"/>
      <c r="B208" s="97" t="n"/>
      <c r="C208" s="97" t="n"/>
      <c r="D208" s="97" t="n"/>
      <c r="E208" s="2" t="n"/>
      <c r="F208" s="116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116" t="n"/>
      <c r="B209" s="97" t="n"/>
      <c r="C209" s="97" t="n"/>
      <c r="D209" s="97" t="n"/>
      <c r="E209" s="2" t="n"/>
      <c r="F209" s="116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116" t="n"/>
      <c r="B210" s="97" t="n"/>
      <c r="C210" s="97" t="n"/>
      <c r="D210" s="97" t="n"/>
      <c r="E210" s="2" t="n"/>
      <c r="F210" s="116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123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123" t="inlineStr">
        <is>
          <t>Total Payable</t>
        </is>
      </c>
      <c r="G211" s="124" t="n"/>
      <c r="H211" s="125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thickBot="1" thickTop="1">
      <c r="A212" s="31" t="n"/>
      <c r="B212" s="2" t="n"/>
      <c r="C212" s="2" t="n"/>
      <c r="D212" s="2" t="n"/>
      <c r="E212" s="2" t="n"/>
      <c r="F212" s="31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116" t="inlineStr">
        <is>
          <t>Name</t>
        </is>
      </c>
      <c r="B213" s="97" t="inlineStr">
        <is>
          <t>MANOHARJI</t>
        </is>
      </c>
      <c r="C213" s="97" t="inlineStr">
        <is>
          <t xml:space="preserve">PAP RDY NG </t>
        </is>
      </c>
      <c r="D213" s="9" t="n">
        <v>46054</v>
      </c>
      <c r="E213" s="2" t="n"/>
      <c r="F213" s="116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46054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116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116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31" t="n">
        <v>1</v>
      </c>
      <c r="B215" s="97" t="n">
        <v>1000000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26" t="n">
        <v>5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116" t="n"/>
      <c r="B216" s="97" t="n"/>
      <c r="C216" s="97" t="n"/>
      <c r="D216" s="97" t="n"/>
      <c r="E216" s="2" t="n"/>
      <c r="F216" s="26" t="n">
        <v>18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116" t="n"/>
      <c r="B217" s="97" t="n"/>
      <c r="C217" s="97" t="n"/>
      <c r="D217" s="97" t="n"/>
      <c r="E217" s="2" t="n"/>
      <c r="F217" s="116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116" t="n"/>
      <c r="B218" s="97" t="n"/>
      <c r="C218" s="97" t="n"/>
      <c r="D218" s="97" t="n"/>
      <c r="E218" s="2" t="n"/>
      <c r="F218" s="116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116" t="n"/>
      <c r="B219" s="97" t="n"/>
      <c r="C219" s="97" t="n"/>
      <c r="D219" s="97" t="n"/>
      <c r="E219" s="2" t="n"/>
      <c r="F219" s="116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123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123" t="inlineStr">
        <is>
          <t>Total Payable</t>
        </is>
      </c>
      <c r="G220" s="124" t="n"/>
      <c r="H220" s="125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thickBot="1" thickTop="1">
      <c r="A221" s="31" t="n"/>
      <c r="B221" s="2" t="n"/>
      <c r="C221" s="2" t="n"/>
      <c r="D221" s="2" t="n"/>
      <c r="E221" s="2" t="n"/>
      <c r="F221" s="31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116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46054</v>
      </c>
      <c r="E222" s="2" t="n"/>
      <c r="F222" s="116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46054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116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116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31" t="n">
        <v>15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57" t="n">
        <v>15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116" t="n"/>
      <c r="B225" s="97" t="n"/>
      <c r="C225" s="97" t="n"/>
      <c r="D225" s="97" t="n"/>
      <c r="E225" s="2" t="n"/>
      <c r="F225" s="116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116" t="n"/>
      <c r="B226" s="97" t="n"/>
      <c r="C226" s="97" t="n"/>
      <c r="D226" s="97" t="n"/>
      <c r="E226" s="2" t="n"/>
      <c r="F226" s="116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116" t="n"/>
      <c r="B227" s="97" t="n"/>
      <c r="C227" s="97" t="n"/>
      <c r="D227" s="97" t="n"/>
      <c r="E227" s="2" t="n"/>
      <c r="F227" s="116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116" t="n"/>
      <c r="B228" s="97" t="n"/>
      <c r="C228" s="97" t="n"/>
      <c r="D228" s="97" t="n"/>
      <c r="E228" s="2" t="n"/>
      <c r="F228" s="116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123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123" t="inlineStr">
        <is>
          <t>Total Payable</t>
        </is>
      </c>
      <c r="G229" s="124" t="n"/>
      <c r="H229" s="125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thickBot="1" thickTop="1">
      <c r="A230" s="31" t="n"/>
      <c r="B230" s="2" t="n"/>
      <c r="C230" s="2" t="n"/>
      <c r="D230" s="2" t="n"/>
      <c r="E230" s="2" t="n"/>
      <c r="F230" s="31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116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46054</v>
      </c>
      <c r="E231" s="2" t="n"/>
      <c r="F231" s="116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46054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116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116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31" t="n">
        <v>10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57" t="n">
        <v>10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116" t="n"/>
      <c r="B234" s="97" t="n"/>
      <c r="C234" s="97" t="n"/>
      <c r="D234" s="97" t="n"/>
      <c r="E234" s="2" t="n"/>
      <c r="F234" s="116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116" t="n"/>
      <c r="B235" s="97" t="n"/>
      <c r="C235" s="97" t="n"/>
      <c r="D235" s="97" t="n"/>
      <c r="E235" s="2" t="n"/>
      <c r="F235" s="116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116" t="n"/>
      <c r="B236" s="97" t="n"/>
      <c r="C236" s="97" t="n"/>
      <c r="D236" s="97" t="n"/>
      <c r="E236" s="2" t="n"/>
      <c r="F236" s="116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116" t="n"/>
      <c r="B237" s="97" t="n"/>
      <c r="C237" s="97" t="n"/>
      <c r="D237" s="97" t="n"/>
      <c r="E237" s="2" t="n"/>
      <c r="F237" s="116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123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123" t="inlineStr">
        <is>
          <t>Total Payable</t>
        </is>
      </c>
      <c r="G238" s="124" t="n"/>
      <c r="H238" s="125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thickBot="1" thickTop="1">
      <c r="A239" s="31" t="n"/>
      <c r="B239" s="2" t="n"/>
      <c r="C239" s="2" t="n"/>
      <c r="D239" s="2" t="n"/>
      <c r="E239" s="2" t="n"/>
      <c r="F239" s="31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116" t="inlineStr">
        <is>
          <t>Name</t>
        </is>
      </c>
      <c r="B240" s="97" t="inlineStr">
        <is>
          <t>RAMESHJI</t>
        </is>
      </c>
      <c r="C240" s="97" t="inlineStr">
        <is>
          <t>KONDAPUR</t>
        </is>
      </c>
      <c r="D240" s="9" t="n">
        <v>46054</v>
      </c>
      <c r="E240" s="2" t="n"/>
      <c r="F240" s="116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46054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116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116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31" t="n">
        <v>5</v>
      </c>
      <c r="B242" s="97" t="n">
        <v>500000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57" t="n">
        <v>5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31" t="n">
        <v>5</v>
      </c>
      <c r="B243" s="97" t="n">
        <v>500000</v>
      </c>
      <c r="C243" s="97">
        <f>VLOOKUP(A243&amp;"|"&amp;B243,$O$3:$P$19,2,FALSE)</f>
        <v/>
      </c>
      <c r="D243" s="97">
        <f>VLOOKUP(A243&amp;"|"&amp;B243,$Q$3:$R$19,2,FALSE)</f>
        <v/>
      </c>
      <c r="E243" s="2" t="n"/>
      <c r="F243" s="57" t="n">
        <v>10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116" t="n"/>
      <c r="B244" s="97" t="n"/>
      <c r="C244" s="97" t="n"/>
      <c r="D244" s="97" t="n"/>
      <c r="E244" s="2" t="n"/>
      <c r="F244" s="57" t="n">
        <v>18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116" t="n"/>
      <c r="B245" s="97" t="n"/>
      <c r="C245" s="97" t="n"/>
      <c r="D245" s="97" t="n"/>
      <c r="E245" s="2" t="n"/>
      <c r="F245" s="57" t="n">
        <v>18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116" t="n"/>
      <c r="B246" s="97" t="n"/>
      <c r="C246" s="97" t="n"/>
      <c r="D246" s="97" t="n"/>
      <c r="E246" s="2" t="n"/>
      <c r="F246" s="57" t="n">
        <v>5.1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123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123" t="inlineStr">
        <is>
          <t>Total Payable</t>
        </is>
      </c>
      <c r="G247" s="124" t="n"/>
      <c r="H247" s="125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thickBot="1" thickTop="1">
      <c r="A248" s="31" t="n"/>
      <c r="B248" s="2" t="n"/>
      <c r="C248" s="2" t="n"/>
      <c r="D248" s="2" t="n"/>
      <c r="E248" s="2" t="n"/>
      <c r="F248" s="31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116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46054</v>
      </c>
      <c r="E249" s="2" t="n"/>
      <c r="F249" s="116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46054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116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116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31" t="n">
        <v>5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57" t="n">
        <v>15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31" t="n">
        <v>5.1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116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116" t="n"/>
      <c r="B253" s="97" t="n"/>
      <c r="C253" s="97" t="n"/>
      <c r="D253" s="97" t="n"/>
      <c r="E253" s="2" t="n"/>
      <c r="F253" s="116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116" t="n"/>
      <c r="B254" s="97" t="n"/>
      <c r="C254" s="97" t="n"/>
      <c r="D254" s="97" t="n"/>
      <c r="E254" s="2" t="n"/>
      <c r="F254" s="116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116" t="n"/>
      <c r="B255" s="97" t="n"/>
      <c r="C255" s="97" t="n"/>
      <c r="D255" s="97" t="n"/>
      <c r="E255" s="2" t="n"/>
      <c r="F255" s="116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123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123" t="inlineStr">
        <is>
          <t>Total Payable</t>
        </is>
      </c>
      <c r="G256" s="124" t="n"/>
      <c r="H256" s="125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thickBot="1" thickTop="1">
      <c r="A257" s="31" t="n"/>
      <c r="B257" s="2" t="n"/>
      <c r="C257" s="2" t="n"/>
      <c r="D257" s="2" t="n"/>
      <c r="E257" s="2" t="n"/>
      <c r="F257" s="31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116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46054</v>
      </c>
      <c r="E258" s="2" t="n"/>
      <c r="F258" s="116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46054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116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116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31" t="n">
        <v>1</v>
      </c>
      <c r="B260" s="97" t="n">
        <v>1000000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57" t="n">
        <v>5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31" t="n">
        <v>10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57" t="n">
        <v>5</v>
      </c>
      <c r="G261" s="97" t="n">
        <v>500000</v>
      </c>
      <c r="H261" s="97">
        <f>VLOOKUP(F261&amp;"|"&amp;G261,$O$3:$P$16,2,FALSE)</f>
        <v/>
      </c>
      <c r="I261" s="97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116" t="n"/>
      <c r="B262" s="97" t="n"/>
      <c r="C262" s="97" t="n"/>
      <c r="D262" s="97" t="n"/>
      <c r="E262" s="2" t="n"/>
      <c r="F262" s="116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116" t="n"/>
      <c r="B263" s="97" t="n"/>
      <c r="C263" s="97" t="n"/>
      <c r="D263" s="97" t="n"/>
      <c r="E263" s="2" t="n"/>
      <c r="F263" s="116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116" t="n"/>
      <c r="B264" s="97" t="n"/>
      <c r="C264" s="97" t="n"/>
      <c r="D264" s="97" t="n"/>
      <c r="E264" s="2" t="n"/>
      <c r="F264" s="116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123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123" t="inlineStr">
        <is>
          <t>Total Payable</t>
        </is>
      </c>
      <c r="G265" s="124" t="n"/>
      <c r="H265" s="125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thickBot="1" thickTop="1">
      <c r="A266" s="31" t="n"/>
      <c r="B266" s="2" t="n"/>
      <c r="C266" s="2" t="n"/>
      <c r="D266" s="2" t="n"/>
      <c r="E266" s="2" t="n"/>
      <c r="F266" s="31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116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46054</v>
      </c>
      <c r="E267" s="2" t="n"/>
      <c r="F267" s="116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46054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116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116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31" t="n">
        <v>10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57" t="n">
        <v>10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116" t="n"/>
      <c r="B270" s="97" t="n"/>
      <c r="C270" s="97" t="n"/>
      <c r="D270" s="97" t="n"/>
      <c r="E270" s="2" t="n"/>
      <c r="F270" s="116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116" t="n"/>
      <c r="B271" s="97" t="n"/>
      <c r="C271" s="97" t="n"/>
      <c r="D271" s="97" t="n"/>
      <c r="E271" s="2" t="n"/>
      <c r="F271" s="116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116" t="n"/>
      <c r="B272" s="97" t="n"/>
      <c r="C272" s="97" t="n"/>
      <c r="D272" s="97" t="n"/>
      <c r="E272" s="2" t="n"/>
      <c r="F272" s="116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116" t="n"/>
      <c r="B273" s="97" t="n"/>
      <c r="C273" s="97" t="n"/>
      <c r="D273" s="97" t="n"/>
      <c r="E273" s="2" t="n"/>
      <c r="F273" s="116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123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123" t="inlineStr">
        <is>
          <t>Total Payable</t>
        </is>
      </c>
      <c r="G274" s="124" t="n"/>
      <c r="H274" s="125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thickBot="1" thickTop="1">
      <c r="A275" s="31" t="n"/>
      <c r="B275" s="2" t="n"/>
      <c r="C275" s="2" t="n"/>
      <c r="D275" s="2" t="n"/>
      <c r="E275" s="2" t="n"/>
      <c r="F275" s="31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116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46054</v>
      </c>
      <c r="E276" s="2" t="n"/>
      <c r="F276" s="116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46054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116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116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31" t="n">
        <v>10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57" t="n">
        <v>10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31" t="n">
        <v>5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57" t="n">
        <v>5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116" t="n"/>
      <c r="B280" s="97" t="n"/>
      <c r="C280" s="97" t="n"/>
      <c r="D280" s="97" t="n"/>
      <c r="E280" s="2" t="n"/>
      <c r="F280" s="57" t="n">
        <v>18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116" t="n"/>
      <c r="B281" s="97" t="n"/>
      <c r="C281" s="97" t="n"/>
      <c r="D281" s="97" t="n"/>
      <c r="E281" s="2" t="n"/>
      <c r="F281" s="57" t="n">
        <v>18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116" t="n"/>
      <c r="B282" s="97" t="n"/>
      <c r="C282" s="97" t="n"/>
      <c r="D282" s="97" t="n"/>
      <c r="E282" s="2" t="n"/>
      <c r="F282" s="57" t="n">
        <v>10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116" t="n"/>
      <c r="B283" s="97" t="n"/>
      <c r="C283" s="97" t="n"/>
      <c r="D283" s="97" t="n"/>
      <c r="E283" s="2" t="n"/>
      <c r="F283" s="57" t="n">
        <v>15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123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123" t="inlineStr">
        <is>
          <t>Total Payable</t>
        </is>
      </c>
      <c r="G284" s="124" t="n"/>
      <c r="H284" s="125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127" t="n"/>
      <c r="B285" s="91" t="n"/>
      <c r="C285" s="91" t="n"/>
      <c r="D285" s="91" t="n"/>
      <c r="E285" s="2" t="n"/>
      <c r="F285" s="31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1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46054</v>
      </c>
      <c r="E286" s="2" t="n"/>
      <c r="F286" s="116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46054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116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116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31" t="n">
        <v>10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57" t="n">
        <v>10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31" t="n">
        <v>10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57" t="n">
        <v>15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116" t="n"/>
      <c r="B290" s="97" t="n"/>
      <c r="C290" s="97" t="n"/>
      <c r="D290" s="97" t="n"/>
      <c r="E290" s="2" t="n"/>
      <c r="F290" s="57" t="n">
        <v>18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116" t="n"/>
      <c r="B291" s="97" t="n"/>
      <c r="C291" s="97" t="n"/>
      <c r="D291" s="97" t="n"/>
      <c r="E291" s="2" t="n"/>
      <c r="F291" s="57" t="n">
        <v>18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116" t="n"/>
      <c r="B292" s="97" t="n"/>
      <c r="C292" s="97" t="n"/>
      <c r="D292" s="97" t="n"/>
      <c r="E292" s="2" t="n"/>
      <c r="F292" s="116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123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123" t="inlineStr">
        <is>
          <t>Total Payable</t>
        </is>
      </c>
      <c r="G293" s="124" t="n"/>
      <c r="H293" s="125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thickBot="1" thickTop="1">
      <c r="A294" s="31" t="n"/>
      <c r="B294" s="2" t="n"/>
      <c r="C294" s="2" t="n"/>
      <c r="D294" s="2" t="n"/>
      <c r="E294" s="2" t="n"/>
      <c r="F294" s="31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116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46054</v>
      </c>
      <c r="E295" s="2" t="n"/>
      <c r="F295" s="116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46054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116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116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31" t="n">
        <v>10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57" t="n">
        <v>10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31" t="n">
        <v>18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57" t="n">
        <v>10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31" t="n">
        <v>1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116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116" t="n"/>
      <c r="B300" s="97" t="n"/>
      <c r="C300" s="97" t="n"/>
      <c r="D300" s="97" t="n"/>
      <c r="E300" s="2" t="n"/>
      <c r="F300" s="116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116" t="n"/>
      <c r="B301" s="97" t="n"/>
      <c r="C301" s="97" t="n"/>
      <c r="D301" s="97" t="n"/>
      <c r="E301" s="2" t="n"/>
      <c r="F301" s="116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123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123" t="inlineStr">
        <is>
          <t>Total Payable</t>
        </is>
      </c>
      <c r="G302" s="124" t="n"/>
      <c r="H302" s="125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thickBot="1" thickTop="1">
      <c r="A303" s="31" t="n"/>
      <c r="B303" s="2" t="n"/>
      <c r="C303" s="2" t="inlineStr">
        <is>
          <t>           </t>
        </is>
      </c>
      <c r="D303" s="2" t="n"/>
      <c r="E303" s="2" t="n"/>
      <c r="F303" s="31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116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46054</v>
      </c>
      <c r="E304" s="2" t="n"/>
      <c r="F304" s="116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46054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116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116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31" t="n">
        <v>10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57" t="n">
        <v>10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31" t="n">
        <v>5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116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116" t="n"/>
      <c r="B308" s="97" t="n"/>
      <c r="C308" s="97" t="n"/>
      <c r="D308" s="97" t="n"/>
      <c r="E308" s="2" t="n"/>
      <c r="F308" s="116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116" t="n"/>
      <c r="B309" s="97" t="n"/>
      <c r="C309" s="97" t="n"/>
      <c r="D309" s="97" t="n"/>
      <c r="E309" s="2" t="n"/>
      <c r="F309" s="116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116" t="n"/>
      <c r="B310" s="97" t="n"/>
      <c r="C310" s="97" t="n"/>
      <c r="D310" s="97" t="n"/>
      <c r="E310" s="2" t="n"/>
      <c r="F310" s="116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123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123" t="inlineStr">
        <is>
          <t>Total Payable</t>
        </is>
      </c>
      <c r="G311" s="124" t="n"/>
      <c r="H311" s="125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thickBot="1" thickTop="1">
      <c r="A312" s="31" t="n"/>
      <c r="B312" s="2" t="n"/>
      <c r="C312" s="2" t="n"/>
      <c r="D312" s="2" t="n"/>
      <c r="E312" s="2" t="n"/>
      <c r="F312" s="31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116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46054</v>
      </c>
      <c r="E313" s="2" t="n"/>
      <c r="F313" s="116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46054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116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116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31" t="n">
        <v>10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57" t="n">
        <v>1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31" t="n">
        <v>15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116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116" t="n"/>
      <c r="B317" s="97" t="n"/>
      <c r="C317" s="97" t="n"/>
      <c r="D317" s="97" t="n"/>
      <c r="E317" s="2" t="n"/>
      <c r="F317" s="116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116" t="n"/>
      <c r="B318" s="97" t="n"/>
      <c r="C318" s="97" t="n"/>
      <c r="D318" s="97" t="n"/>
      <c r="E318" s="2" t="n"/>
      <c r="F318" s="116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116" t="n"/>
      <c r="B319" s="97" t="n"/>
      <c r="C319" s="97" t="n"/>
      <c r="D319" s="97" t="n"/>
      <c r="E319" s="2" t="n"/>
      <c r="F319" s="116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123" t="inlineStr">
        <is>
          <t>Total Payable</t>
        </is>
      </c>
      <c r="B320" s="131" t="n"/>
      <c r="C320" s="97" t="n"/>
      <c r="D320" s="97">
        <f>SUM(D315:D319)</f>
        <v/>
      </c>
      <c r="E320" s="2" t="n"/>
      <c r="F320" s="123" t="inlineStr">
        <is>
          <t>Total Payable</t>
        </is>
      </c>
      <c r="G320" s="124" t="n"/>
      <c r="H320" s="125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thickBot="1" thickTop="1">
      <c r="A321" s="31" t="n"/>
      <c r="B321" s="2" t="n"/>
      <c r="C321" s="2" t="n"/>
      <c r="D321" s="2" t="n"/>
      <c r="E321" s="2" t="n"/>
      <c r="F321" s="31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116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46054</v>
      </c>
      <c r="E322" s="2" t="n"/>
      <c r="F322" s="116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46054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116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116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31" t="n">
        <v>5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57" t="n">
        <v>15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116" t="n"/>
      <c r="B325" s="97" t="n"/>
      <c r="C325" s="97" t="n"/>
      <c r="D325" s="97" t="n"/>
      <c r="E325" s="2" t="n"/>
      <c r="F325" s="116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116" t="n"/>
      <c r="B326" s="97" t="n"/>
      <c r="C326" s="97" t="n"/>
      <c r="D326" s="97" t="n"/>
      <c r="E326" s="2" t="n"/>
      <c r="F326" s="116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116" t="n"/>
      <c r="B327" s="97" t="n"/>
      <c r="C327" s="97" t="n"/>
      <c r="D327" s="97" t="n"/>
      <c r="E327" s="91" t="n"/>
      <c r="F327" s="116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116" t="n"/>
      <c r="B328" s="97" t="n"/>
      <c r="C328" s="97" t="n"/>
      <c r="D328" s="97" t="n"/>
      <c r="E328" s="2" t="n"/>
      <c r="F328" s="116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123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123" t="inlineStr">
        <is>
          <t>Total Payable</t>
        </is>
      </c>
      <c r="G329" s="124" t="n"/>
      <c r="H329" s="125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thickBot="1" thickTop="1">
      <c r="A330" s="31" t="n"/>
      <c r="B330" s="2" t="n"/>
      <c r="C330" s="2" t="n"/>
      <c r="D330" s="2" t="n"/>
      <c r="E330" s="2" t="n"/>
      <c r="F330" s="31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116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46054</v>
      </c>
      <c r="E331" s="2" t="n"/>
      <c r="F331" s="116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46054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116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116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31" t="n">
        <v>15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57" t="n">
        <v>15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31" t="n">
        <v>18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116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116" t="n"/>
      <c r="B335" s="97" t="n"/>
      <c r="C335" s="97" t="n"/>
      <c r="D335" s="97" t="n"/>
      <c r="E335" s="2" t="n"/>
      <c r="F335" s="116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116" t="n"/>
      <c r="B336" s="97" t="n"/>
      <c r="C336" s="97" t="n"/>
      <c r="D336" s="97" t="n"/>
      <c r="E336" s="2" t="n"/>
      <c r="F336" s="116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116" t="n"/>
      <c r="B337" s="97" t="n"/>
      <c r="C337" s="97" t="n"/>
      <c r="D337" s="97" t="n"/>
      <c r="E337" s="2" t="n"/>
      <c r="F337" s="116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123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123" t="inlineStr">
        <is>
          <t>Total Payable</t>
        </is>
      </c>
      <c r="G338" s="124" t="n"/>
      <c r="H338" s="125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thickBot="1" thickTop="1">
      <c r="A339" s="31" t="n"/>
      <c r="B339" s="2" t="n"/>
      <c r="C339" s="2" t="n"/>
      <c r="D339" s="2" t="n"/>
      <c r="E339" s="2" t="n"/>
      <c r="F339" s="31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116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46054</v>
      </c>
      <c r="E340" s="2" t="n"/>
      <c r="F340" s="116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46054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116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116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31" t="n">
        <v>18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57" t="n">
        <v>5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116" t="n"/>
      <c r="B343" s="97" t="n"/>
      <c r="C343" s="97" t="n"/>
      <c r="D343" s="97" t="n"/>
      <c r="E343" s="2" t="n"/>
      <c r="F343" s="116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116" t="n"/>
      <c r="B344" s="97" t="n"/>
      <c r="C344" s="97" t="n"/>
      <c r="D344" s="97" t="n"/>
      <c r="E344" s="2" t="n"/>
      <c r="F344" s="116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116" t="n"/>
      <c r="B345" s="97" t="n"/>
      <c r="C345" s="97" t="n"/>
      <c r="D345" s="97" t="n"/>
      <c r="E345" s="2" t="n"/>
      <c r="F345" s="116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116" t="n"/>
      <c r="B346" s="97" t="n"/>
      <c r="C346" s="97" t="n"/>
      <c r="D346" s="97" t="n"/>
      <c r="E346" s="2" t="n"/>
      <c r="F346" s="116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123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123" t="inlineStr">
        <is>
          <t>Total Payable</t>
        </is>
      </c>
      <c r="G347" s="124" t="n"/>
      <c r="H347" s="125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127" t="n"/>
      <c r="B348" s="91" t="n"/>
      <c r="C348" s="91" t="n"/>
      <c r="D348" s="91" t="n"/>
      <c r="E348" s="2" t="n"/>
      <c r="F348" s="31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116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46054</v>
      </c>
      <c r="E349" s="2" t="n"/>
      <c r="F349" s="116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46054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116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116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31" t="n">
        <v>1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57" t="n">
        <v>5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116" t="n"/>
      <c r="B352" s="97" t="n"/>
      <c r="C352" s="97" t="n"/>
      <c r="D352" s="97" t="n"/>
      <c r="E352" s="2" t="n"/>
      <c r="F352" s="116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116" t="n"/>
      <c r="B353" s="97" t="n"/>
      <c r="C353" s="97" t="n"/>
      <c r="D353" s="97" t="n"/>
      <c r="E353" s="2" t="n"/>
      <c r="F353" s="116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116" t="n"/>
      <c r="B354" s="97" t="n"/>
      <c r="C354" s="97" t="n"/>
      <c r="D354" s="97" t="n"/>
      <c r="E354" s="2" t="n"/>
      <c r="F354" s="116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116" t="n"/>
      <c r="B355" s="97" t="n"/>
      <c r="C355" s="97" t="n"/>
      <c r="D355" s="97" t="n"/>
      <c r="E355" s="2" t="n"/>
      <c r="F355" s="116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123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123" t="inlineStr">
        <is>
          <t>Total Payable</t>
        </is>
      </c>
      <c r="G356" s="124" t="n"/>
      <c r="H356" s="125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127" t="n"/>
      <c r="B357" s="91" t="n"/>
      <c r="C357" s="91" t="n"/>
      <c r="D357" s="91" t="n"/>
      <c r="E357" s="2" t="n"/>
      <c r="F357" s="31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116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46054</v>
      </c>
      <c r="E358" s="2" t="n"/>
      <c r="F358" s="116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46054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116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116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31" t="n">
        <v>10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57" t="n">
        <v>18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31" t="n">
        <v>5.1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116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116" t="n"/>
      <c r="B362" s="97" t="n"/>
      <c r="C362" s="97" t="n"/>
      <c r="D362" s="97" t="n"/>
      <c r="E362" s="2" t="n"/>
      <c r="F362" s="116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116" t="n"/>
      <c r="B363" s="97" t="n"/>
      <c r="C363" s="97" t="n"/>
      <c r="D363" s="97" t="n"/>
      <c r="E363" s="2" t="n"/>
      <c r="F363" s="116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116" t="n"/>
      <c r="B364" s="97" t="n"/>
      <c r="C364" s="97" t="n"/>
      <c r="D364" s="97" t="n"/>
      <c r="E364" s="2" t="n"/>
      <c r="F364" s="116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123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123" t="inlineStr">
        <is>
          <t>Total Payable</t>
        </is>
      </c>
      <c r="G365" s="124" t="n"/>
      <c r="H365" s="125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thickBot="1" thickTop="1">
      <c r="A366" s="31" t="n"/>
      <c r="B366" s="2" t="n"/>
      <c r="C366" s="2" t="n"/>
      <c r="D366" s="2" t="n"/>
      <c r="E366" s="2" t="n"/>
      <c r="F366" s="31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116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46054</v>
      </c>
      <c r="E367" s="2" t="n"/>
      <c r="F367" s="116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46054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116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116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31" t="n">
        <v>10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57" t="n">
        <v>18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31" t="n">
        <v>5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116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116" t="n"/>
      <c r="B371" s="97" t="n"/>
      <c r="C371" s="97" t="n"/>
      <c r="D371" s="97" t="n"/>
      <c r="E371" s="4" t="n"/>
      <c r="F371" s="116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116" t="n"/>
      <c r="B372" s="97" t="n"/>
      <c r="C372" s="97" t="n"/>
      <c r="D372" s="97" t="n"/>
      <c r="E372" s="4" t="n"/>
      <c r="F372" s="116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116" t="n"/>
      <c r="B373" s="97" t="n"/>
      <c r="C373" s="97" t="n"/>
      <c r="D373" s="97" t="n"/>
      <c r="E373" s="4" t="n"/>
      <c r="F373" s="116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123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123" t="inlineStr">
        <is>
          <t>Total Payable</t>
        </is>
      </c>
      <c r="G374" s="124" t="n"/>
      <c r="H374" s="125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thickBot="1" thickTop="1">
      <c r="A375" s="31" t="n"/>
      <c r="B375" s="2" t="n"/>
      <c r="C375" s="2" t="n"/>
      <c r="D375" s="2" t="n"/>
      <c r="E375" s="4" t="n"/>
      <c r="F375" s="31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116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46054</v>
      </c>
      <c r="E376" s="4" t="n"/>
      <c r="F376" s="116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46054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116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116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31" t="n">
        <v>10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57" t="n">
        <v>10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116" t="n"/>
      <c r="B379" s="97" t="n"/>
      <c r="C379" s="97" t="n"/>
      <c r="D379" s="97" t="n"/>
      <c r="E379" s="4" t="n"/>
      <c r="F379" s="116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116" t="n"/>
      <c r="B380" s="97" t="n"/>
      <c r="C380" s="97" t="n"/>
      <c r="D380" s="97" t="n"/>
      <c r="E380" s="4" t="n"/>
      <c r="F380" s="116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116" t="n"/>
      <c r="B381" s="97" t="n"/>
      <c r="C381" s="97" t="n"/>
      <c r="D381" s="97" t="n"/>
      <c r="E381" s="4" t="n"/>
      <c r="F381" s="116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116" t="n"/>
      <c r="B382" s="97" t="n"/>
      <c r="C382" s="97" t="n"/>
      <c r="D382" s="97" t="n"/>
      <c r="E382" s="4" t="n"/>
      <c r="F382" s="116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123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123" t="inlineStr">
        <is>
          <t>Total Payable</t>
        </is>
      </c>
      <c r="G383" s="124" t="n"/>
      <c r="H383" s="125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thickBot="1" thickTop="1">
      <c r="A384" s="31" t="n"/>
      <c r="B384" s="2" t="n"/>
      <c r="C384" s="2" t="n"/>
      <c r="D384" s="2" t="n"/>
      <c r="E384" s="4" t="n"/>
      <c r="F384" s="31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116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46054</v>
      </c>
      <c r="E385" s="4" t="n"/>
      <c r="F385" s="116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46054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116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116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31" t="n">
        <v>1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57" t="n">
        <v>15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31" t="n">
        <v>1.1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116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116" t="n"/>
      <c r="B389" s="97" t="n"/>
      <c r="C389" s="97" t="n"/>
      <c r="D389" s="97" t="n"/>
      <c r="E389" s="4" t="n"/>
      <c r="F389" s="116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116" t="n"/>
      <c r="B390" s="97" t="n"/>
      <c r="C390" s="97" t="n"/>
      <c r="D390" s="97" t="n"/>
      <c r="E390" s="4" t="n"/>
      <c r="F390" s="116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116" t="n"/>
      <c r="B391" s="97" t="n"/>
      <c r="C391" s="97" t="n"/>
      <c r="D391" s="97" t="n"/>
      <c r="E391" s="4" t="n"/>
      <c r="F391" s="116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123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123" t="inlineStr">
        <is>
          <t>Total Payable</t>
        </is>
      </c>
      <c r="G392" s="124" t="n"/>
      <c r="H392" s="125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31" t="n"/>
      <c r="B393" s="2" t="n"/>
      <c r="C393" s="2" t="n"/>
      <c r="D393" s="91" t="n"/>
      <c r="E393" s="4" t="n"/>
      <c r="F393" s="31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116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46054</v>
      </c>
      <c r="E394" s="4" t="n"/>
      <c r="F394" s="116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46054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116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116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31" t="n">
        <v>1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57" t="n">
        <v>10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116" t="n"/>
      <c r="B397" s="97" t="n"/>
      <c r="C397" s="97" t="n"/>
      <c r="D397" s="97" t="n"/>
      <c r="E397" s="4" t="n"/>
      <c r="F397" s="116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116" t="n"/>
      <c r="B398" s="97" t="n"/>
      <c r="C398" s="97" t="n"/>
      <c r="D398" s="97" t="n"/>
      <c r="E398" s="4" t="n"/>
      <c r="F398" s="116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116" t="n"/>
      <c r="B399" s="97" t="n"/>
      <c r="C399" s="97" t="n"/>
      <c r="D399" s="97" t="n"/>
      <c r="E399" s="4" t="n"/>
      <c r="F399" s="116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116" t="n"/>
      <c r="B400" s="97" t="n"/>
      <c r="C400" s="97" t="n"/>
      <c r="D400" s="97" t="n"/>
      <c r="E400" s="4" t="n"/>
      <c r="F400" s="116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123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123" t="inlineStr">
        <is>
          <t>Total Payable</t>
        </is>
      </c>
      <c r="G401" s="124" t="n"/>
      <c r="H401" s="125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31" t="n"/>
      <c r="B402" s="2" t="n"/>
      <c r="C402" s="2" t="n"/>
      <c r="D402" s="2" t="n"/>
      <c r="E402" s="4" t="n"/>
      <c r="F402" s="127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1" t="inlineStr">
        <is>
          <t>Name</t>
        </is>
      </c>
      <c r="B403" s="12" t="inlineStr">
        <is>
          <t>NARAYANJI</t>
        </is>
      </c>
      <c r="C403" s="12" t="inlineStr">
        <is>
          <t>KOTLAPUR</t>
        </is>
      </c>
      <c r="D403" s="9" t="n">
        <v>46054</v>
      </c>
      <c r="E403" s="4" t="n"/>
      <c r="F403" s="116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46054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116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116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31" t="n">
        <v>5</v>
      </c>
      <c r="B405" s="97" t="n">
        <v>500000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57" t="n">
        <v>1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116" t="n"/>
      <c r="B406" s="97" t="n"/>
      <c r="C406" s="97" t="n"/>
      <c r="D406" s="97" t="n"/>
      <c r="E406" s="4" t="n"/>
      <c r="F406" s="57" t="n">
        <v>5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116" t="n"/>
      <c r="B407" s="97" t="n"/>
      <c r="C407" s="97" t="n"/>
      <c r="D407" s="97" t="n"/>
      <c r="E407" s="4" t="n"/>
      <c r="F407" s="116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116" t="n"/>
      <c r="B408" s="97" t="n"/>
      <c r="C408" s="97" t="n"/>
      <c r="D408" s="97" t="n"/>
      <c r="E408" s="4" t="n"/>
      <c r="F408" s="116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116" t="n"/>
      <c r="B409" s="97" t="n"/>
      <c r="C409" s="97" t="n"/>
      <c r="D409" s="97" t="n"/>
      <c r="E409" s="4" t="n"/>
      <c r="F409" s="116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123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123" t="inlineStr">
        <is>
          <t>Total Payable</t>
        </is>
      </c>
      <c r="G410" s="124" t="n"/>
      <c r="H410" s="125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thickBot="1" thickTop="1">
      <c r="A411" s="31" t="n"/>
      <c r="B411" s="2" t="n"/>
      <c r="C411" s="2" t="n"/>
      <c r="D411" s="2" t="n"/>
      <c r="E411" s="4" t="n"/>
      <c r="F411" s="31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1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46054</v>
      </c>
      <c r="E412" s="4" t="n"/>
      <c r="F412" s="116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46054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116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116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116" t="n">
        <v>10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57" t="n">
        <v>5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116" t="n"/>
      <c r="B415" s="97" t="n"/>
      <c r="C415" s="97" t="n"/>
      <c r="D415" s="97" t="n"/>
      <c r="E415" s="4" t="n"/>
      <c r="F415" s="116" t="n"/>
      <c r="G415" s="97" t="n"/>
      <c r="H415" s="97" t="n"/>
      <c r="I415" s="9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116" t="n"/>
      <c r="B416" s="97" t="n"/>
      <c r="C416" s="97" t="n"/>
      <c r="D416" s="97" t="n"/>
      <c r="E416" s="4" t="n"/>
      <c r="F416" s="116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116" t="n"/>
      <c r="B417" s="97" t="n"/>
      <c r="C417" s="97" t="n"/>
      <c r="D417" s="97" t="n"/>
      <c r="E417" s="4" t="n"/>
      <c r="F417" s="116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116" t="n"/>
      <c r="B418" s="97" t="n"/>
      <c r="C418" s="97" t="n"/>
      <c r="D418" s="97" t="n"/>
      <c r="E418" s="4" t="n"/>
      <c r="F418" s="116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123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123" t="inlineStr">
        <is>
          <t>Total Payable</t>
        </is>
      </c>
      <c r="G419" s="124" t="n"/>
      <c r="H419" s="125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thickBot="1" thickTop="1">
      <c r="A420" s="31" t="n"/>
      <c r="B420" s="2" t="n"/>
      <c r="C420" s="2" t="n"/>
      <c r="D420" s="2" t="n"/>
      <c r="E420" s="4" t="n"/>
      <c r="F420" s="31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1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46054</v>
      </c>
      <c r="E421" s="4" t="n"/>
      <c r="F421" s="11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46054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116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116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31" t="n">
        <v>10.1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57" t="n">
        <v>10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116" t="n"/>
      <c r="B424" s="97" t="n"/>
      <c r="C424" s="97" t="n"/>
      <c r="D424" s="97" t="n"/>
      <c r="E424" s="4" t="n"/>
      <c r="F424" s="116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116" t="n"/>
      <c r="B425" s="97" t="n"/>
      <c r="C425" s="97" t="n"/>
      <c r="D425" s="97" t="n"/>
      <c r="E425" s="4" t="n"/>
      <c r="F425" s="116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116" t="n"/>
      <c r="B426" s="97" t="n"/>
      <c r="C426" s="97" t="n"/>
      <c r="D426" s="97" t="n"/>
      <c r="E426" s="4" t="n"/>
      <c r="F426" s="116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116" t="n"/>
      <c r="B427" s="97" t="n"/>
      <c r="C427" s="97" t="n"/>
      <c r="D427" s="97" t="n"/>
      <c r="E427" s="4" t="n"/>
      <c r="F427" s="116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123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81" t="inlineStr">
        <is>
          <t>TOTAL PAYABLE</t>
        </is>
      </c>
      <c r="G428" s="82" t="n"/>
      <c r="H428" s="83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thickBot="1" thickTop="1">
      <c r="A429" s="31" t="n"/>
      <c r="B429" s="2" t="n"/>
      <c r="C429" s="2" t="n"/>
      <c r="D429" s="2" t="n"/>
      <c r="E429" s="4" t="n"/>
      <c r="F429" s="31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1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46054</v>
      </c>
      <c r="E430" s="4" t="n"/>
      <c r="F430" s="11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46054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116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116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31" t="n">
        <v>10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57" t="n">
        <v>10.1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116" t="n"/>
      <c r="B433" s="97" t="n"/>
      <c r="C433" s="97" t="n"/>
      <c r="D433" s="97" t="n"/>
      <c r="E433" s="4" t="n"/>
      <c r="F433" s="116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116" t="n"/>
      <c r="B434" s="97" t="n"/>
      <c r="C434" s="97" t="n"/>
      <c r="D434" s="97" t="n"/>
      <c r="E434" s="4" t="n"/>
      <c r="F434" s="116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116" t="n"/>
      <c r="B435" s="97" t="n"/>
      <c r="C435" s="97" t="n"/>
      <c r="D435" s="97" t="n"/>
      <c r="E435" s="4" t="n"/>
      <c r="F435" s="116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116" t="n"/>
      <c r="B436" s="97" t="n"/>
      <c r="C436" s="97" t="n"/>
      <c r="D436" s="97" t="n"/>
      <c r="E436" s="4" t="n"/>
      <c r="F436" s="116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123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81" t="inlineStr">
        <is>
          <t>TOTAL PAYABLE</t>
        </is>
      </c>
      <c r="G437" s="82" t="n"/>
      <c r="H437" s="83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31" t="n"/>
      <c r="B438" s="6" t="n"/>
      <c r="C438" s="2" t="n"/>
      <c r="D438" s="91" t="n"/>
      <c r="E438" s="4" t="n"/>
      <c r="F438" s="31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1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46054</v>
      </c>
      <c r="E439" s="4" t="n"/>
      <c r="F439" s="11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46054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116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116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31" t="n">
        <v>5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57" t="n">
        <v>10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116" t="n"/>
      <c r="B442" s="97" t="n"/>
      <c r="C442" s="97" t="n"/>
      <c r="D442" s="97" t="n"/>
      <c r="E442" s="4" t="n"/>
      <c r="F442" s="116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116" t="n"/>
      <c r="B443" s="97" t="n"/>
      <c r="C443" s="97" t="n"/>
      <c r="D443" s="97" t="n"/>
      <c r="E443" s="4" t="n"/>
      <c r="F443" s="116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116" t="n"/>
      <c r="B444" s="97" t="n"/>
      <c r="C444" s="97" t="n"/>
      <c r="D444" s="97" t="n"/>
      <c r="E444" s="4" t="n"/>
      <c r="F444" s="116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116" t="n"/>
      <c r="B445" s="97" t="n"/>
      <c r="C445" s="97" t="n"/>
      <c r="D445" s="97" t="n"/>
      <c r="E445" s="4" t="n"/>
      <c r="F445" s="116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123" t="inlineStr">
        <is>
          <t>Total Payable</t>
        </is>
      </c>
      <c r="B446" s="123" t="inlineStr">
        <is>
          <t>Total Payable</t>
        </is>
      </c>
      <c r="C446" s="83" t="n"/>
      <c r="D446" s="97">
        <f>SUM(D441:D445)</f>
        <v/>
      </c>
      <c r="E446" s="4" t="n"/>
      <c r="F446" s="81" t="inlineStr">
        <is>
          <t>TOTAL PAYABLE</t>
        </is>
      </c>
      <c r="G446" s="82" t="n"/>
      <c r="H446" s="83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31" t="n"/>
      <c r="B447" s="2" t="n"/>
      <c r="C447" s="2" t="n"/>
      <c r="D447" s="2" t="n"/>
      <c r="E447" s="4" t="n"/>
      <c r="F447" s="31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1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46054</v>
      </c>
      <c r="E448" s="4" t="n"/>
      <c r="F448" s="11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46054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116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116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31" t="n">
        <v>5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57" t="n">
        <v>5.1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116" t="n"/>
      <c r="B451" s="97" t="n"/>
      <c r="C451" s="97" t="n"/>
      <c r="D451" s="97" t="n"/>
      <c r="E451" s="4" t="n"/>
      <c r="F451" s="116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116" t="n"/>
      <c r="B452" s="97" t="n"/>
      <c r="C452" s="97" t="n"/>
      <c r="D452" s="97" t="n"/>
      <c r="E452" s="4" t="n"/>
      <c r="F452" s="116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116" t="n"/>
      <c r="B453" s="97" t="n"/>
      <c r="C453" s="97" t="n"/>
      <c r="D453" s="97" t="n"/>
      <c r="E453" s="4" t="n"/>
      <c r="F453" s="116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116" t="n"/>
      <c r="B454" s="97" t="n"/>
      <c r="C454" s="97" t="n"/>
      <c r="D454" s="97" t="n"/>
      <c r="E454" s="4" t="n"/>
      <c r="F454" s="116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123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81" t="inlineStr">
        <is>
          <t>TOTAL PAYABLE</t>
        </is>
      </c>
      <c r="G455" s="82" t="n"/>
      <c r="H455" s="83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thickBot="1" thickTop="1">
      <c r="A456" s="31" t="n"/>
      <c r="B456" s="2" t="n"/>
      <c r="C456" s="2" t="n"/>
      <c r="D456" s="2" t="n"/>
      <c r="E456" s="4" t="n"/>
      <c r="F456" s="31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1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46054</v>
      </c>
      <c r="E457" s="4" t="n"/>
      <c r="F457" s="11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46054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116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116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31" t="n">
        <v>1</v>
      </c>
      <c r="B459" s="97" t="n">
        <v>1000000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57" t="n">
        <v>10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31" t="n">
        <v>10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116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116" t="n"/>
      <c r="B461" s="97" t="n"/>
      <c r="C461" s="97" t="n"/>
      <c r="D461" s="97" t="n"/>
      <c r="E461" s="4" t="n"/>
      <c r="F461" s="116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116" t="n"/>
      <c r="B462" s="97" t="n"/>
      <c r="C462" s="97" t="n"/>
      <c r="D462" s="97" t="n"/>
      <c r="E462" s="4" t="n"/>
      <c r="F462" s="116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116" t="n"/>
      <c r="B463" s="97" t="n"/>
      <c r="C463" s="97" t="n"/>
      <c r="D463" s="97" t="n"/>
      <c r="E463" s="4" t="n"/>
      <c r="F463" s="116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123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81" t="inlineStr">
        <is>
          <t>TOTAL PAYABLE</t>
        </is>
      </c>
      <c r="G464" s="82" t="n"/>
      <c r="H464" s="83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thickBot="1" thickTop="1">
      <c r="A465" s="31" t="n"/>
      <c r="B465" s="2" t="n"/>
      <c r="C465" s="2" t="n"/>
      <c r="D465" s="2" t="n"/>
      <c r="E465" s="4" t="n"/>
      <c r="F465" s="31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1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46054</v>
      </c>
      <c r="E466" s="4" t="n"/>
      <c r="F466" s="11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46054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116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116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31" t="n">
        <v>5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57" t="n">
        <v>1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31" t="n"/>
      <c r="B469" s="97" t="n"/>
      <c r="C469" s="97" t="n"/>
      <c r="D469" s="97" t="n"/>
      <c r="E469" s="4" t="n"/>
      <c r="F469" s="116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116" t="n"/>
      <c r="B470" s="97" t="n"/>
      <c r="C470" s="97" t="n"/>
      <c r="D470" s="97" t="n"/>
      <c r="E470" s="4" t="n"/>
      <c r="F470" s="116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116" t="n"/>
      <c r="B471" s="97" t="n"/>
      <c r="C471" s="97" t="n"/>
      <c r="D471" s="97" t="n"/>
      <c r="E471" s="4" t="n"/>
      <c r="F471" s="116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116" t="n"/>
      <c r="B472" s="97" t="n"/>
      <c r="C472" s="97" t="n"/>
      <c r="D472" s="97" t="n"/>
      <c r="E472" s="4" t="n"/>
      <c r="F472" s="116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123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81" t="inlineStr">
        <is>
          <t>TOTAL PAYABLE</t>
        </is>
      </c>
      <c r="G473" s="82" t="n"/>
      <c r="H473" s="83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thickBot="1" thickTop="1">
      <c r="A474" s="31" t="n"/>
      <c r="B474" s="2" t="n"/>
      <c r="C474" s="2" t="n"/>
      <c r="D474" s="2" t="n"/>
      <c r="E474" s="4" t="n"/>
      <c r="F474" s="31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1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46054</v>
      </c>
      <c r="E475" s="4" t="n"/>
      <c r="F475" s="11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46054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116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116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31" t="n">
        <v>1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57" t="n">
        <v>5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116" t="n"/>
      <c r="B478" s="97" t="n"/>
      <c r="C478" s="97" t="n"/>
      <c r="D478" s="97" t="n"/>
      <c r="E478" s="4" t="n"/>
      <c r="F478" s="116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116" t="n"/>
      <c r="B479" s="97" t="n"/>
      <c r="C479" s="97" t="n"/>
      <c r="D479" s="97" t="n"/>
      <c r="E479" s="4" t="n"/>
      <c r="F479" s="116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116" t="n"/>
      <c r="B480" s="97" t="n"/>
      <c r="C480" s="97" t="n"/>
      <c r="D480" s="97" t="n"/>
      <c r="E480" s="4" t="n"/>
      <c r="F480" s="116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116" t="n"/>
      <c r="B481" s="97" t="n"/>
      <c r="C481" s="97" t="n"/>
      <c r="D481" s="97" t="n"/>
      <c r="E481" s="4" t="n"/>
      <c r="F481" s="116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123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81" t="inlineStr">
        <is>
          <t>TOTAL PAYABLE</t>
        </is>
      </c>
      <c r="G482" s="82" t="n"/>
      <c r="H482" s="83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31" t="n"/>
      <c r="B483" s="6" t="n"/>
      <c r="C483" s="2" t="n"/>
      <c r="D483" s="91" t="n"/>
      <c r="E483" s="4" t="n"/>
      <c r="F483" s="31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1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46054</v>
      </c>
      <c r="E484" s="4" t="n"/>
      <c r="F484" s="11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46054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116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116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31" t="n">
        <v>18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57" t="n">
        <v>10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31" t="n">
        <v>18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116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116" t="n"/>
      <c r="B488" s="97" t="n"/>
      <c r="C488" s="97" t="n"/>
      <c r="D488" s="97" t="n"/>
      <c r="E488" s="4" t="n"/>
      <c r="F488" s="116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116" t="n"/>
      <c r="B489" s="97" t="n"/>
      <c r="C489" s="97" t="n"/>
      <c r="D489" s="97" t="n"/>
      <c r="E489" s="4" t="n"/>
      <c r="F489" s="116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116" t="n"/>
      <c r="B490" s="97" t="n"/>
      <c r="C490" s="97" t="n"/>
      <c r="D490" s="97" t="n"/>
      <c r="E490" s="4" t="n"/>
      <c r="F490" s="116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123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81" t="inlineStr">
        <is>
          <t>TOTAL PAYABLE</t>
        </is>
      </c>
      <c r="G491" s="82" t="n"/>
      <c r="H491" s="83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thickBot="1" thickTop="1">
      <c r="A492" s="31" t="n"/>
      <c r="B492" s="2" t="n"/>
      <c r="C492" s="2" t="n"/>
      <c r="D492" s="2" t="n"/>
      <c r="E492" s="4" t="n"/>
      <c r="F492" s="31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1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46054</v>
      </c>
      <c r="E493" s="4" t="n"/>
      <c r="F493" s="11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46054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116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116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31" t="n">
        <v>15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57" t="n">
        <v>15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116" t="n"/>
      <c r="B496" s="97" t="n"/>
      <c r="C496" s="97" t="n"/>
      <c r="D496" s="97" t="n"/>
      <c r="E496" s="4" t="n"/>
      <c r="F496" s="57" t="n">
        <v>15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116" t="n"/>
      <c r="B497" s="97" t="n"/>
      <c r="C497" s="97" t="n"/>
      <c r="D497" s="97" t="n"/>
      <c r="E497" s="4" t="n"/>
      <c r="F497" s="57" t="n">
        <v>10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116" t="n"/>
      <c r="B498" s="97" t="n"/>
      <c r="C498" s="97" t="n"/>
      <c r="D498" s="97" t="n"/>
      <c r="E498" s="4" t="n"/>
      <c r="F498" s="57" t="n">
        <v>5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116" t="n"/>
      <c r="B499" s="97" t="n"/>
      <c r="C499" s="97" t="n"/>
      <c r="D499" s="97" t="n"/>
      <c r="E499" s="4" t="n"/>
      <c r="F499" s="116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123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81" t="inlineStr">
        <is>
          <t>TOTAL PAYABLE</t>
        </is>
      </c>
      <c r="G500" s="82" t="n"/>
      <c r="H500" s="83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thickBot="1" thickTop="1">
      <c r="A501" s="60" t="n"/>
      <c r="F501" s="26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1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46054</v>
      </c>
      <c r="E502" s="4" t="n"/>
      <c r="F502" s="11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46054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116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116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31" t="n">
        <v>10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57" t="n">
        <v>10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116" t="n"/>
      <c r="B505" s="97" t="n"/>
      <c r="C505" s="97" t="n"/>
      <c r="D505" s="97" t="n"/>
      <c r="E505" s="4" t="n"/>
      <c r="F505" s="116" t="n"/>
      <c r="G505" s="97" t="n"/>
      <c r="H505" s="97" t="n"/>
      <c r="I505" s="97" t="n"/>
    </row>
    <row r="506" ht="20.25" customHeight="1" thickBot="1" thickTop="1">
      <c r="A506" s="116" t="n"/>
      <c r="B506" s="97" t="n"/>
      <c r="C506" s="97" t="n"/>
      <c r="D506" s="97" t="n"/>
      <c r="E506" s="4" t="n"/>
      <c r="F506" s="116" t="n"/>
      <c r="G506" s="97" t="n"/>
      <c r="H506" s="97" t="n"/>
      <c r="I506" s="97" t="n"/>
    </row>
    <row r="507" ht="20.25" customHeight="1" thickBot="1" thickTop="1">
      <c r="A507" s="116" t="n"/>
      <c r="B507" s="97" t="n"/>
      <c r="C507" s="97" t="n"/>
      <c r="D507" s="97" t="n"/>
      <c r="E507" s="4" t="n"/>
      <c r="F507" s="116" t="n"/>
      <c r="G507" s="97" t="n"/>
      <c r="H507" s="97" t="n"/>
      <c r="I507" s="97" t="n"/>
    </row>
    <row r="508" ht="20.25" customHeight="1" thickBot="1" thickTop="1">
      <c r="A508" s="116" t="n"/>
      <c r="B508" s="97" t="n"/>
      <c r="C508" s="97" t="n"/>
      <c r="D508" s="97" t="n"/>
      <c r="E508" s="4" t="n"/>
      <c r="F508" s="116" t="n"/>
      <c r="G508" s="97" t="n"/>
      <c r="H508" s="97" t="n"/>
      <c r="I508" s="97" t="n"/>
    </row>
    <row r="509" ht="20.25" customHeight="1" thickBot="1" thickTop="1">
      <c r="A509" s="123" t="inlineStr">
        <is>
          <t>Total Payable</t>
        </is>
      </c>
      <c r="B509" s="61" t="n"/>
      <c r="C509" s="83" t="n"/>
      <c r="D509" s="97">
        <f>SUM(D504:D508)</f>
        <v/>
      </c>
      <c r="E509" s="4" t="n"/>
      <c r="F509" s="62" t="inlineStr">
        <is>
          <t>TOTAL PAYABLE</t>
        </is>
      </c>
      <c r="G509" s="82" t="n"/>
      <c r="H509" s="83" t="n"/>
      <c r="I509" s="97">
        <f>SUM(I504:I508)</f>
        <v/>
      </c>
    </row>
    <row r="510" ht="17.25" customHeight="1" thickBot="1" thickTop="1">
      <c r="A510" s="60" t="n"/>
      <c r="F510" s="26" t="n"/>
    </row>
    <row r="511" ht="20.25" customHeight="1" thickBot="1" thickTop="1">
      <c r="A511" s="11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46054</v>
      </c>
      <c r="E511" s="4" t="n"/>
      <c r="F511" s="11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46054</v>
      </c>
    </row>
    <row r="512" ht="20.25" customHeight="1" thickBot="1" thickTop="1">
      <c r="A512" s="116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116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31" t="n">
        <v>10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57" t="n">
        <v>10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116" t="n"/>
      <c r="B514" s="97" t="n"/>
      <c r="C514" s="97" t="n"/>
      <c r="D514" s="97" t="n"/>
      <c r="E514" s="4" t="n"/>
      <c r="F514" s="116" t="n"/>
      <c r="G514" s="97" t="n"/>
      <c r="H514" s="97" t="n"/>
      <c r="I514" s="97" t="n"/>
    </row>
    <row r="515" ht="20.25" customHeight="1" thickBot="1" thickTop="1">
      <c r="A515" s="116" t="n"/>
      <c r="B515" s="97" t="n"/>
      <c r="C515" s="97" t="n"/>
      <c r="D515" s="97" t="n"/>
      <c r="E515" s="4" t="n"/>
      <c r="F515" s="116" t="n"/>
      <c r="G515" s="97" t="n"/>
      <c r="H515" s="97" t="n"/>
      <c r="I515" s="97" t="n"/>
    </row>
    <row r="516" ht="20.25" customHeight="1" thickBot="1" thickTop="1">
      <c r="A516" s="116" t="n"/>
      <c r="B516" s="97" t="n"/>
      <c r="C516" s="97" t="n"/>
      <c r="D516" s="97" t="n"/>
      <c r="E516" s="4" t="n"/>
      <c r="F516" s="116" t="n"/>
      <c r="G516" s="97" t="n"/>
      <c r="H516" s="97" t="n"/>
      <c r="I516" s="97" t="n"/>
    </row>
    <row r="517" ht="20.25" customHeight="1" thickBot="1" thickTop="1">
      <c r="A517" s="116" t="n"/>
      <c r="B517" s="97" t="n"/>
      <c r="C517" s="97" t="n"/>
      <c r="D517" s="97" t="n"/>
      <c r="E517" s="4" t="n"/>
      <c r="F517" s="116" t="n"/>
      <c r="G517" s="97" t="n"/>
      <c r="H517" s="97" t="n"/>
      <c r="I517" s="97" t="n"/>
    </row>
    <row r="518" ht="20.25" customHeight="1" thickBot="1" thickTop="1">
      <c r="A518" s="123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81" t="inlineStr">
        <is>
          <t>TOTAL</t>
        </is>
      </c>
      <c r="G518" s="82" t="n"/>
      <c r="H518" s="83" t="n"/>
      <c r="I518" s="97">
        <f>SUM(I513:I517)</f>
        <v/>
      </c>
    </row>
    <row r="519" ht="17.25" customHeight="1" thickBot="1" thickTop="1">
      <c r="A519" s="60" t="n"/>
      <c r="F519" s="26" t="n"/>
    </row>
    <row r="520" ht="20.25" customHeight="1" thickBot="1" thickTop="1">
      <c r="A520" s="11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46054</v>
      </c>
      <c r="F520" s="11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46054</v>
      </c>
    </row>
    <row r="521" ht="20.25" customHeight="1" thickBot="1" thickTop="1">
      <c r="A521" s="116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116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31" t="n">
        <v>1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57" t="n">
        <v>10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116" t="n"/>
      <c r="B523" s="97" t="n"/>
      <c r="C523" s="97" t="n"/>
      <c r="D523" s="97" t="n"/>
      <c r="F523" s="57" t="n">
        <v>10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116" t="n"/>
      <c r="B524" s="97" t="n"/>
      <c r="C524" s="97" t="n"/>
      <c r="D524" s="97" t="n"/>
      <c r="F524" s="116" t="n"/>
      <c r="G524" s="97" t="n"/>
      <c r="H524" s="97" t="n"/>
      <c r="I524" s="97" t="n"/>
    </row>
    <row r="525" ht="20.25" customHeight="1" thickBot="1" thickTop="1">
      <c r="A525" s="116" t="n"/>
      <c r="B525" s="97" t="n"/>
      <c r="C525" s="97" t="n"/>
      <c r="D525" s="97" t="n"/>
      <c r="F525" s="116" t="n"/>
      <c r="G525" s="97" t="n"/>
      <c r="H525" s="97" t="n"/>
      <c r="I525" s="97" t="n"/>
    </row>
    <row r="526" ht="20.25" customHeight="1" thickBot="1" thickTop="1">
      <c r="A526" s="116" t="n"/>
      <c r="B526" s="97" t="n"/>
      <c r="C526" s="97" t="n"/>
      <c r="D526" s="97" t="n"/>
      <c r="F526" s="116" t="n"/>
      <c r="G526" s="97" t="n"/>
      <c r="H526" s="97" t="n"/>
      <c r="I526" s="97" t="n"/>
    </row>
    <row r="527" ht="20.25" customHeight="1" thickBot="1" thickTop="1">
      <c r="A527" s="123" t="inlineStr">
        <is>
          <t>Total Payable</t>
        </is>
      </c>
      <c r="B527" s="82" t="n"/>
      <c r="C527" s="83" t="n"/>
      <c r="D527" s="97">
        <f>SUM(D522:D526)</f>
        <v/>
      </c>
      <c r="F527" s="81" t="inlineStr">
        <is>
          <t>TOTAL</t>
        </is>
      </c>
      <c r="G527" s="82" t="n"/>
      <c r="H527" s="83" t="n"/>
      <c r="I527" s="97">
        <f>SUM(I522:I526)</f>
        <v/>
      </c>
    </row>
    <row r="528" ht="17.25" customHeight="1" thickBot="1" thickTop="1">
      <c r="A528" s="60" t="n"/>
      <c r="F528" s="26" t="n"/>
    </row>
    <row r="529" ht="20.25" customHeight="1" thickBot="1" thickTop="1">
      <c r="A529" s="11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46054</v>
      </c>
      <c r="F529" s="11" t="inlineStr">
        <is>
          <t>NAME</t>
        </is>
      </c>
      <c r="G529" s="12" t="inlineStr">
        <is>
          <t>PUNJI</t>
        </is>
      </c>
      <c r="H529" s="12" t="inlineStr">
        <is>
          <t>R ROAD</t>
        </is>
      </c>
      <c r="I529" s="9" t="n">
        <v>46054</v>
      </c>
    </row>
    <row r="530" ht="20.25" customHeight="1" thickBot="1" thickTop="1">
      <c r="A530" s="116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116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31" t="n">
        <v>5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57" t="n">
        <v>10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31" t="n">
        <v>5.1</v>
      </c>
      <c r="B532" s="97" t="n">
        <v>1000000</v>
      </c>
      <c r="C532" s="97">
        <f>VLOOKUP(A532&amp;"|"&amp;B532,$O$3:$P$17,2,FALSE)</f>
        <v/>
      </c>
      <c r="D532" s="97">
        <f>VLOOKUP(A532&amp;"|"&amp;B532,$Q$3:$R$17,2,FALSE)</f>
        <v/>
      </c>
      <c r="F532" s="116" t="n"/>
      <c r="G532" s="97" t="n"/>
      <c r="H532" s="97" t="n"/>
      <c r="I532" s="97" t="n"/>
    </row>
    <row r="533" ht="20.25" customHeight="1" thickBot="1" thickTop="1">
      <c r="A533" s="116" t="n"/>
      <c r="B533" s="97" t="n"/>
      <c r="C533" s="97" t="n"/>
      <c r="D533" s="97" t="n"/>
      <c r="F533" s="116" t="n"/>
      <c r="G533" s="97" t="n"/>
      <c r="H533" s="97" t="n"/>
      <c r="I533" s="97" t="n"/>
    </row>
    <row r="534" ht="20.25" customHeight="1" thickBot="1" thickTop="1">
      <c r="A534" s="116" t="n"/>
      <c r="B534" s="97" t="n"/>
      <c r="C534" s="97" t="n"/>
      <c r="D534" s="97" t="n"/>
      <c r="F534" s="116" t="n"/>
      <c r="G534" s="97" t="n"/>
      <c r="H534" s="97" t="n"/>
      <c r="I534" s="97" t="n"/>
    </row>
    <row r="535" ht="20.25" customHeight="1" thickBot="1" thickTop="1">
      <c r="A535" s="116" t="n"/>
      <c r="B535" s="97" t="n"/>
      <c r="C535" s="97" t="n"/>
      <c r="D535" s="97" t="n"/>
      <c r="F535" s="116" t="n"/>
      <c r="G535" s="97" t="n"/>
      <c r="H535" s="97" t="n"/>
      <c r="I535" s="97" t="n"/>
    </row>
    <row r="536" ht="20.25" customHeight="1" thickBot="1" thickTop="1">
      <c r="A536" s="123" t="inlineStr">
        <is>
          <t>Total Payable</t>
        </is>
      </c>
      <c r="B536" s="82" t="n"/>
      <c r="C536" s="83" t="n"/>
      <c r="D536" s="97">
        <f>SUM(D531:D535)</f>
        <v/>
      </c>
      <c r="F536" s="62" t="inlineStr">
        <is>
          <t>TOTAL PAYABLE</t>
        </is>
      </c>
      <c r="G536" s="82" t="n"/>
      <c r="H536" s="83" t="n"/>
      <c r="I536" s="97">
        <f>SUM(I531:I535)</f>
        <v/>
      </c>
    </row>
    <row r="537" ht="17.25" customHeight="1" thickBot="1" thickTop="1">
      <c r="A537" s="60" t="n"/>
      <c r="F537" s="26" t="n"/>
    </row>
    <row r="538" ht="20.25" customHeight="1" thickBot="1" thickTop="1">
      <c r="A538" s="63" t="inlineStr">
        <is>
          <t>NAME</t>
        </is>
      </c>
      <c r="B538" s="64" t="inlineStr">
        <is>
          <t xml:space="preserve">GOTAMJI </t>
        </is>
      </c>
      <c r="C538" s="64" t="inlineStr">
        <is>
          <t>RR ROAD</t>
        </is>
      </c>
      <c r="D538" s="65" t="n">
        <v>46054</v>
      </c>
      <c r="E538" s="18" t="n"/>
      <c r="F538" s="63" t="inlineStr">
        <is>
          <t>NAME</t>
        </is>
      </c>
      <c r="G538" s="64" t="inlineStr">
        <is>
          <t>SOHANJI</t>
        </is>
      </c>
      <c r="H538" s="64" t="inlineStr">
        <is>
          <t>RR ROAD</t>
        </is>
      </c>
      <c r="I538" s="65" t="n">
        <v>46054</v>
      </c>
    </row>
    <row r="539" ht="20.25" customHeight="1" thickBot="1" thickTop="1">
      <c r="A539" s="132" t="inlineStr">
        <is>
          <t>Month</t>
        </is>
      </c>
      <c r="B539" s="133" t="inlineStr">
        <is>
          <t>Plan</t>
        </is>
      </c>
      <c r="C539" s="133" t="inlineStr">
        <is>
          <t>Commission</t>
        </is>
      </c>
      <c r="D539" s="133" t="inlineStr">
        <is>
          <t>Amount</t>
        </is>
      </c>
      <c r="E539" s="18" t="n"/>
      <c r="F539" s="132" t="inlineStr">
        <is>
          <t>Month</t>
        </is>
      </c>
      <c r="G539" s="133" t="inlineStr">
        <is>
          <t>Plan</t>
        </is>
      </c>
      <c r="H539" s="133" t="inlineStr">
        <is>
          <t>Commission</t>
        </is>
      </c>
      <c r="I539" s="133" t="inlineStr">
        <is>
          <t>Amount</t>
        </is>
      </c>
    </row>
    <row r="540" ht="20.25" customHeight="1" thickBot="1" thickTop="1">
      <c r="A540" s="68" t="n">
        <v>5.1</v>
      </c>
      <c r="B540" s="133" t="n">
        <v>1000000</v>
      </c>
      <c r="C540" s="133">
        <f>VLOOKUP(A540&amp;"|"&amp;B540,$O$3:$P$17,2,FALSE)</f>
        <v/>
      </c>
      <c r="D540" s="133">
        <f>VLOOKUP(A540&amp;"|"&amp;B540,$Q$3:$R$17,2,FALSE)</f>
        <v/>
      </c>
      <c r="E540" s="18" t="n"/>
      <c r="F540" s="69" t="n">
        <v>5</v>
      </c>
      <c r="G540" s="133" t="n">
        <v>1000000</v>
      </c>
      <c r="H540" s="133">
        <f>VLOOKUP(F540&amp;"|"&amp;G540,$O$3:$P$17,2,FALSE)</f>
        <v/>
      </c>
      <c r="I540" s="133">
        <f>VLOOKUP(F540&amp;"|"&amp;G540,$Q$3:$R$17,2,FALSE)</f>
        <v/>
      </c>
    </row>
    <row r="541" ht="20.25" customHeight="1" thickBot="1" thickTop="1">
      <c r="A541" s="132" t="n"/>
      <c r="B541" s="133" t="n"/>
      <c r="C541" s="133" t="n"/>
      <c r="D541" s="133" t="n"/>
      <c r="E541" s="18" t="n"/>
      <c r="F541" s="69" t="n">
        <v>5.1</v>
      </c>
      <c r="G541" s="133" t="n">
        <v>1000000</v>
      </c>
      <c r="H541" s="133">
        <f>VLOOKUP(F541&amp;"|"&amp;G541,$O$3:$P$17,2,FALSE)</f>
        <v/>
      </c>
      <c r="I541" s="133">
        <f>VLOOKUP(F541&amp;"|"&amp;G541,$Q$3:$R$17,2,FALSE)</f>
        <v/>
      </c>
    </row>
    <row r="542" ht="20.25" customHeight="1" thickBot="1" thickTop="1">
      <c r="A542" s="132" t="n"/>
      <c r="B542" s="133" t="n"/>
      <c r="C542" s="133" t="n"/>
      <c r="D542" s="133" t="n"/>
      <c r="E542" s="18" t="n"/>
      <c r="F542" s="132" t="n"/>
      <c r="G542" s="133" t="n"/>
      <c r="H542" s="133" t="n"/>
      <c r="I542" s="133" t="n"/>
    </row>
    <row r="543" ht="20.25" customHeight="1" thickBot="1" thickTop="1">
      <c r="A543" s="132" t="n"/>
      <c r="B543" s="133" t="n"/>
      <c r="C543" s="133" t="n"/>
      <c r="D543" s="133" t="n"/>
      <c r="E543" s="18" t="n"/>
      <c r="F543" s="132" t="n"/>
      <c r="G543" s="133" t="n"/>
      <c r="H543" s="133" t="n"/>
      <c r="I543" s="133" t="n"/>
    </row>
    <row r="544" ht="20.25" customHeight="1" thickBot="1" thickTop="1">
      <c r="A544" s="132" t="n"/>
      <c r="B544" s="133" t="n"/>
      <c r="C544" s="133" t="n"/>
      <c r="D544" s="133" t="n"/>
      <c r="E544" s="18" t="n"/>
      <c r="F544" s="132" t="n"/>
      <c r="G544" s="133" t="n"/>
      <c r="H544" s="133" t="n"/>
      <c r="I544" s="133" t="n"/>
    </row>
    <row r="545" ht="20.25" customHeight="1" thickBot="1" thickTop="1">
      <c r="A545" s="123" t="inlineStr">
        <is>
          <t>Total Payable</t>
        </is>
      </c>
      <c r="B545" s="70" t="n"/>
      <c r="C545" s="71" t="n"/>
      <c r="D545" s="133">
        <f>SUM(D540:D544)</f>
        <v/>
      </c>
      <c r="E545" s="18" t="n"/>
      <c r="F545" s="72" t="inlineStr">
        <is>
          <t>TOTAL PAYABLE</t>
        </is>
      </c>
      <c r="G545" s="70" t="n"/>
      <c r="H545" s="71" t="n"/>
      <c r="I545" s="133">
        <f>SUM(I540:I544)</f>
        <v/>
      </c>
    </row>
    <row r="546" ht="17.25" customHeight="1" thickBot="1" thickTop="1">
      <c r="A546" s="68" t="n"/>
      <c r="B546" s="18" t="n"/>
      <c r="C546" s="18" t="n"/>
      <c r="D546" s="18" t="n"/>
      <c r="E546" s="18" t="n"/>
      <c r="F546" s="69" t="n"/>
      <c r="G546" s="18" t="n"/>
      <c r="H546" s="18" t="n"/>
      <c r="I546" s="18" t="n"/>
    </row>
    <row r="547" ht="20.25" customHeight="1" thickBot="1" thickTop="1">
      <c r="A547" s="63" t="inlineStr">
        <is>
          <t>NAME</t>
        </is>
      </c>
      <c r="B547" s="64" t="inlineStr">
        <is>
          <t>TEJAJAMJI</t>
        </is>
      </c>
      <c r="C547" s="64" t="inlineStr">
        <is>
          <t>YELMBNDA</t>
        </is>
      </c>
      <c r="D547" s="65" t="n">
        <v>46054</v>
      </c>
      <c r="E547" s="18" t="n"/>
      <c r="F547" s="63" t="inlineStr">
        <is>
          <t>NAME</t>
        </is>
      </c>
      <c r="G547" s="64" t="inlineStr">
        <is>
          <t>MOHANJI</t>
        </is>
      </c>
      <c r="H547" s="64" t="inlineStr">
        <is>
          <t>CHINTAL</t>
        </is>
      </c>
      <c r="I547" s="65" t="n">
        <v>46054</v>
      </c>
    </row>
    <row r="548" ht="20.25" customHeight="1" thickBot="1" thickTop="1">
      <c r="A548" s="132" t="inlineStr">
        <is>
          <t>Month</t>
        </is>
      </c>
      <c r="B548" s="133" t="inlineStr">
        <is>
          <t>Plan</t>
        </is>
      </c>
      <c r="C548" s="133" t="inlineStr">
        <is>
          <t>Commission</t>
        </is>
      </c>
      <c r="D548" s="133" t="inlineStr">
        <is>
          <t>Amount</t>
        </is>
      </c>
      <c r="E548" s="18" t="n"/>
      <c r="F548" s="132" t="inlineStr">
        <is>
          <t>Month</t>
        </is>
      </c>
      <c r="G548" s="133" t="inlineStr">
        <is>
          <t>Plan</t>
        </is>
      </c>
      <c r="H548" s="133" t="inlineStr">
        <is>
          <t>Commission</t>
        </is>
      </c>
      <c r="I548" s="133" t="inlineStr">
        <is>
          <t>Amount</t>
        </is>
      </c>
    </row>
    <row r="549" ht="20.25" customHeight="1" thickBot="1" thickTop="1">
      <c r="A549" s="68" t="n">
        <v>5.1</v>
      </c>
      <c r="B549" s="133" t="n">
        <v>1000000</v>
      </c>
      <c r="C549" s="133">
        <f>VLOOKUP(A549&amp;"|"&amp;B549,$O$3:$P$17,2,FALSE)</f>
        <v/>
      </c>
      <c r="D549" s="133">
        <f>VLOOKUP(A549&amp;"|"&amp;B549,$Q$3:$R$17,2,FALSE)</f>
        <v/>
      </c>
      <c r="E549" s="18" t="n"/>
      <c r="F549" s="69" t="n">
        <v>5.1</v>
      </c>
      <c r="G549" s="133" t="n">
        <v>1000000</v>
      </c>
      <c r="H549" s="133">
        <f>VLOOKUP(F549&amp;"|"&amp;G549,$O$3:$P$17,2,FALSE)</f>
        <v/>
      </c>
      <c r="I549" s="133">
        <f>VLOOKUP(F549&amp;"|"&amp;G549,$Q$3:$R$17,2,FALSE)</f>
        <v/>
      </c>
    </row>
    <row r="550" ht="20.25" customHeight="1" thickBot="1" thickTop="1">
      <c r="A550" s="132" t="n"/>
      <c r="B550" s="133" t="n"/>
      <c r="C550" s="133" t="n"/>
      <c r="D550" s="133" t="n"/>
      <c r="E550" s="18" t="n"/>
      <c r="F550" s="132" t="n"/>
      <c r="G550" s="133" t="n"/>
      <c r="H550" s="133" t="n"/>
      <c r="I550" s="133" t="n"/>
    </row>
    <row r="551" ht="20.25" customHeight="1" thickBot="1" thickTop="1">
      <c r="A551" s="132" t="n"/>
      <c r="B551" s="133" t="n"/>
      <c r="C551" s="133" t="n"/>
      <c r="D551" s="133" t="n"/>
      <c r="E551" s="18" t="n"/>
      <c r="F551" s="132" t="n"/>
      <c r="G551" s="133" t="n"/>
      <c r="H551" s="133" t="n"/>
      <c r="I551" s="133" t="n"/>
    </row>
    <row r="552" ht="20.25" customHeight="1" thickBot="1" thickTop="1">
      <c r="A552" s="132" t="n"/>
      <c r="B552" s="133" t="n"/>
      <c r="C552" s="133" t="n"/>
      <c r="D552" s="133" t="n"/>
      <c r="E552" s="18" t="n"/>
      <c r="F552" s="132" t="n"/>
      <c r="G552" s="133" t="n"/>
      <c r="H552" s="133" t="n"/>
      <c r="I552" s="133" t="n"/>
    </row>
    <row r="553" ht="20.25" customHeight="1" thickBot="1" thickTop="1">
      <c r="A553" s="132" t="n"/>
      <c r="B553" s="133" t="n"/>
      <c r="C553" s="133" t="n"/>
      <c r="D553" s="133" t="n"/>
      <c r="E553" s="18" t="n"/>
      <c r="F553" s="132" t="n"/>
      <c r="G553" s="133" t="n"/>
      <c r="H553" s="133" t="n"/>
      <c r="I553" s="133" t="n"/>
    </row>
    <row r="554" ht="20.25" customHeight="1" thickBot="1" thickTop="1">
      <c r="A554" s="123" t="inlineStr">
        <is>
          <t>Total Payable</t>
        </is>
      </c>
      <c r="B554" s="70" t="n"/>
      <c r="C554" s="71" t="n"/>
      <c r="D554" s="133">
        <f>SUM(D549:D553)</f>
        <v/>
      </c>
      <c r="E554" s="18" t="n"/>
      <c r="F554" s="72" t="inlineStr">
        <is>
          <t>TOTAL PAYABLE</t>
        </is>
      </c>
      <c r="G554" s="70" t="n"/>
      <c r="H554" s="71" t="n"/>
      <c r="I554" s="133">
        <f>SUM(I549:I553)</f>
        <v/>
      </c>
    </row>
    <row r="555" ht="17.25" customHeight="1" thickBot="1" thickTop="1">
      <c r="A555" s="68" t="n"/>
      <c r="B555" s="18" t="n"/>
      <c r="C555" s="18" t="n"/>
      <c r="D555" s="18" t="n"/>
      <c r="E555" s="18" t="n"/>
      <c r="F555" s="69" t="n"/>
      <c r="G555" s="18" t="n"/>
      <c r="H555" s="18" t="n"/>
      <c r="I555" s="18" t="n"/>
    </row>
    <row r="556" ht="20.25" customHeight="1" thickBot="1" thickTop="1">
      <c r="A556" s="63" t="inlineStr">
        <is>
          <t>NAME</t>
        </is>
      </c>
      <c r="B556" s="64" t="inlineStr">
        <is>
          <t>BABULALJI</t>
        </is>
      </c>
      <c r="C556" s="64" t="inlineStr">
        <is>
          <t>RAMARAM</t>
        </is>
      </c>
      <c r="D556" s="65" t="n">
        <v>46054</v>
      </c>
      <c r="E556" s="18" t="n"/>
      <c r="F556" s="63" t="inlineStr">
        <is>
          <t>NAME</t>
        </is>
      </c>
      <c r="G556" s="64" t="inlineStr">
        <is>
          <t>MOHANJI</t>
        </is>
      </c>
      <c r="H556" s="64" t="inlineStr">
        <is>
          <t>AMINPUR</t>
        </is>
      </c>
      <c r="I556" s="65" t="n">
        <v>46054</v>
      </c>
    </row>
    <row r="557" ht="20.25" customHeight="1" thickBot="1" thickTop="1">
      <c r="A557" s="132" t="inlineStr">
        <is>
          <t>Month</t>
        </is>
      </c>
      <c r="B557" s="133" t="inlineStr">
        <is>
          <t>Plan</t>
        </is>
      </c>
      <c r="C557" s="133" t="inlineStr">
        <is>
          <t>Commission</t>
        </is>
      </c>
      <c r="D557" s="133" t="inlineStr">
        <is>
          <t>Amount</t>
        </is>
      </c>
      <c r="E557" s="18" t="n"/>
      <c r="F557" s="132" t="inlineStr">
        <is>
          <t>Month</t>
        </is>
      </c>
      <c r="G557" s="133" t="inlineStr">
        <is>
          <t>Plan</t>
        </is>
      </c>
      <c r="H557" s="133" t="inlineStr">
        <is>
          <t>Commission</t>
        </is>
      </c>
      <c r="I557" s="133" t="inlineStr">
        <is>
          <t>Amount</t>
        </is>
      </c>
    </row>
    <row r="558" ht="20.25" customHeight="1" thickBot="1" thickTop="1">
      <c r="A558" s="68" t="n">
        <v>5.1</v>
      </c>
      <c r="B558" s="133" t="n">
        <v>1000000</v>
      </c>
      <c r="C558" s="133">
        <f>VLOOKUP(A558&amp;"|"&amp;B558,$O$3:$P$17,2,FALSE)</f>
        <v/>
      </c>
      <c r="D558" s="133">
        <f>VLOOKUP(A558&amp;"|"&amp;B558,$Q$3:$R$17,2,FALSE)</f>
        <v/>
      </c>
      <c r="E558" s="18" t="n"/>
      <c r="F558" s="69" t="n">
        <v>5</v>
      </c>
      <c r="G558" s="133" t="n">
        <v>500000</v>
      </c>
      <c r="H558" s="133">
        <f>VLOOKUP(F558&amp;"|"&amp;G558,$O$3:$P$17,2,FALSE)</f>
        <v/>
      </c>
      <c r="I558" s="133">
        <f>VLOOKUP(F558&amp;"|"&amp;G558,$Q$3:$R$17,2,FALSE)</f>
        <v/>
      </c>
    </row>
    <row r="559" ht="20.25" customHeight="1" thickBot="1" thickTop="1">
      <c r="A559" s="132" t="n"/>
      <c r="B559" s="133" t="n"/>
      <c r="C559" s="133" t="n"/>
      <c r="D559" s="133" t="n"/>
      <c r="E559" s="18" t="n"/>
      <c r="F559" s="132" t="n"/>
      <c r="G559" s="133" t="n"/>
      <c r="H559" s="133" t="n"/>
      <c r="I559" s="133" t="n"/>
    </row>
    <row r="560" ht="20.25" customHeight="1" thickBot="1" thickTop="1">
      <c r="A560" s="132" t="n"/>
      <c r="B560" s="133" t="n"/>
      <c r="C560" s="133" t="n"/>
      <c r="D560" s="133" t="n"/>
      <c r="E560" s="18" t="n"/>
      <c r="F560" s="132" t="n"/>
      <c r="G560" s="133" t="n"/>
      <c r="H560" s="133" t="n"/>
      <c r="I560" s="133" t="n"/>
    </row>
    <row r="561" ht="20.25" customHeight="1" thickBot="1" thickTop="1">
      <c r="A561" s="132" t="n"/>
      <c r="B561" s="133" t="n"/>
      <c r="C561" s="133" t="n"/>
      <c r="D561" s="133" t="n"/>
      <c r="E561" s="18" t="n"/>
      <c r="F561" s="132" t="n"/>
      <c r="G561" s="133" t="n"/>
      <c r="H561" s="133" t="n"/>
      <c r="I561" s="133" t="n"/>
    </row>
    <row r="562" ht="20.25" customHeight="1" thickBot="1" thickTop="1">
      <c r="A562" s="132" t="n"/>
      <c r="B562" s="133" t="n"/>
      <c r="C562" s="133" t="n"/>
      <c r="D562" s="133" t="n"/>
      <c r="E562" s="18" t="n"/>
      <c r="F562" s="132" t="n"/>
      <c r="G562" s="133" t="n"/>
      <c r="H562" s="133" t="n"/>
      <c r="I562" s="133" t="n"/>
    </row>
    <row r="563" ht="20.25" customHeight="1" thickBot="1" thickTop="1">
      <c r="A563" s="123" t="inlineStr">
        <is>
          <t>Total Payable</t>
        </is>
      </c>
      <c r="B563" s="70" t="n"/>
      <c r="C563" s="71" t="n"/>
      <c r="D563" s="133">
        <f>SUM(D558:D562)</f>
        <v/>
      </c>
      <c r="E563" s="18" t="n"/>
      <c r="F563" s="72" t="inlineStr">
        <is>
          <t>TOTAL PAYABLE</t>
        </is>
      </c>
      <c r="G563" s="70" t="n"/>
      <c r="H563" s="71" t="n"/>
      <c r="I563" s="133">
        <f>SUM(I558:I562)</f>
        <v/>
      </c>
    </row>
    <row r="564" ht="17.25" customHeight="1" thickBot="1" thickTop="1">
      <c r="A564" s="68" t="n"/>
      <c r="B564" s="18" t="n"/>
      <c r="C564" s="18" t="n"/>
      <c r="D564" s="18" t="n"/>
      <c r="E564" s="18" t="n"/>
      <c r="F564" s="69" t="n"/>
      <c r="G564" s="18" t="n"/>
      <c r="H564" s="18" t="n"/>
      <c r="I564" s="18" t="n"/>
    </row>
    <row r="565" ht="20.25" customHeight="1" thickBot="1" thickTop="1">
      <c r="A565" s="63" t="inlineStr">
        <is>
          <t>NAME</t>
        </is>
      </c>
      <c r="B565" s="64" t="inlineStr">
        <is>
          <t>PUNAMJI</t>
        </is>
      </c>
      <c r="C565" s="64" t="inlineStr">
        <is>
          <t>BADURPLY</t>
        </is>
      </c>
      <c r="D565" s="65" t="n">
        <v>46054</v>
      </c>
      <c r="E565" s="18" t="n"/>
      <c r="F565" s="63" t="inlineStr">
        <is>
          <t>NAME</t>
        </is>
      </c>
      <c r="G565" s="64" t="inlineStr">
        <is>
          <t>PRAHLAD</t>
        </is>
      </c>
      <c r="H565" s="64" t="inlineStr">
        <is>
          <t>GUTTA</t>
        </is>
      </c>
      <c r="I565" s="65" t="n">
        <v>46054</v>
      </c>
    </row>
    <row r="566" ht="20.25" customHeight="1" thickBot="1" thickTop="1">
      <c r="A566" s="132" t="inlineStr">
        <is>
          <t>Month</t>
        </is>
      </c>
      <c r="B566" s="133" t="inlineStr">
        <is>
          <t>Plan</t>
        </is>
      </c>
      <c r="C566" s="133" t="inlineStr">
        <is>
          <t>Commission</t>
        </is>
      </c>
      <c r="D566" s="133" t="inlineStr">
        <is>
          <t>Amount</t>
        </is>
      </c>
      <c r="E566" s="18" t="n"/>
      <c r="F566" s="132" t="inlineStr">
        <is>
          <t>Month</t>
        </is>
      </c>
      <c r="G566" s="133" t="inlineStr">
        <is>
          <t>Plan</t>
        </is>
      </c>
      <c r="H566" s="133" t="inlineStr">
        <is>
          <t>Commission</t>
        </is>
      </c>
      <c r="I566" s="133" t="inlineStr">
        <is>
          <t>Amount</t>
        </is>
      </c>
    </row>
    <row r="567" ht="20.25" customHeight="1" thickBot="1" thickTop="1">
      <c r="A567" s="68" t="n">
        <v>5</v>
      </c>
      <c r="B567" s="133" t="n">
        <v>500000</v>
      </c>
      <c r="C567" s="133">
        <f>VLOOKUP(A567&amp;"|"&amp;B567,$O$3:$P$17,2,FALSE)</f>
        <v/>
      </c>
      <c r="D567" s="133">
        <f>VLOOKUP(A567&amp;"|"&amp;B567,$Q$3:$R$17,2,FALSE)</f>
        <v/>
      </c>
      <c r="E567" s="18" t="n"/>
      <c r="F567" s="68" t="n">
        <v>1</v>
      </c>
      <c r="G567" s="133" t="n">
        <v>500000</v>
      </c>
      <c r="H567" s="133">
        <f>VLOOKUP(F567&amp;"|"&amp;G567,$O$3:$P$17,2,FALSE)</f>
        <v/>
      </c>
      <c r="I567" s="133">
        <f>VLOOKUP(F567&amp;"|"&amp;G567,$Q$3:$R$17,2,FALSE)</f>
        <v/>
      </c>
    </row>
    <row r="568" ht="20.25" customHeight="1" thickBot="1" thickTop="1">
      <c r="A568" s="132" t="n"/>
      <c r="B568" s="133" t="n"/>
      <c r="C568" s="133" t="n"/>
      <c r="D568" s="133" t="n"/>
      <c r="E568" s="18" t="n"/>
      <c r="F568" s="132" t="n"/>
      <c r="G568" s="133" t="n"/>
      <c r="H568" s="133" t="n"/>
      <c r="I568" s="133" t="n"/>
    </row>
    <row r="569" ht="20.25" customHeight="1" thickBot="1" thickTop="1">
      <c r="A569" s="132" t="n"/>
      <c r="B569" s="133" t="n"/>
      <c r="C569" s="133" t="n"/>
      <c r="D569" s="133" t="n"/>
      <c r="E569" s="18" t="n"/>
      <c r="F569" s="132" t="n"/>
      <c r="G569" s="133" t="n"/>
      <c r="H569" s="133" t="n"/>
      <c r="I569" s="133" t="n"/>
    </row>
    <row r="570" ht="20.25" customHeight="1" thickBot="1" thickTop="1">
      <c r="A570" s="132" t="n"/>
      <c r="B570" s="133" t="n"/>
      <c r="C570" s="133" t="n"/>
      <c r="D570" s="133" t="n"/>
      <c r="E570" s="18" t="n"/>
      <c r="F570" s="132" t="n"/>
      <c r="G570" s="133" t="n"/>
      <c r="H570" s="133" t="n"/>
      <c r="I570" s="133" t="n"/>
    </row>
    <row r="571" ht="20.25" customHeight="1" thickBot="1" thickTop="1">
      <c r="A571" s="132" t="n"/>
      <c r="B571" s="133" t="n"/>
      <c r="C571" s="133" t="n"/>
      <c r="D571" s="133" t="n"/>
      <c r="E571" s="18" t="n"/>
      <c r="F571" s="132" t="n"/>
      <c r="G571" s="133" t="n"/>
      <c r="H571" s="133" t="n"/>
      <c r="I571" s="133" t="n"/>
    </row>
    <row r="572" ht="20.25" customHeight="1" thickBot="1" thickTop="1">
      <c r="A572" s="123" t="inlineStr">
        <is>
          <t>Total Payable</t>
        </is>
      </c>
      <c r="B572" s="70" t="n"/>
      <c r="C572" s="71" t="n"/>
      <c r="D572" s="133">
        <f>SUM(D567:D571)</f>
        <v/>
      </c>
      <c r="E572" s="18" t="n"/>
      <c r="F572" s="123" t="inlineStr">
        <is>
          <t>Total Payable</t>
        </is>
      </c>
      <c r="G572" s="70" t="n"/>
      <c r="H572" s="71" t="n"/>
      <c r="I572" s="133">
        <f>SUM(I567:I571)</f>
        <v/>
      </c>
    </row>
    <row r="573" ht="17.25" customHeight="1" thickBot="1" thickTop="1">
      <c r="A573" s="68" t="n"/>
      <c r="B573" s="18" t="n"/>
      <c r="C573" s="18" t="n"/>
      <c r="D573" s="18" t="n"/>
      <c r="E573" s="18" t="n"/>
      <c r="F573" s="69" t="n"/>
      <c r="G573" s="18" t="n"/>
      <c r="H573" s="18" t="n"/>
      <c r="I573" s="18" t="n"/>
    </row>
    <row r="574" ht="20.25" customHeight="1" thickBot="1" thickTop="1">
      <c r="A574" s="63" t="inlineStr">
        <is>
          <t>NAME</t>
        </is>
      </c>
      <c r="B574" s="64" t="inlineStr">
        <is>
          <t>DINESHJI BOOK</t>
        </is>
      </c>
      <c r="C574" s="64" t="inlineStr">
        <is>
          <t>GUTTA</t>
        </is>
      </c>
      <c r="D574" s="65" t="n">
        <v>46054</v>
      </c>
      <c r="E574" s="18" t="n"/>
    </row>
    <row r="575" ht="20.25" customHeight="1" thickBot="1" thickTop="1">
      <c r="A575" s="132" t="inlineStr">
        <is>
          <t>Month</t>
        </is>
      </c>
      <c r="B575" s="133" t="inlineStr">
        <is>
          <t>Plan</t>
        </is>
      </c>
      <c r="C575" s="133" t="inlineStr">
        <is>
          <t>Commission</t>
        </is>
      </c>
      <c r="D575" s="133" t="inlineStr">
        <is>
          <t>Amount</t>
        </is>
      </c>
      <c r="E575" s="18" t="n"/>
    </row>
    <row r="576" ht="20.25" customHeight="1" thickBot="1" thickTop="1">
      <c r="A576" s="68" t="n">
        <v>1</v>
      </c>
      <c r="B576" s="133" t="n">
        <v>500000</v>
      </c>
      <c r="C576" s="133">
        <f>VLOOKUP(A576&amp;"|"&amp;B576,$O$3:$P$17,2,FALSE)</f>
        <v/>
      </c>
      <c r="D576" s="133">
        <f>VLOOKUP(A576&amp;"|"&amp;B576,$Q$3:$R$17,2,FALSE)</f>
        <v/>
      </c>
      <c r="E576" s="18" t="n"/>
    </row>
    <row r="577" ht="20.25" customHeight="1" thickBot="1" thickTop="1">
      <c r="A577" s="132" t="n"/>
      <c r="B577" s="133" t="n"/>
      <c r="C577" s="133" t="n"/>
      <c r="D577" s="133" t="n"/>
      <c r="E577" s="18" t="n"/>
    </row>
    <row r="578" ht="20.25" customHeight="1" thickBot="1" thickTop="1">
      <c r="A578" s="132" t="n"/>
      <c r="B578" s="133" t="n"/>
      <c r="C578" s="133" t="n"/>
      <c r="D578" s="133" t="n"/>
      <c r="E578" s="18" t="n"/>
    </row>
    <row r="579" ht="20.25" customHeight="1" thickBot="1" thickTop="1">
      <c r="A579" s="132" t="n"/>
      <c r="B579" s="133" t="n"/>
      <c r="C579" s="133" t="n"/>
      <c r="D579" s="133" t="n"/>
      <c r="E579" s="18" t="n"/>
    </row>
    <row r="580" ht="20.25" customHeight="1" thickBot="1" thickTop="1">
      <c r="A580" s="132" t="n"/>
      <c r="B580" s="133" t="n"/>
      <c r="C580" s="133" t="n"/>
      <c r="D580" s="133" t="n"/>
      <c r="E580" s="18" t="n"/>
    </row>
    <row r="581" ht="20.25" customHeight="1" thickBot="1" thickTop="1">
      <c r="A581" s="123" t="inlineStr">
        <is>
          <t>Total Payable</t>
        </is>
      </c>
      <c r="B581" s="70" t="n"/>
      <c r="C581" s="71" t="n"/>
      <c r="D581" s="133">
        <f>SUM(D576:D580)</f>
        <v/>
      </c>
      <c r="E581" s="18" t="n"/>
    </row>
    <row r="582" ht="15.75" customHeight="1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XFD1048576"/>
    </sheetView>
  </sheetViews>
  <sheetFormatPr baseColWidth="8" defaultRowHeight="15.75"/>
  <cols>
    <col width="9.140625" customWidth="1" style="60" min="1" max="1"/>
    <col width="28.28515625" customWidth="1" min="2" max="2"/>
    <col width="19.5703125" customWidth="1" min="3" max="3"/>
    <col width="13.42578125" customWidth="1" min="4" max="4"/>
    <col width="2.5703125" customWidth="1" min="5" max="5"/>
    <col width="9.140625" customWidth="1" style="26" min="6" max="6"/>
    <col width="22.42578125" customWidth="1" min="7" max="7"/>
    <col width="18.7109375" customWidth="1" min="8" max="8"/>
    <col width="24.28515625" customWidth="1" min="9" max="9"/>
    <col width="1.85546875" customWidth="1" min="10" max="10"/>
    <col width="1.140625" customWidth="1" min="11" max="11"/>
    <col width="8.140625" customWidth="1" min="12" max="12"/>
    <col width="11.28515625" customWidth="1" min="13" max="13"/>
    <col width="11.5703125" customWidth="1" min="14" max="14"/>
    <col width="11.28515625" customWidth="1" min="15" max="15"/>
    <col width="12.85546875" customWidth="1" min="16" max="16"/>
    <col width="13.28515625" customWidth="1" min="17" max="17"/>
    <col width="13.7109375" customWidth="1" min="18" max="18"/>
    <col width="1.42578125" customWidth="1" min="19" max="19"/>
    <col width="11.5703125" customWidth="1" min="20" max="20"/>
    <col width="15.28515625" customWidth="1" min="21" max="21"/>
    <col width="13.42578125" customWidth="1" min="22" max="22"/>
    <col width="1.42578125" customWidth="1" min="23" max="23"/>
    <col width="11.7109375" customWidth="1" min="24" max="24"/>
    <col width="15.28515625" customWidth="1" min="25" max="25"/>
    <col width="15.42578125" customWidth="1" min="26" max="26"/>
  </cols>
  <sheetData>
    <row r="1" ht="20.25" customHeight="1" thickBot="1" thickTop="1">
      <c r="A1" s="115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46026</v>
      </c>
      <c r="E1" s="91" t="n"/>
      <c r="F1" s="11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46026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T1" s="18" t="n"/>
      <c r="U1" s="18" t="n"/>
      <c r="V1" s="19" t="inlineStr">
        <is>
          <t>Date  :   07-dec-2025</t>
        </is>
      </c>
      <c r="W1" s="18" t="n"/>
      <c r="X1" s="18" t="n"/>
      <c r="Y1" s="18" t="n"/>
      <c r="Z1" s="18" t="n"/>
    </row>
    <row r="2" ht="25.5" customHeight="1" thickBot="1" thickTop="1">
      <c r="A2" s="115" t="inlineStr">
        <is>
          <t>Month</t>
        </is>
      </c>
      <c r="B2" s="90" t="inlineStr">
        <is>
          <t>SOHANJI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116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34" t="inlineStr">
        <is>
          <t>AMOUNT</t>
        </is>
      </c>
      <c r="U2" s="134" t="inlineStr">
        <is>
          <t xml:space="preserve"> NAME</t>
        </is>
      </c>
      <c r="V2" s="134" t="inlineStr">
        <is>
          <t>AREA</t>
        </is>
      </c>
      <c r="W2" s="18" t="n"/>
      <c r="X2" s="134" t="inlineStr">
        <is>
          <t>AMOUNT</t>
        </is>
      </c>
      <c r="Y2" s="134" t="inlineStr">
        <is>
          <t>NAME</t>
        </is>
      </c>
      <c r="Z2" s="134" t="inlineStr">
        <is>
          <t>AREA</t>
        </is>
      </c>
    </row>
    <row r="3" ht="20.25" customHeight="1" thickBot="1" thickTop="1">
      <c r="A3" s="115" t="n">
        <v>20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26" t="n">
        <v>20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27" t="n">
        <v>14</v>
      </c>
      <c r="M3" s="117" t="n">
        <v>500000</v>
      </c>
      <c r="N3" s="117" t="n">
        <v>18000</v>
      </c>
      <c r="O3" s="117">
        <f>L3&amp;"|"&amp;M3</f>
        <v/>
      </c>
      <c r="P3" s="117">
        <f>N3/20</f>
        <v/>
      </c>
      <c r="Q3" s="117">
        <f>L3&amp;"|"&amp;M3</f>
        <v/>
      </c>
      <c r="R3" s="118">
        <f>(M3-N3)/20</f>
        <v/>
      </c>
      <c r="S3" s="1" t="n"/>
      <c r="T3" s="135">
        <f>D8</f>
        <v/>
      </c>
      <c r="U3" s="135">
        <f>B1</f>
        <v/>
      </c>
      <c r="V3" s="135">
        <f>C1</f>
        <v/>
      </c>
      <c r="W3" s="18" t="n"/>
      <c r="X3" s="135">
        <f>I8</f>
        <v/>
      </c>
      <c r="Y3" s="135">
        <f>G1</f>
        <v/>
      </c>
      <c r="Z3" s="135">
        <f>H1</f>
        <v/>
      </c>
    </row>
    <row r="4" ht="20.25" customHeight="1" thickBot="1" thickTop="1">
      <c r="A4" s="31" t="n">
        <v>9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116" t="n"/>
      <c r="G4" s="97" t="n"/>
      <c r="H4" s="97" t="n"/>
      <c r="I4" s="97" t="n"/>
      <c r="J4" s="92" t="n"/>
      <c r="K4" s="1" t="n"/>
      <c r="L4" s="27" t="n">
        <v>14</v>
      </c>
      <c r="M4" s="117" t="n">
        <v>250000</v>
      </c>
      <c r="N4" s="119" t="n">
        <v>9000</v>
      </c>
      <c r="O4" s="117">
        <f>L4&amp;"|"&amp;M4</f>
        <v/>
      </c>
      <c r="P4" s="117">
        <f>N4/20</f>
        <v/>
      </c>
      <c r="Q4" s="117">
        <f>L4&amp;"|"&amp;M4</f>
        <v/>
      </c>
      <c r="R4" s="118">
        <f>(M4-N4)/20</f>
        <v/>
      </c>
      <c r="S4" s="1" t="n"/>
      <c r="T4" s="135">
        <f>D17</f>
        <v/>
      </c>
      <c r="U4" s="135">
        <f>B10</f>
        <v/>
      </c>
      <c r="V4" s="135">
        <f>C10</f>
        <v/>
      </c>
      <c r="W4" s="18" t="n"/>
      <c r="X4" s="135">
        <f>I17</f>
        <v/>
      </c>
      <c r="Y4" s="135">
        <f>G10</f>
        <v/>
      </c>
      <c r="Z4" s="135">
        <f>H10</f>
        <v/>
      </c>
    </row>
    <row r="5" ht="20.25" customHeight="1" thickBot="1" thickTop="1">
      <c r="A5" s="115" t="n"/>
      <c r="B5" s="90" t="n"/>
      <c r="C5" s="90" t="n"/>
      <c r="D5" s="90" t="n"/>
      <c r="E5" s="91" t="n"/>
      <c r="F5" s="116" t="n"/>
      <c r="G5" s="97" t="n"/>
      <c r="H5" s="97" t="n"/>
      <c r="I5" s="97" t="n"/>
      <c r="J5" s="92" t="n"/>
      <c r="K5" s="1" t="n"/>
      <c r="L5" s="27" t="n">
        <v>9</v>
      </c>
      <c r="M5" s="27" t="n">
        <v>2000000</v>
      </c>
      <c r="N5" s="27" t="n">
        <v>140000</v>
      </c>
      <c r="O5" s="119">
        <f>L5&amp;"|"&amp;M5</f>
        <v/>
      </c>
      <c r="P5" s="117">
        <f>N5/20</f>
        <v/>
      </c>
      <c r="Q5" s="119">
        <f>L5&amp;"|"&amp;M5</f>
        <v/>
      </c>
      <c r="R5" s="118">
        <f>(M5-N5)/20</f>
        <v/>
      </c>
      <c r="S5" s="1" t="n"/>
      <c r="T5" s="135">
        <f>D26</f>
        <v/>
      </c>
      <c r="U5" s="135">
        <f>B19</f>
        <v/>
      </c>
      <c r="V5" s="135">
        <f>C19</f>
        <v/>
      </c>
      <c r="W5" s="18" t="n"/>
      <c r="X5" s="135">
        <f>I26</f>
        <v/>
      </c>
      <c r="Y5" s="135">
        <f>G19</f>
        <v/>
      </c>
      <c r="Z5" s="135">
        <f>H19</f>
        <v/>
      </c>
    </row>
    <row r="6" ht="20.25" customHeight="1" thickBot="1" thickTop="1">
      <c r="A6" s="115" t="n"/>
      <c r="B6" s="90" t="n"/>
      <c r="C6" s="90" t="n"/>
      <c r="D6" s="90" t="n"/>
      <c r="E6" s="91" t="n"/>
      <c r="F6" s="116" t="n"/>
      <c r="G6" s="97" t="n"/>
      <c r="H6" s="97" t="n"/>
      <c r="I6" s="97" t="n"/>
      <c r="J6" s="92" t="n"/>
      <c r="K6" s="1" t="n"/>
      <c r="L6" s="27" t="n">
        <v>9</v>
      </c>
      <c r="M6" s="119" t="n">
        <v>500000</v>
      </c>
      <c r="N6" s="119" t="n">
        <v>40000</v>
      </c>
      <c r="O6" s="119">
        <f>L6&amp;"|"&amp;M6</f>
        <v/>
      </c>
      <c r="P6" s="117">
        <f>N6/20</f>
        <v/>
      </c>
      <c r="Q6" s="119">
        <f>L6&amp;"|"&amp;M6</f>
        <v/>
      </c>
      <c r="R6" s="118">
        <f>(M6-N6)/20</f>
        <v/>
      </c>
      <c r="S6" s="1" t="n"/>
      <c r="T6" s="135">
        <f>D35</f>
        <v/>
      </c>
      <c r="U6" s="135">
        <f>B28</f>
        <v/>
      </c>
      <c r="V6" s="135">
        <f>C28</f>
        <v/>
      </c>
      <c r="W6" s="18" t="n"/>
      <c r="X6" s="135">
        <f>I35</f>
        <v/>
      </c>
      <c r="Y6" s="135">
        <f>G28</f>
        <v/>
      </c>
      <c r="Z6" s="135">
        <f>H28</f>
        <v/>
      </c>
    </row>
    <row r="7" ht="20.25" customHeight="1" thickBot="1" thickTop="1">
      <c r="A7" s="115" t="n"/>
      <c r="B7" s="90" t="n"/>
      <c r="C7" s="90" t="n"/>
      <c r="D7" s="90" t="n"/>
      <c r="E7" s="91" t="n"/>
      <c r="F7" s="116" t="n"/>
      <c r="G7" s="97" t="n"/>
      <c r="H7" s="97" t="n"/>
      <c r="I7" s="97" t="n"/>
      <c r="J7" s="92" t="n"/>
      <c r="K7" s="1" t="n"/>
      <c r="L7" s="27" t="n">
        <v>20.1</v>
      </c>
      <c r="M7" s="119" t="n">
        <v>500000</v>
      </c>
      <c r="N7" s="119" t="n"/>
      <c r="O7" s="119">
        <f>L7&amp;"|"&amp;M7</f>
        <v/>
      </c>
      <c r="P7" s="117">
        <f>N7/20</f>
        <v/>
      </c>
      <c r="Q7" s="117">
        <f>L7&amp;"|"&amp;M7</f>
        <v/>
      </c>
      <c r="R7" s="118">
        <f>(M7-N7)/20</f>
        <v/>
      </c>
      <c r="S7" s="1" t="n"/>
      <c r="T7" s="135">
        <f>D44</f>
        <v/>
      </c>
      <c r="U7" s="135">
        <f>B37</f>
        <v/>
      </c>
      <c r="V7" s="135">
        <f>C37</f>
        <v/>
      </c>
      <c r="W7" s="18" t="n"/>
      <c r="X7" s="135">
        <f>I44</f>
        <v/>
      </c>
      <c r="Y7" s="135">
        <f>G37</f>
        <v/>
      </c>
      <c r="Z7" s="135">
        <f>H37</f>
        <v/>
      </c>
    </row>
    <row r="8" ht="20.25" customHeight="1" thickBot="1" thickTop="1">
      <c r="A8" s="120" t="inlineStr">
        <is>
          <t>Total Payable</t>
        </is>
      </c>
      <c r="B8" s="121" t="n"/>
      <c r="C8" s="122" t="n"/>
      <c r="D8" s="90">
        <f>SUM(D3:D7)</f>
        <v/>
      </c>
      <c r="E8" s="91" t="n"/>
      <c r="F8" s="123" t="inlineStr">
        <is>
          <t>Total Payable</t>
        </is>
      </c>
      <c r="G8" s="124" t="n"/>
      <c r="H8" s="125" t="n"/>
      <c r="I8" s="97">
        <f>SUM(I3:I7)</f>
        <v/>
      </c>
      <c r="J8" s="92" t="n"/>
      <c r="K8" s="1" t="n"/>
      <c r="L8" s="27" t="n">
        <v>20</v>
      </c>
      <c r="M8" s="119" t="n">
        <v>1000000</v>
      </c>
      <c r="N8" s="119" t="n"/>
      <c r="O8" s="119">
        <f>L8&amp;"|"&amp;M8</f>
        <v/>
      </c>
      <c r="P8" s="117">
        <f>N8/20</f>
        <v/>
      </c>
      <c r="Q8" s="119">
        <f>L8&amp;"|"&amp;M8</f>
        <v/>
      </c>
      <c r="R8" s="118">
        <f>(M8-N8)/20</f>
        <v/>
      </c>
      <c r="S8" s="1" t="n"/>
      <c r="T8" s="135">
        <f>D53</f>
        <v/>
      </c>
      <c r="U8" s="135">
        <f>B46</f>
        <v/>
      </c>
      <c r="V8" s="135">
        <f>C46</f>
        <v/>
      </c>
      <c r="W8" s="18" t="n"/>
      <c r="X8" s="135">
        <f>I53</f>
        <v/>
      </c>
      <c r="Y8" s="135">
        <f>G46</f>
        <v/>
      </c>
      <c r="Z8" s="135">
        <f>H46</f>
        <v/>
      </c>
    </row>
    <row r="9" ht="20.25" customHeight="1" thickBot="1" thickTop="1">
      <c r="A9" s="126" t="n"/>
      <c r="B9" s="110" t="n"/>
      <c r="C9" s="109" t="n"/>
      <c r="D9" s="109" t="n"/>
      <c r="E9" s="111" t="n"/>
      <c r="F9" s="127" t="n"/>
      <c r="G9" s="111" t="n"/>
      <c r="H9" s="111" t="n"/>
      <c r="I9" s="111" t="n"/>
      <c r="J9" s="92" t="n"/>
      <c r="K9" s="1" t="n"/>
      <c r="L9" s="27" t="n">
        <v>20.1</v>
      </c>
      <c r="M9" s="119" t="n">
        <v>1000000</v>
      </c>
      <c r="N9" s="119" t="n"/>
      <c r="O9" s="119">
        <f>L9&amp;"|"&amp;M9</f>
        <v/>
      </c>
      <c r="P9" s="117">
        <f>N9/20</f>
        <v/>
      </c>
      <c r="Q9" s="119">
        <f>L9&amp;"|"&amp;M9</f>
        <v/>
      </c>
      <c r="R9" s="118">
        <f>(M9-N9)/20</f>
        <v/>
      </c>
      <c r="S9" s="1" t="n"/>
      <c r="T9" s="135">
        <f>D62</f>
        <v/>
      </c>
      <c r="U9" s="135">
        <f>B55</f>
        <v/>
      </c>
      <c r="V9" s="135">
        <f>C55</f>
        <v/>
      </c>
      <c r="W9" s="18" t="n"/>
      <c r="X9" s="135">
        <f>I62</f>
        <v/>
      </c>
      <c r="Y9" s="135">
        <f>G55</f>
        <v/>
      </c>
      <c r="Z9" s="135">
        <f>H55</f>
        <v/>
      </c>
    </row>
    <row r="10" ht="20.25" customHeight="1" thickBot="1" thickTop="1">
      <c r="A10" s="116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46026</v>
      </c>
      <c r="E10" s="91" t="n"/>
      <c r="F10" s="116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46026</v>
      </c>
      <c r="J10" s="112" t="n"/>
      <c r="K10" s="1" t="n"/>
      <c r="L10" s="27" t="n">
        <v>17</v>
      </c>
      <c r="M10" s="119" t="n">
        <v>500000</v>
      </c>
      <c r="N10" s="119" t="n">
        <v>8000</v>
      </c>
      <c r="O10" s="119">
        <f>L10&amp;"|"&amp;M10</f>
        <v/>
      </c>
      <c r="P10" s="117">
        <f>N10/20</f>
        <v/>
      </c>
      <c r="Q10" s="119">
        <f>L10&amp;"|"&amp;M10</f>
        <v/>
      </c>
      <c r="R10" s="118">
        <f>(M10-N10)/20</f>
        <v/>
      </c>
      <c r="S10" s="1" t="n"/>
      <c r="T10" s="135">
        <f>D71</f>
        <v/>
      </c>
      <c r="U10" s="135">
        <f>B64</f>
        <v/>
      </c>
      <c r="V10" s="135">
        <f>C64</f>
        <v/>
      </c>
      <c r="W10" s="18" t="n"/>
      <c r="X10" s="135">
        <f>I71</f>
        <v/>
      </c>
      <c r="Y10" s="135">
        <f>G64</f>
        <v/>
      </c>
      <c r="Z10" s="135">
        <f>H64</f>
        <v/>
      </c>
    </row>
    <row r="11" ht="20.25" customHeight="1" thickBot="1" thickTop="1">
      <c r="A11" s="116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116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27" t="n">
        <v>4</v>
      </c>
      <c r="M11" s="119" t="n">
        <v>500000</v>
      </c>
      <c r="N11" s="119" t="n">
        <v>65000</v>
      </c>
      <c r="O11" s="119">
        <f>L11&amp;"|"&amp;M11</f>
        <v/>
      </c>
      <c r="P11" s="117">
        <f>N11/20</f>
        <v/>
      </c>
      <c r="Q11" s="119">
        <f>L11&amp;"|"&amp;M11</f>
        <v/>
      </c>
      <c r="R11" s="118">
        <f>(M11-N11)/20</f>
        <v/>
      </c>
      <c r="S11" s="1" t="n"/>
      <c r="T11" s="135">
        <f>D85</f>
        <v/>
      </c>
      <c r="U11" s="135">
        <f>B73</f>
        <v/>
      </c>
      <c r="V11" s="135">
        <f>C73</f>
        <v/>
      </c>
      <c r="W11" s="18" t="n"/>
      <c r="X11" s="135">
        <f>I85</f>
        <v/>
      </c>
      <c r="Y11" s="135">
        <f>G73</f>
        <v/>
      </c>
      <c r="Z11" s="135">
        <f>H73</f>
        <v/>
      </c>
    </row>
    <row r="12" ht="20.25" customHeight="1" thickBot="1" thickTop="1">
      <c r="A12" s="31" t="n">
        <v>20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26" t="n">
        <v>20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27" t="n">
        <v>4</v>
      </c>
      <c r="M12" s="119" t="n">
        <v>1000000</v>
      </c>
      <c r="N12" s="119" t="n">
        <v>155000</v>
      </c>
      <c r="O12" s="119">
        <f>L12&amp;"|"&amp;M12</f>
        <v/>
      </c>
      <c r="P12" s="117">
        <f>N12/20</f>
        <v/>
      </c>
      <c r="Q12" s="119">
        <f>L12&amp;"|"&amp;M12</f>
        <v/>
      </c>
      <c r="R12" s="118">
        <f>(M12-N12)/20</f>
        <v/>
      </c>
      <c r="S12" s="1" t="n"/>
      <c r="T12" s="135">
        <f>D94</f>
        <v/>
      </c>
      <c r="U12" s="135">
        <f>B87</f>
        <v/>
      </c>
      <c r="V12" s="135">
        <f>C87</f>
        <v/>
      </c>
      <c r="W12" s="18" t="n"/>
      <c r="X12" s="135">
        <f>I94</f>
        <v/>
      </c>
      <c r="Y12" s="135">
        <f>G87</f>
        <v/>
      </c>
      <c r="Z12" s="135">
        <f>H87</f>
        <v/>
      </c>
    </row>
    <row r="13" ht="20.25" customHeight="1" thickBot="1" thickTop="1">
      <c r="A13" s="116" t="n"/>
      <c r="B13" s="97" t="n"/>
      <c r="C13" s="97" t="n"/>
      <c r="D13" s="97" t="n"/>
      <c r="E13" s="91" t="n"/>
      <c r="F13" s="116" t="n"/>
      <c r="G13" s="97" t="n"/>
      <c r="H13" s="97" t="n"/>
      <c r="I13" s="97" t="n"/>
      <c r="J13" s="92" t="n"/>
      <c r="K13" s="1" t="n"/>
      <c r="L13" s="27" t="n">
        <v>4.1</v>
      </c>
      <c r="M13" s="27" t="n">
        <v>1000000</v>
      </c>
      <c r="N13" s="27" t="n">
        <v>154000</v>
      </c>
      <c r="O13" s="119">
        <f>L13&amp;"|"&amp;M13</f>
        <v/>
      </c>
      <c r="P13" s="117">
        <f>N13/20</f>
        <v/>
      </c>
      <c r="Q13" s="119">
        <f>L13&amp;"|"&amp;M13</f>
        <v/>
      </c>
      <c r="R13" s="118">
        <f>(M13-N13)/20</f>
        <v/>
      </c>
      <c r="S13" s="1" t="n"/>
      <c r="T13" s="135">
        <f>D103</f>
        <v/>
      </c>
      <c r="U13" s="135">
        <f>B96</f>
        <v/>
      </c>
      <c r="V13" s="135">
        <f>C96</f>
        <v/>
      </c>
      <c r="W13" s="18" t="n"/>
      <c r="X13" s="135">
        <f>I103</f>
        <v/>
      </c>
      <c r="Y13" s="135">
        <f>G96</f>
        <v/>
      </c>
      <c r="Z13" s="135">
        <f>H96</f>
        <v/>
      </c>
    </row>
    <row r="14" ht="20.25" customHeight="1" thickBot="1" thickTop="1">
      <c r="A14" s="116" t="n"/>
      <c r="B14" s="97" t="n"/>
      <c r="C14" s="97" t="n"/>
      <c r="D14" s="97" t="n"/>
      <c r="E14" s="91" t="n"/>
      <c r="F14" s="116" t="n"/>
      <c r="G14" s="97" t="n"/>
      <c r="H14" s="97" t="n"/>
      <c r="I14" s="97" t="n"/>
      <c r="J14" s="92" t="inlineStr">
        <is>
          <t> </t>
        </is>
      </c>
      <c r="K14" s="1" t="n"/>
      <c r="L14" s="27" t="n">
        <v>9</v>
      </c>
      <c r="M14" s="119" t="n">
        <v>1000000</v>
      </c>
      <c r="N14" s="119" t="n">
        <v>65000</v>
      </c>
      <c r="O14" s="119">
        <f>L14&amp;"|"&amp;M14</f>
        <v/>
      </c>
      <c r="P14" s="117">
        <f>N14/20</f>
        <v/>
      </c>
      <c r="Q14" s="119">
        <f>L14&amp;"|"&amp;M14</f>
        <v/>
      </c>
      <c r="R14" s="118">
        <f>(M14-N14)/20</f>
        <v/>
      </c>
      <c r="S14" s="1" t="n"/>
      <c r="T14" s="135">
        <f>D112</f>
        <v/>
      </c>
      <c r="U14" s="135">
        <f>B105</f>
        <v/>
      </c>
      <c r="V14" s="135">
        <f>C105</f>
        <v/>
      </c>
      <c r="W14" s="18" t="n"/>
      <c r="X14" s="135">
        <f>I112</f>
        <v/>
      </c>
      <c r="Y14" s="135">
        <f>G105</f>
        <v/>
      </c>
      <c r="Z14" s="135">
        <f>H105</f>
        <v/>
      </c>
    </row>
    <row r="15" ht="20.25" customHeight="1" thickBot="1" thickTop="1">
      <c r="A15" s="116" t="n"/>
      <c r="B15" s="97" t="n"/>
      <c r="C15" s="97" t="n"/>
      <c r="D15" s="97" t="n"/>
      <c r="E15" s="91" t="n"/>
      <c r="F15" s="116" t="n"/>
      <c r="G15" s="97" t="n"/>
      <c r="H15" s="97" t="n"/>
      <c r="I15" s="97" t="n"/>
      <c r="J15" s="92" t="n"/>
      <c r="K15" s="1" t="n"/>
      <c r="L15" s="27" t="n">
        <v>20</v>
      </c>
      <c r="M15" s="119" t="n">
        <v>500000</v>
      </c>
      <c r="N15" s="119" t="n"/>
      <c r="O15" s="119">
        <f>L15&amp;"|"&amp;M15</f>
        <v/>
      </c>
      <c r="P15" s="117">
        <f>N15/20</f>
        <v/>
      </c>
      <c r="Q15" s="119">
        <f>L15&amp;"|"&amp;M15</f>
        <v/>
      </c>
      <c r="R15" s="118">
        <f>(M15-N15)/20</f>
        <v/>
      </c>
      <c r="S15" s="1" t="n"/>
      <c r="T15" s="135">
        <f>D121</f>
        <v/>
      </c>
      <c r="U15" s="135">
        <f>B114</f>
        <v/>
      </c>
      <c r="V15" s="135">
        <f>C114</f>
        <v/>
      </c>
      <c r="W15" s="18" t="n"/>
      <c r="X15" s="135">
        <f>I121</f>
        <v/>
      </c>
      <c r="Y15" s="135">
        <f>G114</f>
        <v/>
      </c>
      <c r="Z15" s="135">
        <f>H114</f>
        <v/>
      </c>
    </row>
    <row r="16" ht="20.25" customHeight="1" thickBot="1" thickTop="1">
      <c r="A16" s="116" t="n"/>
      <c r="B16" s="97" t="n"/>
      <c r="C16" s="97" t="n"/>
      <c r="D16" s="97" t="n"/>
      <c r="E16" s="2" t="n"/>
      <c r="F16" s="116" t="n"/>
      <c r="G16" s="97" t="n"/>
      <c r="H16" s="97" t="n"/>
      <c r="I16" s="97" t="n"/>
      <c r="J16" s="92" t="n"/>
      <c r="K16" s="1" t="n"/>
      <c r="L16" s="27" t="n">
        <v>9.1</v>
      </c>
      <c r="M16" s="117" t="n">
        <v>1000000</v>
      </c>
      <c r="N16" s="119" t="n">
        <v>70000</v>
      </c>
      <c r="O16" s="119">
        <f>L16&amp;"|"&amp;M16</f>
        <v/>
      </c>
      <c r="P16" s="117">
        <f>N16/20</f>
        <v/>
      </c>
      <c r="Q16" s="119">
        <f>L16&amp;"|"&amp;M16</f>
        <v/>
      </c>
      <c r="R16" s="118">
        <f>(M16-N16)/20</f>
        <v/>
      </c>
      <c r="S16" s="1" t="n"/>
      <c r="T16" s="135">
        <f>D130</f>
        <v/>
      </c>
      <c r="U16" s="135">
        <f>B123</f>
        <v/>
      </c>
      <c r="V16" s="135">
        <f>C123</f>
        <v/>
      </c>
      <c r="W16" s="18" t="n"/>
      <c r="X16" s="135">
        <f>I130</f>
        <v/>
      </c>
      <c r="Y16" s="135">
        <f>G123</f>
        <v/>
      </c>
      <c r="Z16" s="135">
        <f>H123</f>
        <v/>
      </c>
    </row>
    <row r="17" ht="20.25" customHeight="1" thickBot="1" thickTop="1">
      <c r="A17" s="123" t="inlineStr">
        <is>
          <t>Total Payable</t>
        </is>
      </c>
      <c r="B17" s="124" t="n"/>
      <c r="C17" s="125" t="n"/>
      <c r="D17" s="90">
        <f>SUM(D12:D16)</f>
        <v/>
      </c>
      <c r="E17" s="2" t="n"/>
      <c r="F17" s="123" t="inlineStr">
        <is>
          <t>Total Payable</t>
        </is>
      </c>
      <c r="G17" s="124" t="n"/>
      <c r="H17" s="125" t="n"/>
      <c r="I17" s="97">
        <f>SUM(I12:I16)</f>
        <v/>
      </c>
      <c r="J17" s="92" t="n"/>
      <c r="K17" s="1" t="n"/>
      <c r="L17" s="1" t="n"/>
      <c r="M17" s="1" t="n"/>
      <c r="N17" s="1" t="n"/>
      <c r="O17" s="106" t="n"/>
      <c r="P17" s="102" t="n"/>
      <c r="Q17" s="106" t="n"/>
      <c r="R17" s="104" t="n"/>
      <c r="S17" s="1" t="n"/>
      <c r="T17" s="135">
        <f>D139</f>
        <v/>
      </c>
      <c r="U17" s="135">
        <f>B132</f>
        <v/>
      </c>
      <c r="V17" s="135">
        <f>C132</f>
        <v/>
      </c>
      <c r="W17" s="18" t="n"/>
      <c r="X17" s="135">
        <f>I139</f>
        <v/>
      </c>
      <c r="Y17" s="135">
        <f>G132</f>
        <v/>
      </c>
      <c r="Z17" s="135">
        <f>H132</f>
        <v/>
      </c>
    </row>
    <row r="18" ht="20.25" customHeight="1" thickBot="1" thickTop="1">
      <c r="A18" s="31" t="n"/>
      <c r="B18" s="3" t="n"/>
      <c r="C18" s="3" t="n"/>
      <c r="D18" s="3" t="n"/>
      <c r="E18" s="3" t="n"/>
      <c r="F18" s="127" t="n"/>
      <c r="G18" s="111" t="n"/>
      <c r="H18" s="111" t="n"/>
      <c r="I18" s="111" t="n"/>
      <c r="J18" s="92" t="n"/>
      <c r="K18" s="1" t="n"/>
      <c r="L18" s="1" t="n">
        <v>20</v>
      </c>
      <c r="M18" s="1" t="n">
        <v>250000</v>
      </c>
      <c r="N18" s="1" t="n"/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35">
        <f>D148</f>
        <v/>
      </c>
      <c r="U18" s="135">
        <f>B141</f>
        <v/>
      </c>
      <c r="V18" s="135">
        <f>C141</f>
        <v/>
      </c>
      <c r="W18" s="18" t="n"/>
      <c r="X18" s="135">
        <f>I148</f>
        <v/>
      </c>
      <c r="Y18" s="135">
        <f>G141</f>
        <v/>
      </c>
      <c r="Z18" s="135">
        <f>H141</f>
        <v/>
      </c>
    </row>
    <row r="19" ht="20.25" customHeight="1" thickBot="1" thickTop="1">
      <c r="A19" s="116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46026</v>
      </c>
      <c r="E19" s="2" t="n"/>
      <c r="F19" s="116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46026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35">
        <f>D157</f>
        <v/>
      </c>
      <c r="U19" s="135">
        <f>B150</f>
        <v/>
      </c>
      <c r="V19" s="135">
        <f>C150</f>
        <v/>
      </c>
      <c r="W19" s="18" t="n"/>
      <c r="X19" s="135">
        <f>I157</f>
        <v/>
      </c>
      <c r="Y19" s="135">
        <f>G150</f>
        <v/>
      </c>
      <c r="Z19" s="135">
        <f>H150</f>
        <v/>
      </c>
    </row>
    <row r="20" ht="20.25" customHeight="1" thickBot="1" thickTop="1">
      <c r="A20" s="116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116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35">
        <f>D166</f>
        <v/>
      </c>
      <c r="U20" s="135">
        <f>B159</f>
        <v/>
      </c>
      <c r="V20" s="135">
        <f>C159</f>
        <v/>
      </c>
      <c r="W20" s="18" t="n"/>
      <c r="X20" s="135">
        <f>I166</f>
        <v/>
      </c>
      <c r="Y20" s="135">
        <f>G159</f>
        <v/>
      </c>
      <c r="Z20" s="135">
        <f>H159</f>
        <v/>
      </c>
    </row>
    <row r="21" ht="20.25" customHeight="1" thickBot="1" thickTop="1">
      <c r="A21" s="116" t="n">
        <v>20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26" t="n">
        <v>20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35">
        <f>D175</f>
        <v/>
      </c>
      <c r="U21" s="135">
        <f>B168</f>
        <v/>
      </c>
      <c r="V21" s="135">
        <f>C168</f>
        <v/>
      </c>
      <c r="W21" s="18" t="n"/>
      <c r="X21" s="135">
        <f>I175</f>
        <v/>
      </c>
      <c r="Y21" s="135">
        <f>G168</f>
        <v/>
      </c>
      <c r="Z21" s="135">
        <f>H168</f>
        <v/>
      </c>
    </row>
    <row r="22" ht="20.25" customHeight="1" thickBot="1" thickTop="1">
      <c r="A22" s="116" t="n">
        <v>9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26" t="n">
        <v>20.1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35">
        <f>D184</f>
        <v/>
      </c>
      <c r="U22" s="135">
        <f>B177</f>
        <v/>
      </c>
      <c r="V22" s="135">
        <f>C177</f>
        <v/>
      </c>
      <c r="W22" s="18" t="n"/>
      <c r="X22" s="135">
        <f>I184</f>
        <v/>
      </c>
      <c r="Y22" s="135">
        <f>G177</f>
        <v/>
      </c>
      <c r="Z22" s="135">
        <f>H177</f>
        <v/>
      </c>
    </row>
    <row r="23" ht="20.25" customHeight="1" thickBot="1" thickTop="1">
      <c r="A23" s="116" t="n"/>
      <c r="B23" s="97" t="n"/>
      <c r="C23" s="97" t="n"/>
      <c r="D23" s="97" t="n"/>
      <c r="E23" s="2" t="n"/>
      <c r="F23" s="26" t="n">
        <v>20.1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35">
        <f>D193</f>
        <v/>
      </c>
      <c r="U23" s="135">
        <f>B186</f>
        <v/>
      </c>
      <c r="V23" s="135">
        <f>C186</f>
        <v/>
      </c>
      <c r="W23" s="18" t="n"/>
      <c r="X23" s="135">
        <f>I193</f>
        <v/>
      </c>
      <c r="Y23" s="135">
        <f>G186</f>
        <v/>
      </c>
      <c r="Z23" s="135">
        <f>H186</f>
        <v/>
      </c>
    </row>
    <row r="24" ht="20.25" customHeight="1" thickBot="1" thickTop="1">
      <c r="A24" s="116" t="n"/>
      <c r="B24" s="97" t="n"/>
      <c r="C24" s="97" t="n"/>
      <c r="D24" s="97" t="n"/>
      <c r="E24" s="2" t="n"/>
      <c r="F24" s="116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35">
        <f>D202</f>
        <v/>
      </c>
      <c r="U24" s="135">
        <f>B195</f>
        <v/>
      </c>
      <c r="V24" s="135">
        <f>C195</f>
        <v/>
      </c>
      <c r="W24" s="18" t="n"/>
      <c r="X24" s="135">
        <f>I202</f>
        <v/>
      </c>
      <c r="Y24" s="135">
        <f>G195</f>
        <v/>
      </c>
      <c r="Z24" s="135">
        <f>H195</f>
        <v/>
      </c>
    </row>
    <row r="25" ht="20.25" customHeight="1" thickBot="1" thickTop="1">
      <c r="A25" s="116" t="n"/>
      <c r="B25" s="97" t="n"/>
      <c r="C25" s="97" t="n"/>
      <c r="D25" s="97" t="n"/>
      <c r="E25" s="2" t="n"/>
      <c r="F25" s="116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35">
        <f>D211</f>
        <v/>
      </c>
      <c r="U25" s="135">
        <f>B204</f>
        <v/>
      </c>
      <c r="V25" s="135">
        <f>C204</f>
        <v/>
      </c>
      <c r="W25" s="18" t="n"/>
      <c r="X25" s="135">
        <f>I211</f>
        <v/>
      </c>
      <c r="Y25" s="135">
        <f>G204</f>
        <v/>
      </c>
      <c r="Z25" s="135">
        <f>H204</f>
        <v/>
      </c>
    </row>
    <row r="26" ht="20.25" customHeight="1" thickBot="1" thickTop="1">
      <c r="A26" s="123" t="inlineStr">
        <is>
          <t>Total Payable</t>
        </is>
      </c>
      <c r="B26" s="124" t="n"/>
      <c r="C26" s="125" t="n"/>
      <c r="D26" s="90">
        <f>SUM(D21:D25)</f>
        <v/>
      </c>
      <c r="E26" s="2" t="n"/>
      <c r="F26" s="123" t="inlineStr">
        <is>
          <t>Total payable</t>
        </is>
      </c>
      <c r="G26" s="124" t="n"/>
      <c r="H26" s="125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35" t="n"/>
      <c r="U26" s="18" t="n"/>
      <c r="V26" s="135" t="n"/>
      <c r="W26" s="18" t="n"/>
      <c r="X26" s="135">
        <f>I220</f>
        <v/>
      </c>
      <c r="Y26" s="135">
        <f>G213</f>
        <v/>
      </c>
      <c r="Z26" s="135">
        <f>H213</f>
        <v/>
      </c>
    </row>
    <row r="27" ht="17.25" customHeight="1" thickBot="1" thickTop="1">
      <c r="A27" s="31" t="n"/>
      <c r="B27" s="2" t="n"/>
      <c r="C27" s="2" t="n"/>
      <c r="D27" s="2" t="n"/>
      <c r="E27" s="2" t="n"/>
      <c r="F27" s="31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35">
        <f>D229</f>
        <v/>
      </c>
      <c r="U27" s="135">
        <f>B222</f>
        <v/>
      </c>
      <c r="V27" s="135">
        <f>C222</f>
        <v/>
      </c>
      <c r="W27" s="18" t="n"/>
      <c r="X27" s="135">
        <f>I229</f>
        <v/>
      </c>
      <c r="Y27" s="135">
        <f>G222</f>
        <v/>
      </c>
      <c r="Z27" s="135">
        <f>H222</f>
        <v/>
      </c>
    </row>
    <row r="28" ht="20.25" customHeight="1" thickBot="1" thickTop="1">
      <c r="A28" s="116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46026</v>
      </c>
      <c r="E28" s="2" t="n"/>
      <c r="F28" s="116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46026</v>
      </c>
      <c r="J28" s="1" t="n"/>
      <c r="K28" s="1" t="n"/>
      <c r="L28" s="1" t="n"/>
      <c r="M28" s="1" t="n"/>
      <c r="N28" s="50" t="n"/>
      <c r="O28" s="1" t="n"/>
      <c r="P28" s="1" t="n"/>
      <c r="Q28" s="1" t="n"/>
      <c r="R28" s="1" t="n"/>
      <c r="S28" s="1" t="n"/>
      <c r="T28" s="135">
        <f>D238</f>
        <v/>
      </c>
      <c r="U28" s="135">
        <f>B231</f>
        <v/>
      </c>
      <c r="V28" s="135">
        <f>C231</f>
        <v/>
      </c>
      <c r="W28" s="18" t="n"/>
      <c r="X28" s="135">
        <f>I238</f>
        <v/>
      </c>
      <c r="Y28" s="135">
        <f>G231</f>
        <v/>
      </c>
      <c r="Z28" s="135">
        <f>H231</f>
        <v/>
      </c>
    </row>
    <row r="29" ht="20.25" customHeight="1" thickBot="1" thickTop="1">
      <c r="A29" s="116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116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35">
        <f>D247</f>
        <v/>
      </c>
      <c r="U29" s="135">
        <f>B240</f>
        <v/>
      </c>
      <c r="V29" s="135">
        <f>C240</f>
        <v/>
      </c>
      <c r="W29" s="18" t="n"/>
      <c r="X29" s="135">
        <f>I247</f>
        <v/>
      </c>
      <c r="Y29" s="135">
        <f>G240</f>
        <v/>
      </c>
      <c r="Z29" s="135">
        <f>H240</f>
        <v/>
      </c>
    </row>
    <row r="30" ht="20.25" customHeight="1" thickBot="1" thickTop="1">
      <c r="A30" s="31" t="n">
        <v>20.1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26" t="n">
        <v>9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35">
        <f>D256</f>
        <v/>
      </c>
      <c r="U30" s="135">
        <f>B249</f>
        <v/>
      </c>
      <c r="V30" s="135">
        <f>C249</f>
        <v/>
      </c>
      <c r="W30" s="18" t="n"/>
      <c r="X30" s="135">
        <f>I256</f>
        <v/>
      </c>
      <c r="Y30" s="135">
        <f>G249</f>
        <v/>
      </c>
      <c r="Z30" s="135">
        <f>H249</f>
        <v/>
      </c>
    </row>
    <row r="31" ht="20.25" customHeight="1" thickBot="1" thickTop="1">
      <c r="A31" s="31" t="n">
        <v>17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116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35">
        <f>D265</f>
        <v/>
      </c>
      <c r="U31" s="135">
        <f>B258</f>
        <v/>
      </c>
      <c r="V31" s="135">
        <f>C258</f>
        <v/>
      </c>
      <c r="W31" s="18" t="n"/>
      <c r="X31" s="135">
        <f>I265</f>
        <v/>
      </c>
      <c r="Y31" s="135">
        <f>G258</f>
        <v/>
      </c>
      <c r="Z31" s="135">
        <f>H258</f>
        <v/>
      </c>
    </row>
    <row r="32" ht="20.25" customHeight="1" thickBot="1" thickTop="1">
      <c r="A32" s="31" t="n">
        <v>17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116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35">
        <f>D274</f>
        <v/>
      </c>
      <c r="U32" s="135">
        <f>B267</f>
        <v/>
      </c>
      <c r="V32" s="135">
        <f>C267</f>
        <v/>
      </c>
      <c r="W32" s="18" t="n"/>
      <c r="X32" s="135">
        <f>I274</f>
        <v/>
      </c>
      <c r="Y32" s="135">
        <f>G267</f>
        <v/>
      </c>
      <c r="Z32" s="135">
        <f>H267</f>
        <v/>
      </c>
    </row>
    <row r="33" ht="20.25" customHeight="1" thickBot="1" thickTop="1">
      <c r="A33" s="31" t="n">
        <v>20.1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116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35">
        <f>D284</f>
        <v/>
      </c>
      <c r="U33" s="135">
        <f>B276</f>
        <v/>
      </c>
      <c r="V33" s="135">
        <f>C276</f>
        <v/>
      </c>
      <c r="W33" s="18" t="n"/>
      <c r="X33" s="135">
        <f>I284</f>
        <v/>
      </c>
      <c r="Y33" s="135">
        <f>G276</f>
        <v/>
      </c>
      <c r="Z33" s="135">
        <f>H276</f>
        <v/>
      </c>
    </row>
    <row r="34" ht="20.25" customHeight="1" thickBot="1" thickTop="1">
      <c r="A34" s="116" t="n"/>
      <c r="B34" s="97" t="n"/>
      <c r="C34" s="97" t="n"/>
      <c r="D34" s="97" t="n"/>
      <c r="E34" s="2" t="n"/>
      <c r="F34" s="116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35">
        <f>D293</f>
        <v/>
      </c>
      <c r="U34" s="135">
        <f>B286</f>
        <v/>
      </c>
      <c r="V34" s="135">
        <f>C286</f>
        <v/>
      </c>
      <c r="W34" s="18" t="n"/>
      <c r="X34" s="135">
        <f>I293</f>
        <v/>
      </c>
      <c r="Y34" s="135">
        <f>G286</f>
        <v/>
      </c>
      <c r="Z34" s="135">
        <f>H286</f>
        <v/>
      </c>
    </row>
    <row r="35" ht="20.25" customHeight="1" thickBot="1" thickTop="1">
      <c r="A35" s="123" t="inlineStr">
        <is>
          <t>Total Payable</t>
        </is>
      </c>
      <c r="B35" s="124" t="n"/>
      <c r="C35" s="125" t="n"/>
      <c r="D35" s="90">
        <f>SUM(D30:D34)</f>
        <v/>
      </c>
      <c r="E35" s="2" t="n"/>
      <c r="F35" s="123" t="inlineStr">
        <is>
          <t>Total Payable</t>
        </is>
      </c>
      <c r="G35" s="124" t="n"/>
      <c r="H35" s="125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35">
        <f>D302</f>
        <v/>
      </c>
      <c r="U35" s="135">
        <f>B295</f>
        <v/>
      </c>
      <c r="V35" s="135">
        <f>C295</f>
        <v/>
      </c>
      <c r="W35" s="18" t="n"/>
      <c r="X35" s="135">
        <f>I302</f>
        <v/>
      </c>
      <c r="Y35" s="135">
        <f>G295</f>
        <v/>
      </c>
      <c r="Z35" s="135">
        <f>H295</f>
        <v/>
      </c>
    </row>
    <row r="36" ht="17.25" customHeight="1" thickBot="1" thickTop="1">
      <c r="A36" s="31" t="n"/>
      <c r="B36" s="2" t="n"/>
      <c r="C36" s="2" t="n"/>
      <c r="D36" s="2" t="n"/>
      <c r="E36" s="2" t="n"/>
      <c r="F36" s="31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35">
        <f>D311</f>
        <v/>
      </c>
      <c r="U36" s="135">
        <f>B304</f>
        <v/>
      </c>
      <c r="V36" s="135">
        <f>C304</f>
        <v/>
      </c>
      <c r="W36" s="18" t="n"/>
      <c r="X36" s="135">
        <f>I311</f>
        <v/>
      </c>
      <c r="Y36" s="135">
        <f>G304</f>
        <v/>
      </c>
      <c r="Z36" s="135">
        <f>H304</f>
        <v/>
      </c>
    </row>
    <row r="37" ht="20.25" customHeight="1" thickBot="1" thickTop="1">
      <c r="A37" s="116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46026</v>
      </c>
      <c r="E37" s="2" t="n"/>
      <c r="F37" s="116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46026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35">
        <f>D320</f>
        <v/>
      </c>
      <c r="U37" s="135">
        <f>B313</f>
        <v/>
      </c>
      <c r="V37" s="135">
        <f>C313</f>
        <v/>
      </c>
      <c r="W37" s="18" t="n"/>
      <c r="X37" s="135">
        <f>I320</f>
        <v/>
      </c>
      <c r="Y37" s="135">
        <f>G313</f>
        <v/>
      </c>
      <c r="Z37" s="135">
        <f>H313</f>
        <v/>
      </c>
    </row>
    <row r="38" ht="20.25" customHeight="1" thickBot="1" thickTop="1">
      <c r="A38" s="116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116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35">
        <f>D329</f>
        <v/>
      </c>
      <c r="U38" s="135">
        <f>B322</f>
        <v/>
      </c>
      <c r="V38" s="135">
        <f>C322</f>
        <v/>
      </c>
      <c r="W38" s="18" t="n"/>
      <c r="X38" s="135">
        <f>I329</f>
        <v/>
      </c>
      <c r="Y38" s="135">
        <f>G322</f>
        <v/>
      </c>
      <c r="Z38" s="135">
        <f>H322</f>
        <v/>
      </c>
    </row>
    <row r="39" ht="20.25" customHeight="1" thickBot="1" thickTop="1">
      <c r="A39" s="31" t="n">
        <v>14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26" t="n">
        <v>20.1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35">
        <f>D338</f>
        <v/>
      </c>
      <c r="U39" s="135">
        <f>B331</f>
        <v/>
      </c>
      <c r="V39" s="135">
        <f>C331</f>
        <v/>
      </c>
      <c r="W39" s="18" t="n"/>
      <c r="X39" s="135">
        <f>I338</f>
        <v/>
      </c>
      <c r="Y39" s="135">
        <f>G331</f>
        <v/>
      </c>
      <c r="Z39" s="135">
        <f>H331</f>
        <v/>
      </c>
    </row>
    <row r="40" ht="20.25" customHeight="1" thickBot="1" thickTop="1">
      <c r="A40" s="31" t="n">
        <v>20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26" t="n">
        <v>9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35">
        <f>D347</f>
        <v/>
      </c>
      <c r="U40" s="135">
        <f>B340</f>
        <v/>
      </c>
      <c r="V40" s="135">
        <f>C340</f>
        <v/>
      </c>
      <c r="W40" s="18" t="n"/>
      <c r="X40" s="135">
        <f>I347</f>
        <v/>
      </c>
      <c r="Y40" s="135">
        <f>G340</f>
        <v/>
      </c>
      <c r="Z40" s="135">
        <f>H340</f>
        <v/>
      </c>
    </row>
    <row r="41" ht="20.25" customHeight="1" thickBot="1" thickTop="1">
      <c r="A41" s="116" t="n"/>
      <c r="B41" s="97" t="n"/>
      <c r="C41" s="97" t="n"/>
      <c r="D41" s="97" t="n"/>
      <c r="E41" s="2" t="n"/>
      <c r="F41" s="116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35">
        <f>D356</f>
        <v/>
      </c>
      <c r="U41" s="135">
        <f>B349</f>
        <v/>
      </c>
      <c r="V41" s="135">
        <f>C349</f>
        <v/>
      </c>
      <c r="W41" s="18" t="n"/>
      <c r="X41" s="135">
        <f>I356</f>
        <v/>
      </c>
      <c r="Y41" s="135">
        <f>G349</f>
        <v/>
      </c>
      <c r="Z41" s="135">
        <f>H349</f>
        <v/>
      </c>
    </row>
    <row r="42" ht="20.25" customHeight="1" thickBot="1" thickTop="1">
      <c r="A42" s="116" t="n"/>
      <c r="B42" s="97" t="n"/>
      <c r="C42" s="97" t="n"/>
      <c r="D42" s="97" t="n"/>
      <c r="E42" s="2" t="n"/>
      <c r="F42" s="116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35">
        <f>D365</f>
        <v/>
      </c>
      <c r="U42" s="135">
        <f>B358</f>
        <v/>
      </c>
      <c r="V42" s="135">
        <f>C358</f>
        <v/>
      </c>
      <c r="W42" s="18" t="n"/>
      <c r="X42" s="135">
        <f>I365</f>
        <v/>
      </c>
      <c r="Y42" s="135">
        <f>G358</f>
        <v/>
      </c>
      <c r="Z42" s="135">
        <f>H358</f>
        <v/>
      </c>
    </row>
    <row r="43" ht="20.25" customHeight="1" thickBot="1" thickTop="1">
      <c r="A43" s="116" t="n"/>
      <c r="B43" s="97" t="n"/>
      <c r="C43" s="97" t="n"/>
      <c r="D43" s="97" t="n"/>
      <c r="E43" s="2" t="n"/>
      <c r="F43" s="116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35">
        <f>D374</f>
        <v/>
      </c>
      <c r="U43" s="135">
        <f>B367</f>
        <v/>
      </c>
      <c r="V43" s="135">
        <f>C367</f>
        <v/>
      </c>
      <c r="W43" s="18" t="n"/>
      <c r="X43" s="135">
        <f>I374</f>
        <v/>
      </c>
      <c r="Y43" s="135">
        <f>G367</f>
        <v/>
      </c>
      <c r="Z43" s="135">
        <f>H367</f>
        <v/>
      </c>
    </row>
    <row r="44" ht="20.25" customHeight="1" thickBot="1" thickTop="1">
      <c r="A44" s="123" t="inlineStr">
        <is>
          <t>Total Payable</t>
        </is>
      </c>
      <c r="B44" s="124" t="n"/>
      <c r="C44" s="125" t="n"/>
      <c r="D44" s="90">
        <f>SUM(D39:D43)</f>
        <v/>
      </c>
      <c r="E44" s="2" t="n"/>
      <c r="F44" s="123" t="inlineStr">
        <is>
          <t>Total Payable</t>
        </is>
      </c>
      <c r="G44" s="124" t="n"/>
      <c r="H44" s="125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35">
        <f>D383</f>
        <v/>
      </c>
      <c r="U44" s="135">
        <f>B376</f>
        <v/>
      </c>
      <c r="V44" s="135">
        <f>C376</f>
        <v/>
      </c>
      <c r="W44" s="18" t="n"/>
      <c r="X44" s="135">
        <f>I383</f>
        <v/>
      </c>
      <c r="Y44" s="135">
        <f>G376</f>
        <v/>
      </c>
      <c r="Z44" s="135">
        <f>H376</f>
        <v/>
      </c>
    </row>
    <row r="45" ht="17.25" customHeight="1" thickBot="1" thickTop="1">
      <c r="A45" s="31" t="n"/>
      <c r="B45" s="2" t="n"/>
      <c r="C45" s="2" t="n"/>
      <c r="D45" s="2" t="n"/>
      <c r="E45" s="2" t="n"/>
      <c r="F45" s="31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35">
        <f>D392</f>
        <v/>
      </c>
      <c r="U45" s="135">
        <f>B385</f>
        <v/>
      </c>
      <c r="V45" s="135">
        <f>C385</f>
        <v/>
      </c>
      <c r="W45" s="18" t="n"/>
      <c r="X45" s="135">
        <f>I392</f>
        <v/>
      </c>
      <c r="Y45" s="135">
        <f>G385</f>
        <v/>
      </c>
      <c r="Z45" s="135">
        <f>H385</f>
        <v/>
      </c>
    </row>
    <row r="46" ht="20.25" customHeight="1" thickBot="1" thickTop="1">
      <c r="A46" s="116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46026</v>
      </c>
      <c r="E46" s="2" t="n"/>
      <c r="F46" s="116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46026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35">
        <f>D401</f>
        <v/>
      </c>
      <c r="U46" s="135">
        <f>B394</f>
        <v/>
      </c>
      <c r="V46" s="135">
        <f>C394</f>
        <v/>
      </c>
      <c r="W46" s="18" t="n"/>
      <c r="X46" s="135">
        <f>I401</f>
        <v/>
      </c>
      <c r="Y46" s="135">
        <f>G394</f>
        <v/>
      </c>
      <c r="Z46" s="135">
        <f>H394</f>
        <v/>
      </c>
    </row>
    <row r="47" ht="20.25" customHeight="1" thickBot="1" thickTop="1">
      <c r="A47" s="116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116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35">
        <f>D410</f>
        <v/>
      </c>
      <c r="U47" s="18">
        <f>B403</f>
        <v/>
      </c>
      <c r="V47" s="18">
        <f>C403</f>
        <v/>
      </c>
      <c r="W47" s="18" t="n"/>
      <c r="X47" s="135">
        <f>I410</f>
        <v/>
      </c>
      <c r="Y47" s="135">
        <f>G403</f>
        <v/>
      </c>
      <c r="Z47" s="135">
        <f>H403</f>
        <v/>
      </c>
    </row>
    <row r="48" ht="20.25" customHeight="1" thickBot="1" thickTop="1">
      <c r="A48" s="31" t="n">
        <v>20.1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26" t="n">
        <v>17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35">
        <f>D419</f>
        <v/>
      </c>
      <c r="U48" s="18">
        <f>B412</f>
        <v/>
      </c>
      <c r="V48" s="18">
        <f>C412</f>
        <v/>
      </c>
      <c r="W48" s="18" t="n"/>
      <c r="X48" s="135">
        <f>I419</f>
        <v/>
      </c>
      <c r="Y48" s="135">
        <f>G412</f>
        <v/>
      </c>
      <c r="Z48" s="135">
        <f>H412</f>
        <v/>
      </c>
    </row>
    <row r="49" ht="20.25" customHeight="1" thickBot="1" thickTop="1">
      <c r="A49" s="116" t="n"/>
      <c r="B49" s="97" t="n"/>
      <c r="C49" s="97" t="n"/>
      <c r="D49" s="97" t="n"/>
      <c r="E49" s="2" t="n"/>
      <c r="F49" s="31" t="n">
        <v>4</v>
      </c>
      <c r="G49" s="97" t="n">
        <v>500000</v>
      </c>
      <c r="H49" s="97">
        <f>VLOOKUP(F49&amp;"|"&amp;G49,$O$3:$P$16,2,FALSE)</f>
        <v/>
      </c>
      <c r="I49" s="97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35">
        <f>D428</f>
        <v/>
      </c>
      <c r="U49" s="18">
        <f>B421</f>
        <v/>
      </c>
      <c r="V49" s="18">
        <f>C421</f>
        <v/>
      </c>
      <c r="W49" s="18" t="n"/>
      <c r="X49" s="135">
        <f>I428</f>
        <v/>
      </c>
      <c r="Y49" s="18">
        <f>G421</f>
        <v/>
      </c>
      <c r="Z49" s="18">
        <f>H421</f>
        <v/>
      </c>
    </row>
    <row r="50" ht="20.25" customHeight="1" thickBot="1" thickTop="1">
      <c r="A50" s="116" t="n"/>
      <c r="B50" s="97" t="n"/>
      <c r="C50" s="97" t="n"/>
      <c r="D50" s="97" t="n"/>
      <c r="E50" s="2" t="n"/>
      <c r="F50" s="116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35">
        <f>D437</f>
        <v/>
      </c>
      <c r="U50" s="18">
        <f>B430</f>
        <v/>
      </c>
      <c r="V50" s="18">
        <f>C430</f>
        <v/>
      </c>
      <c r="W50" s="18" t="n"/>
      <c r="X50" s="135">
        <f>I437</f>
        <v/>
      </c>
      <c r="Y50" s="18">
        <f>G430</f>
        <v/>
      </c>
      <c r="Z50" s="18">
        <f>H430</f>
        <v/>
      </c>
    </row>
    <row r="51" ht="20.25" customHeight="1" thickBot="1" thickTop="1">
      <c r="A51" s="116" t="n"/>
      <c r="B51" s="97" t="n"/>
      <c r="C51" s="97" t="n"/>
      <c r="D51" s="97" t="n"/>
      <c r="E51" s="2" t="n"/>
      <c r="F51" s="116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35">
        <f>D446</f>
        <v/>
      </c>
      <c r="U51" s="18">
        <f>B439</f>
        <v/>
      </c>
      <c r="V51" s="18">
        <f>C439</f>
        <v/>
      </c>
      <c r="W51" s="18" t="n"/>
      <c r="X51" s="135">
        <f>I446</f>
        <v/>
      </c>
      <c r="Y51" s="18">
        <f>G439</f>
        <v/>
      </c>
      <c r="Z51" s="18">
        <f>H439</f>
        <v/>
      </c>
    </row>
    <row r="52" ht="20.25" customHeight="1" thickBot="1" thickTop="1">
      <c r="A52" s="116" t="n"/>
      <c r="B52" s="97" t="n"/>
      <c r="C52" s="97" t="n"/>
      <c r="D52" s="97" t="n"/>
      <c r="E52" s="2" t="n"/>
      <c r="F52" s="116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35">
        <f>D455</f>
        <v/>
      </c>
      <c r="U52" s="18">
        <f>B448</f>
        <v/>
      </c>
      <c r="V52" s="18">
        <f>C448</f>
        <v/>
      </c>
      <c r="W52" s="18" t="n"/>
      <c r="X52" s="135">
        <f>I455</f>
        <v/>
      </c>
      <c r="Y52" s="18">
        <f>G448</f>
        <v/>
      </c>
      <c r="Z52" s="18">
        <f>H448</f>
        <v/>
      </c>
    </row>
    <row r="53" ht="20.25" customHeight="1" thickBot="1" thickTop="1">
      <c r="A53" s="123" t="inlineStr">
        <is>
          <t>Total Payable</t>
        </is>
      </c>
      <c r="B53" s="124" t="n"/>
      <c r="C53" s="125" t="n"/>
      <c r="D53" s="90">
        <f>SUM(D48:D52)</f>
        <v/>
      </c>
      <c r="E53" s="2" t="n"/>
      <c r="F53" s="123" t="inlineStr">
        <is>
          <t>Total Payable</t>
        </is>
      </c>
      <c r="G53" s="124" t="n"/>
      <c r="H53" s="125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35">
        <f>D464</f>
        <v/>
      </c>
      <c r="U53" s="18">
        <f>B457</f>
        <v/>
      </c>
      <c r="V53" s="18">
        <f>C457</f>
        <v/>
      </c>
      <c r="W53" s="18" t="n"/>
      <c r="X53" s="135">
        <f>I464</f>
        <v/>
      </c>
      <c r="Y53" s="18">
        <f>G457</f>
        <v/>
      </c>
      <c r="Z53" s="18">
        <f>H457</f>
        <v/>
      </c>
    </row>
    <row r="54" ht="17.25" customHeight="1" thickBot="1" thickTop="1">
      <c r="A54" s="31" t="n"/>
      <c r="B54" s="2" t="n"/>
      <c r="C54" s="2" t="n"/>
      <c r="D54" s="2" t="n"/>
      <c r="E54" s="2" t="n"/>
      <c r="F54" s="31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35">
        <f>D473</f>
        <v/>
      </c>
      <c r="U54" s="18">
        <f>B466</f>
        <v/>
      </c>
      <c r="V54" s="18">
        <f>C466</f>
        <v/>
      </c>
      <c r="W54" s="18" t="n"/>
      <c r="X54" s="135">
        <f>I473</f>
        <v/>
      </c>
      <c r="Y54" s="18">
        <f>G466</f>
        <v/>
      </c>
      <c r="Z54" s="18">
        <f>H466</f>
        <v/>
      </c>
    </row>
    <row r="55" ht="20.25" customHeight="1" thickBot="1" thickTop="1">
      <c r="A55" s="116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46026</v>
      </c>
      <c r="E55" s="2" t="n"/>
      <c r="F55" s="116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46026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35">
        <f>D482</f>
        <v/>
      </c>
      <c r="U55" s="18">
        <f>B475</f>
        <v/>
      </c>
      <c r="V55" s="18">
        <f>C475</f>
        <v/>
      </c>
      <c r="W55" s="135" t="n"/>
      <c r="X55" s="135">
        <f>I482</f>
        <v/>
      </c>
      <c r="Y55" s="18">
        <f>G475</f>
        <v/>
      </c>
      <c r="Z55" s="18">
        <f>H475</f>
        <v/>
      </c>
    </row>
    <row r="56" ht="20.25" customHeight="1" thickBot="1" thickTop="1">
      <c r="A56" s="116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116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35">
        <f>D491</f>
        <v/>
      </c>
      <c r="U56" s="18" t="inlineStr">
        <is>
          <t>VENKATREDDY</t>
        </is>
      </c>
      <c r="V56" s="18" t="inlineStr">
        <is>
          <t>SURARAM</t>
        </is>
      </c>
      <c r="W56" s="18" t="n"/>
      <c r="X56" s="135">
        <f>I491</f>
        <v/>
      </c>
      <c r="Y56" s="18" t="inlineStr">
        <is>
          <t>PEMARAMJI</t>
        </is>
      </c>
      <c r="Z56" s="18" t="inlineStr">
        <is>
          <t>SURARAM</t>
        </is>
      </c>
    </row>
    <row r="57" ht="20.25" customHeight="1" thickBot="1" thickTop="1">
      <c r="A57" s="31" t="n">
        <v>20.1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26" t="n">
        <v>4.1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35">
        <f>D500</f>
        <v/>
      </c>
      <c r="U57" s="18">
        <f>B493</f>
        <v/>
      </c>
      <c r="V57" s="18">
        <f>C493</f>
        <v/>
      </c>
      <c r="W57" s="18" t="n"/>
      <c r="X57" s="135">
        <f>I500</f>
        <v/>
      </c>
      <c r="Y57" s="18">
        <f>G493</f>
        <v/>
      </c>
      <c r="Z57" s="18">
        <f>H493</f>
        <v/>
      </c>
    </row>
    <row r="58" ht="20.25" customHeight="1" thickBot="1" thickTop="1">
      <c r="A58" s="31" t="n">
        <v>4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26" t="n">
        <v>9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35">
        <f>D509</f>
        <v/>
      </c>
      <c r="U58" s="135">
        <f>B502</f>
        <v/>
      </c>
      <c r="V58" s="18">
        <f>C502</f>
        <v/>
      </c>
      <c r="W58" s="18" t="n"/>
      <c r="X58" s="135">
        <f>I509</f>
        <v/>
      </c>
      <c r="Y58" s="18">
        <f>G502</f>
        <v/>
      </c>
      <c r="Z58" s="18">
        <f>H502</f>
        <v/>
      </c>
    </row>
    <row r="59" ht="20.25" customHeight="1" thickBot="1" thickTop="1">
      <c r="A59" s="116" t="n"/>
      <c r="B59" s="97" t="n"/>
      <c r="C59" s="97" t="n"/>
      <c r="D59" s="97" t="n"/>
      <c r="E59" s="2" t="n"/>
      <c r="F59" s="116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35">
        <f>D518</f>
        <v/>
      </c>
      <c r="U59" s="18">
        <f>B511</f>
        <v/>
      </c>
      <c r="V59" s="18">
        <f>C511</f>
        <v/>
      </c>
      <c r="W59" s="135" t="n"/>
      <c r="X59" s="135">
        <f>I518</f>
        <v/>
      </c>
      <c r="Y59" s="18">
        <f>G511</f>
        <v/>
      </c>
      <c r="Z59" s="18">
        <f>H511</f>
        <v/>
      </c>
    </row>
    <row r="60" ht="20.25" customHeight="1" thickBot="1" thickTop="1">
      <c r="A60" s="116" t="n"/>
      <c r="B60" s="97" t="n"/>
      <c r="C60" s="97" t="n"/>
      <c r="D60" s="97" t="n"/>
      <c r="E60" s="2" t="n"/>
      <c r="F60" s="116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35">
        <f>D527</f>
        <v/>
      </c>
      <c r="U60" s="18">
        <f>B520</f>
        <v/>
      </c>
      <c r="V60" s="18">
        <f>C520</f>
        <v/>
      </c>
      <c r="W60" s="18" t="n"/>
      <c r="X60" s="135">
        <f>I527</f>
        <v/>
      </c>
      <c r="Y60" s="18">
        <f>G520</f>
        <v/>
      </c>
      <c r="Z60" s="18">
        <f>H520</f>
        <v/>
      </c>
    </row>
    <row r="61" ht="20.25" customHeight="1" thickBot="1" thickTop="1">
      <c r="A61" s="116" t="n"/>
      <c r="B61" s="97" t="n"/>
      <c r="C61" s="97" t="n"/>
      <c r="D61" s="97" t="n"/>
      <c r="E61" s="2" t="n"/>
      <c r="F61" s="116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35">
        <f>D536</f>
        <v/>
      </c>
      <c r="U61" s="18">
        <f>B529</f>
        <v/>
      </c>
      <c r="V61" s="18">
        <f>C529</f>
        <v/>
      </c>
      <c r="W61" s="18" t="n"/>
      <c r="X61" s="135">
        <f>I536</f>
        <v/>
      </c>
      <c r="Y61" s="18">
        <f>G529</f>
        <v/>
      </c>
      <c r="Z61" s="18">
        <f>H529</f>
        <v/>
      </c>
    </row>
    <row r="62" ht="20.25" customHeight="1" thickBot="1" thickTop="1">
      <c r="A62" s="123" t="inlineStr">
        <is>
          <t>Total Payable</t>
        </is>
      </c>
      <c r="B62" s="124" t="n"/>
      <c r="C62" s="125" t="n"/>
      <c r="D62" s="90">
        <f>SUM(D57:D61)</f>
        <v/>
      </c>
      <c r="E62" s="2" t="n"/>
      <c r="F62" s="123" t="inlineStr">
        <is>
          <t>Total Payable</t>
        </is>
      </c>
      <c r="G62" s="124" t="n"/>
      <c r="H62" s="125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35">
        <f>D545</f>
        <v/>
      </c>
      <c r="U62" s="135">
        <f>B538</f>
        <v/>
      </c>
      <c r="V62" s="18">
        <f>C538</f>
        <v/>
      </c>
      <c r="W62" s="135" t="n"/>
      <c r="X62" s="135">
        <f>I545</f>
        <v/>
      </c>
      <c r="Y62" s="18">
        <f>G538</f>
        <v/>
      </c>
      <c r="Z62" s="18">
        <f>H538</f>
        <v/>
      </c>
    </row>
    <row r="63" ht="20.25" customHeight="1" thickBot="1" thickTop="1">
      <c r="A63" s="127" t="n"/>
      <c r="B63" s="91" t="n"/>
      <c r="C63" s="91" t="n"/>
      <c r="D63" s="91" t="n"/>
      <c r="E63" s="2" t="n"/>
      <c r="F63" s="127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35">
        <f>D554</f>
        <v/>
      </c>
      <c r="U63" s="18">
        <f>B547</f>
        <v/>
      </c>
      <c r="V63" s="18">
        <f>C547</f>
        <v/>
      </c>
      <c r="W63" s="18" t="n"/>
      <c r="X63" s="135">
        <f>I554</f>
        <v/>
      </c>
      <c r="Y63" s="18">
        <f>G547</f>
        <v/>
      </c>
      <c r="Z63" s="18">
        <f>H547</f>
        <v/>
      </c>
    </row>
    <row r="64" ht="20.25" customHeight="1" thickBot="1" thickTop="1">
      <c r="A64" s="11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46026</v>
      </c>
      <c r="E64" s="2" t="n"/>
      <c r="F64" s="116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46026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35">
        <f>D563</f>
        <v/>
      </c>
      <c r="U64" s="18">
        <f>B556</f>
        <v/>
      </c>
      <c r="V64" s="18">
        <f>C556</f>
        <v/>
      </c>
      <c r="W64" s="18" t="n"/>
      <c r="X64" s="135">
        <f>I563</f>
        <v/>
      </c>
      <c r="Y64" s="18">
        <f>G556</f>
        <v/>
      </c>
      <c r="Z64" s="18">
        <f>H556</f>
        <v/>
      </c>
    </row>
    <row r="65" ht="20.25" customHeight="1" thickBot="1" thickTop="1">
      <c r="A65" s="116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116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35">
        <f>D572</f>
        <v/>
      </c>
      <c r="U65" s="18">
        <f>B565</f>
        <v/>
      </c>
      <c r="V65" s="18">
        <f>C565</f>
        <v/>
      </c>
      <c r="W65" s="18" t="n"/>
      <c r="X65" s="135">
        <f>I572</f>
        <v/>
      </c>
      <c r="Y65" s="18">
        <f>G565</f>
        <v/>
      </c>
      <c r="Z65" s="18">
        <f>H565</f>
        <v/>
      </c>
    </row>
    <row r="66" ht="20.25" customHeight="1" thickBot="1" thickTop="1">
      <c r="A66" s="31" t="n">
        <v>20.1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26" t="n">
        <v>20.1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35" t="n"/>
      <c r="U66" s="18" t="n"/>
      <c r="V66" s="18" t="n"/>
      <c r="W66" s="18" t="n"/>
      <c r="X66" s="135" t="n"/>
      <c r="Y66" s="18" t="n"/>
      <c r="Z66" s="18" t="n"/>
    </row>
    <row r="67" ht="20.25" customHeight="1" thickBot="1" thickTop="1">
      <c r="A67" s="31" t="n">
        <v>9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26" t="n">
        <v>9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35" t="n"/>
      <c r="U67" s="18" t="n"/>
      <c r="V67" s="18" t="n"/>
      <c r="W67" s="18" t="n"/>
      <c r="X67" s="18" t="n"/>
      <c r="Y67" s="18" t="n"/>
      <c r="Z67" s="18" t="n"/>
    </row>
    <row r="68" ht="20.25" customHeight="1" thickBot="1" thickTop="1">
      <c r="A68" s="116" t="n"/>
      <c r="B68" s="97" t="n"/>
      <c r="C68" s="97" t="n"/>
      <c r="D68" s="97" t="n"/>
      <c r="E68" s="2" t="n"/>
      <c r="F68" s="116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8" t="n"/>
      <c r="U68" s="18" t="n"/>
      <c r="V68" s="18" t="n"/>
      <c r="W68" s="18" t="n"/>
      <c r="X68" s="18" t="n"/>
      <c r="Y68" s="18" t="n"/>
      <c r="Z68" s="18" t="n"/>
    </row>
    <row r="69" ht="20.25" customHeight="1" thickBot="1" thickTop="1">
      <c r="A69" s="116" t="n"/>
      <c r="B69" s="97" t="n"/>
      <c r="C69" s="97" t="n"/>
      <c r="D69" s="97" t="n"/>
      <c r="E69" s="2" t="n"/>
      <c r="F69" s="116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35">
        <f>SUM(T3:T67)</f>
        <v/>
      </c>
      <c r="U69" s="18" t="n"/>
      <c r="V69" s="18" t="n"/>
      <c r="W69" s="18" t="n"/>
      <c r="X69" s="135">
        <f>SUM(X3:X66)</f>
        <v/>
      </c>
      <c r="Y69" s="18" t="n"/>
      <c r="Z69" s="18" t="n"/>
    </row>
    <row r="70" ht="20.25" customHeight="1" thickBot="1" thickTop="1">
      <c r="A70" s="116" t="n"/>
      <c r="B70" s="97" t="n"/>
      <c r="C70" s="97" t="n"/>
      <c r="D70" s="97" t="n"/>
      <c r="E70" s="2" t="n"/>
      <c r="F70" s="51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8" t="n"/>
      <c r="U70" s="18" t="n"/>
      <c r="V70" s="18" t="n"/>
      <c r="W70" s="18" t="n"/>
      <c r="X70" s="18" t="n"/>
      <c r="Y70" s="18" t="n"/>
      <c r="Z70" s="18" t="n"/>
    </row>
    <row r="71" ht="20.25" customHeight="1" thickBot="1" thickTop="1">
      <c r="A71" s="62" t="inlineStr">
        <is>
          <t>TOTAL PAYABLE</t>
        </is>
      </c>
      <c r="B71" s="82" t="n"/>
      <c r="C71" s="83" t="n"/>
      <c r="D71" s="97">
        <f>SUM(D66:D70)</f>
        <v/>
      </c>
      <c r="E71" s="2" t="n"/>
      <c r="F71" s="123" t="inlineStr">
        <is>
          <t>Total Payable</t>
        </is>
      </c>
      <c r="G71" s="124" t="n"/>
      <c r="H71" s="125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8" t="n"/>
      <c r="U71" s="18" t="n"/>
      <c r="V71" s="18" t="inlineStr">
        <is>
          <t>TOTAL</t>
        </is>
      </c>
      <c r="W71" s="136">
        <f>SUM(T69,X69)</f>
        <v/>
      </c>
      <c r="X71" s="135">
        <f>SUM(T69,X69)</f>
        <v/>
      </c>
      <c r="Y71" s="18" t="n"/>
      <c r="Z71" s="18" t="n"/>
    </row>
    <row r="72" ht="20.25" customHeight="1" thickBot="1" thickTop="1">
      <c r="A72" s="127" t="n"/>
      <c r="B72" s="91" t="n"/>
      <c r="C72" s="91" t="n"/>
      <c r="D72" s="91" t="n"/>
      <c r="E72" s="2" t="n"/>
      <c r="F72" s="127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116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46026</v>
      </c>
      <c r="E73" s="2" t="n"/>
      <c r="F73" s="116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46026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116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116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31" t="n">
        <v>20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26" t="n">
        <v>4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31" t="n">
        <v>20.1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26" t="n">
        <v>4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31" t="n">
        <v>4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26" t="n">
        <v>4.1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31" t="n">
        <v>4.1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26" t="n">
        <v>4.1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31" t="n">
        <v>4.1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26" t="n">
        <v>9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31" t="n">
        <v>14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26" t="n">
        <v>20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31" t="n">
        <v>20.1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26" t="n">
        <v>20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31" t="n">
        <v>20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26" t="n">
        <v>20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31" t="n">
        <v>9</v>
      </c>
      <c r="B83" s="97" t="n">
        <v>2000000</v>
      </c>
      <c r="C83" s="97">
        <f>VLOOKUP(A83&amp;"|"&amp;B83,$O$3:$P$18,2,FALSE)</f>
        <v/>
      </c>
      <c r="D83" s="97">
        <f>VLOOKUP(A83&amp;"|"&amp;B83,$Q$3:$R$18,2,FALSE)</f>
        <v/>
      </c>
      <c r="E83" s="2" t="n"/>
      <c r="F83" s="26" t="n">
        <v>20.1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116" t="n">
        <v>4</v>
      </c>
      <c r="B84" s="97" t="n">
        <v>500000</v>
      </c>
      <c r="C84" s="97">
        <f>VLOOKUP(A84&amp;"|"&amp;B84,$O$3:$P$18,2,FALSE)</f>
        <v/>
      </c>
      <c r="D84" s="97">
        <f>VLOOKUP(A84&amp;"|"&amp;B84,$Q$3:$R$18,2,FALSE)</f>
        <v/>
      </c>
      <c r="E84" s="2" t="n"/>
      <c r="F84" s="26" t="n">
        <v>9</v>
      </c>
      <c r="G84" s="97" t="n">
        <v>1000000</v>
      </c>
      <c r="H84" s="97">
        <f>VLOOKUP(F84&amp;"|"&amp;G84,$O$3:$P$16,2,FALSE)</f>
        <v/>
      </c>
      <c r="I84" s="97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31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123" t="inlineStr">
        <is>
          <t>Total Payable</t>
        </is>
      </c>
      <c r="G85" s="124" t="n"/>
      <c r="H85" s="125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thickBot="1" thickTop="1">
      <c r="A86" s="31" t="n"/>
      <c r="B86" s="2" t="n"/>
      <c r="C86" s="2" t="n"/>
      <c r="D86" s="2" t="n"/>
      <c r="E86" s="2" t="n"/>
      <c r="F86" s="31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31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46026</v>
      </c>
      <c r="E87" s="2" t="n"/>
      <c r="F87" s="116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46026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31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116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31" t="n">
        <v>20.1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26" t="n">
        <v>20.1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31" t="n">
        <v>4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116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31" t="n">
        <v>9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116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31" t="n">
        <v>9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116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116" t="n"/>
      <c r="B93" s="97" t="n"/>
      <c r="C93" s="97" t="n"/>
      <c r="D93" s="97" t="n"/>
      <c r="E93" s="2" t="n"/>
      <c r="F93" s="116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116" t="inlineStr">
        <is>
          <t>Total Payable</t>
        </is>
      </c>
      <c r="B94" s="97" t="n"/>
      <c r="C94" s="97" t="n"/>
      <c r="D94" s="97">
        <f>SUM(D89:D93)</f>
        <v/>
      </c>
      <c r="E94" s="2" t="n"/>
      <c r="F94" s="123" t="inlineStr">
        <is>
          <t>Total Payable</t>
        </is>
      </c>
      <c r="G94" s="124" t="n"/>
      <c r="H94" s="125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thickBot="1" thickTop="1">
      <c r="A95" s="31" t="n"/>
      <c r="B95" s="2" t="n"/>
      <c r="C95" s="2" t="n"/>
      <c r="D95" s="2" t="n"/>
      <c r="E95" s="2" t="n"/>
      <c r="F95" s="31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116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46026</v>
      </c>
      <c r="E96" s="2" t="n"/>
      <c r="F96" s="116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46026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116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116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31" t="n">
        <v>20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26" t="n">
        <v>20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31" t="n">
        <v>9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26" t="n">
        <v>20.1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116" t="n"/>
      <c r="B100" s="97" t="n"/>
      <c r="C100" s="97" t="n"/>
      <c r="D100" s="97" t="n"/>
      <c r="E100" s="2" t="n"/>
      <c r="F100" s="26" t="n">
        <v>4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116" t="n"/>
      <c r="B101" s="97" t="n"/>
      <c r="C101" s="97" t="n"/>
      <c r="D101" s="97" t="n"/>
      <c r="E101" s="2" t="n"/>
      <c r="F101" s="116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116" t="n"/>
      <c r="B102" s="97" t="n"/>
      <c r="C102" s="97" t="n"/>
      <c r="D102" s="97" t="n"/>
      <c r="E102" s="2" t="n"/>
      <c r="F102" s="116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116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123" t="inlineStr">
        <is>
          <t>Total Payable</t>
        </is>
      </c>
      <c r="G103" s="124" t="n"/>
      <c r="H103" s="125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thickBot="1" thickTop="1">
      <c r="A104" s="31" t="n"/>
      <c r="B104" s="2" t="n"/>
      <c r="C104" s="2" t="n"/>
      <c r="D104" s="2" t="n"/>
      <c r="E104" s="2" t="n"/>
      <c r="F104" s="31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116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46026</v>
      </c>
      <c r="E105" s="2" t="n"/>
      <c r="F105" s="116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46026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116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116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31" t="n">
        <v>20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26" t="n">
        <v>20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116" t="n"/>
      <c r="B108" s="97" t="n"/>
      <c r="C108" s="97" t="n"/>
      <c r="D108" s="97" t="n"/>
      <c r="E108" s="2" t="n"/>
      <c r="F108" s="26" t="n">
        <v>20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116" t="n"/>
      <c r="B109" s="97" t="n"/>
      <c r="C109" s="97" t="n"/>
      <c r="D109" s="97" t="n"/>
      <c r="E109" s="2" t="n"/>
      <c r="F109" s="26" t="n">
        <v>9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116" t="n"/>
      <c r="B110" s="97" t="n"/>
      <c r="C110" s="97" t="n"/>
      <c r="D110" s="97" t="n"/>
      <c r="E110" s="2" t="n"/>
      <c r="F110" s="116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116" t="n"/>
      <c r="B111" s="97" t="n"/>
      <c r="C111" s="97" t="n"/>
      <c r="D111" s="97" t="n"/>
      <c r="E111" s="2" t="n"/>
      <c r="F111" s="116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116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123" t="inlineStr">
        <is>
          <t>Total Payable</t>
        </is>
      </c>
      <c r="G112" s="124" t="n"/>
      <c r="H112" s="125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thickBot="1" thickTop="1">
      <c r="A113" s="31" t="n"/>
      <c r="B113" s="2" t="n"/>
      <c r="C113" s="2" t="n"/>
      <c r="D113" s="2" t="n"/>
      <c r="E113" s="2" t="n"/>
      <c r="F113" s="31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116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46026</v>
      </c>
      <c r="E114" s="2" t="n"/>
      <c r="F114" s="116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46026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116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116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31" t="n">
        <v>20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26" t="n">
        <v>20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31" t="n">
        <v>4.1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26" t="n">
        <v>9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31" t="n">
        <v>14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116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31" t="n">
        <v>14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116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116" t="n"/>
      <c r="B120" s="97" t="n"/>
      <c r="C120" s="97" t="n"/>
      <c r="D120" s="97" t="n"/>
      <c r="E120" s="2" t="n"/>
      <c r="F120" s="116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116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123" t="inlineStr">
        <is>
          <t>Total Payable</t>
        </is>
      </c>
      <c r="G121" s="124" t="n"/>
      <c r="H121" s="125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thickBot="1" thickTop="1">
      <c r="A122" s="31" t="n"/>
      <c r="B122" s="2" t="n"/>
      <c r="C122" s="2" t="n"/>
      <c r="D122" s="2" t="n"/>
      <c r="E122" s="2" t="n"/>
      <c r="F122" s="31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116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46026</v>
      </c>
      <c r="E123" s="2" t="n"/>
      <c r="F123" s="116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46026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116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116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31" t="n">
        <v>20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26" t="n">
        <v>20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31" t="n">
        <v>9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26" t="n">
        <v>14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116" t="n"/>
      <c r="B127" s="97" t="n"/>
      <c r="C127" s="97" t="n"/>
      <c r="D127" s="97" t="n"/>
      <c r="E127" s="2" t="n"/>
      <c r="F127" s="26" t="n">
        <v>14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116" t="n"/>
      <c r="B128" s="97" t="n"/>
      <c r="C128" s="97" t="n"/>
      <c r="D128" s="97" t="n"/>
      <c r="E128" s="2" t="n"/>
      <c r="F128" s="26" t="n">
        <v>4.1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116" t="n"/>
      <c r="B129" s="97" t="n"/>
      <c r="C129" s="97" t="n"/>
      <c r="D129" s="97" t="n"/>
      <c r="E129" s="2" t="n"/>
      <c r="F129" s="26" t="n">
        <v>4</v>
      </c>
      <c r="G129" s="97" t="n">
        <v>500000</v>
      </c>
      <c r="H129" s="97">
        <f>VLOOKUP(F129&amp;"|"&amp;G129,$O$3:$P$16,2,FALSE)</f>
        <v/>
      </c>
      <c r="I129" s="97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116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123" t="inlineStr">
        <is>
          <t>Total Payable</t>
        </is>
      </c>
      <c r="G130" s="124" t="n"/>
      <c r="H130" s="125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thickBot="1" thickTop="1">
      <c r="A131" s="31" t="n"/>
      <c r="B131" s="2" t="n"/>
      <c r="C131" s="2" t="n"/>
      <c r="D131" s="2" t="n"/>
      <c r="E131" s="2" t="n"/>
      <c r="F131" s="31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116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46026</v>
      </c>
      <c r="E132" s="2" t="n"/>
      <c r="F132" s="116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46026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116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116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31" t="n">
        <v>20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26" t="n">
        <v>20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31" t="n">
        <v>4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116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116" t="n"/>
      <c r="B136" s="97" t="n"/>
      <c r="C136" s="97" t="n"/>
      <c r="D136" s="97" t="n"/>
      <c r="E136" s="2" t="n"/>
      <c r="F136" s="116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116" t="n"/>
      <c r="B137" s="97" t="n"/>
      <c r="C137" s="97" t="n"/>
      <c r="D137" s="97" t="n"/>
      <c r="E137" s="2" t="n"/>
      <c r="F137" s="116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116" t="n"/>
      <c r="B138" s="97" t="n"/>
      <c r="C138" s="97" t="n"/>
      <c r="D138" s="97" t="n"/>
      <c r="E138" s="2" t="n"/>
      <c r="F138" s="116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116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123" t="inlineStr">
        <is>
          <t>Total Payable</t>
        </is>
      </c>
      <c r="G139" s="124" t="n"/>
      <c r="H139" s="125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thickBot="1" thickTop="1">
      <c r="A140" s="31" t="n"/>
      <c r="B140" s="2" t="n"/>
      <c r="C140" s="2" t="n"/>
      <c r="D140" s="2" t="n"/>
      <c r="E140" s="2" t="n"/>
      <c r="F140" s="31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116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46026</v>
      </c>
      <c r="E141" s="2" t="n"/>
      <c r="F141" s="11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46026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116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116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31" t="n">
        <v>20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26" t="n">
        <v>4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31" t="n">
        <v>14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26" t="n">
        <v>4.1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31" t="n">
        <v>17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116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31" t="n">
        <v>4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116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116" t="n"/>
      <c r="B147" s="97" t="n"/>
      <c r="C147" s="97" t="n"/>
      <c r="D147" s="97" t="n"/>
      <c r="E147" s="2" t="n"/>
      <c r="F147" s="116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116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123" t="inlineStr">
        <is>
          <t>Total Payable</t>
        </is>
      </c>
      <c r="G148" s="124" t="n"/>
      <c r="H148" s="125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31" t="n"/>
      <c r="B149" s="2" t="n"/>
      <c r="C149" s="2" t="n"/>
      <c r="D149" s="2" t="n"/>
      <c r="E149" s="2" t="n"/>
      <c r="F149" s="127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116" t="inlineStr">
        <is>
          <t>Name</t>
        </is>
      </c>
      <c r="B150" s="97" t="inlineStr">
        <is>
          <t>UDARAMJI</t>
        </is>
      </c>
      <c r="C150" s="97" t="inlineStr">
        <is>
          <t>CHINTAL</t>
        </is>
      </c>
      <c r="D150" s="9" t="n">
        <v>46026</v>
      </c>
      <c r="E150" s="2" t="n"/>
      <c r="F150" s="116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46026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116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116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31" t="n">
        <v>4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26" t="n">
        <v>20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116" t="n"/>
      <c r="B153" s="97" t="n"/>
      <c r="C153" s="97" t="n"/>
      <c r="D153" s="97" t="n"/>
      <c r="E153" s="2" t="n"/>
      <c r="F153" s="26" t="n">
        <v>17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116" t="n"/>
      <c r="B154" s="97" t="n"/>
      <c r="C154" s="97" t="n"/>
      <c r="D154" s="97" t="n"/>
      <c r="E154" s="2" t="n"/>
      <c r="F154" s="26" t="n">
        <v>4</v>
      </c>
      <c r="G154" s="97" t="n">
        <v>1000000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116" t="n"/>
      <c r="B155" s="97" t="n"/>
      <c r="C155" s="97" t="n"/>
      <c r="D155" s="97" t="n"/>
      <c r="E155" s="2" t="n"/>
      <c r="F155" s="116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116" t="n"/>
      <c r="B156" s="97" t="n"/>
      <c r="C156" s="97" t="n"/>
      <c r="D156" s="97" t="n"/>
      <c r="E156" s="2" t="n"/>
      <c r="F156" s="116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116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123" t="inlineStr">
        <is>
          <t>Total Payable</t>
        </is>
      </c>
      <c r="G157" s="124" t="n"/>
      <c r="H157" s="125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thickBot="1" thickTop="1">
      <c r="A158" s="31" t="n"/>
      <c r="B158" s="2" t="n"/>
      <c r="C158" s="2" t="n"/>
      <c r="D158" s="2" t="n"/>
      <c r="E158" s="2" t="n"/>
      <c r="F158" s="31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116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46026</v>
      </c>
      <c r="E159" s="2" t="n"/>
      <c r="F159" s="116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46026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116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116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31" t="n">
        <v>20.1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26" t="n">
        <v>20.1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116" t="n"/>
      <c r="B162" s="97" t="n"/>
      <c r="C162" s="97" t="n"/>
      <c r="D162" s="97" t="n"/>
      <c r="E162" s="2" t="n"/>
      <c r="F162" s="116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116" t="n"/>
      <c r="B163" s="97" t="n"/>
      <c r="C163" s="97" t="n"/>
      <c r="D163" s="97" t="n"/>
      <c r="E163" s="2" t="n"/>
      <c r="F163" s="116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116" t="n"/>
      <c r="B164" s="97" t="n"/>
      <c r="C164" s="97" t="n"/>
      <c r="D164" s="97" t="n"/>
      <c r="E164" s="2" t="n"/>
      <c r="F164" s="116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116" t="n"/>
      <c r="B165" s="97" t="n"/>
      <c r="C165" s="97" t="n"/>
      <c r="D165" s="97" t="n"/>
      <c r="E165" s="2" t="n"/>
      <c r="F165" s="116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116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123" t="inlineStr">
        <is>
          <t>Total Payable</t>
        </is>
      </c>
      <c r="G166" s="124" t="n"/>
      <c r="H166" s="125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thickBot="1" thickTop="1">
      <c r="A167" s="31" t="n"/>
      <c r="B167" s="2" t="n"/>
      <c r="C167" s="2" t="n"/>
      <c r="D167" s="2" t="n"/>
      <c r="E167" s="2" t="n"/>
      <c r="F167" s="31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116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46026</v>
      </c>
      <c r="E168" s="2" t="n"/>
      <c r="F168" s="116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46026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116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116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31" t="n">
        <v>20.1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26" t="n">
        <v>20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31" t="n">
        <v>9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26" t="n">
        <v>14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31" t="n">
        <v>9</v>
      </c>
      <c r="B172" s="97" t="n">
        <v>1000000</v>
      </c>
      <c r="C172" s="97">
        <f>VLOOKUP(A172&amp;"|"&amp;B172,$O$3:$P$16,2,FALSE)</f>
        <v/>
      </c>
      <c r="D172" s="97">
        <f>VLOOKUP(A172&amp;"|"&amp;B172,$Q$3:$R$16,2,FALSE)</f>
        <v/>
      </c>
      <c r="E172" s="2" t="n"/>
      <c r="F172" s="116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116" t="n"/>
      <c r="B173" s="97" t="n"/>
      <c r="C173" s="97" t="n"/>
      <c r="D173" s="97" t="n"/>
      <c r="E173" s="2" t="n"/>
      <c r="F173" s="116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116" t="n"/>
      <c r="B174" s="97" t="n"/>
      <c r="C174" s="97" t="n"/>
      <c r="D174" s="97" t="n"/>
      <c r="E174" s="2" t="n"/>
      <c r="F174" s="116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116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123" t="inlineStr">
        <is>
          <t>Total Payable</t>
        </is>
      </c>
      <c r="G175" s="124" t="n"/>
      <c r="H175" s="125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thickBot="1" thickTop="1">
      <c r="A176" s="31" t="n"/>
      <c r="B176" s="2" t="n"/>
      <c r="C176" s="2" t="n"/>
      <c r="D176" s="2" t="n"/>
      <c r="E176" s="2" t="n"/>
      <c r="F176" s="31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116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46026</v>
      </c>
      <c r="E177" s="2" t="n"/>
      <c r="F177" s="116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46026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116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116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31" t="n">
        <v>9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26" t="n">
        <v>20.1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31" t="n">
        <v>17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116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116" t="n"/>
      <c r="B181" s="97" t="n"/>
      <c r="C181" s="97" t="n"/>
      <c r="D181" s="97" t="n"/>
      <c r="E181" s="2" t="n"/>
      <c r="F181" s="116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116" t="n"/>
      <c r="B182" s="97" t="n"/>
      <c r="C182" s="97" t="n"/>
      <c r="D182" s="97" t="n"/>
      <c r="E182" s="2" t="n"/>
      <c r="F182" s="116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116" t="n"/>
      <c r="B183" s="97" t="n"/>
      <c r="C183" s="97" t="n"/>
      <c r="D183" s="97" t="n"/>
      <c r="E183" s="2" t="n"/>
      <c r="F183" s="116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116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123" t="inlineStr">
        <is>
          <t>Total Payable</t>
        </is>
      </c>
      <c r="G184" s="124" t="n"/>
      <c r="H184" s="125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thickBot="1" thickTop="1">
      <c r="A185" s="31" t="inlineStr">
        <is>
          <t> </t>
        </is>
      </c>
      <c r="B185" s="2" t="n"/>
      <c r="C185" s="2" t="n"/>
      <c r="D185" s="2" t="n"/>
      <c r="E185" s="2" t="n"/>
      <c r="F185" s="31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1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46026</v>
      </c>
      <c r="E186" s="2" t="n"/>
      <c r="F186" s="116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46026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116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116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31" t="n">
        <v>4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26" t="n">
        <v>20.1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31" t="n">
        <v>20.1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116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31" t="n"/>
      <c r="B190" s="97" t="n"/>
      <c r="C190" s="97" t="n"/>
      <c r="D190" s="97" t="n"/>
      <c r="E190" s="2" t="n"/>
      <c r="F190" s="116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116" t="n"/>
      <c r="B191" s="97" t="n"/>
      <c r="C191" s="97" t="n"/>
      <c r="D191" s="97" t="n"/>
      <c r="E191" s="2" t="n"/>
      <c r="F191" s="116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116" t="n"/>
      <c r="B192" s="97" t="n"/>
      <c r="C192" s="97" t="n"/>
      <c r="D192" s="97" t="n"/>
      <c r="E192" s="2" t="n"/>
      <c r="F192" s="116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116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123" t="inlineStr">
        <is>
          <t>Total Payable</t>
        </is>
      </c>
      <c r="G193" s="124" t="n"/>
      <c r="H193" s="125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thickBot="1" thickTop="1">
      <c r="A194" s="31" t="n"/>
      <c r="B194" s="2" t="n"/>
      <c r="C194" s="2" t="n"/>
      <c r="D194" s="2" t="n"/>
      <c r="E194" s="2" t="n"/>
      <c r="F194" s="31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116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46026</v>
      </c>
      <c r="E195" s="2" t="n"/>
      <c r="F195" s="116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46026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116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116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31" t="n">
        <v>20.1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26" t="n">
        <v>20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31" t="n">
        <v>9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116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116" t="n"/>
      <c r="B199" s="97" t="n"/>
      <c r="C199" s="97" t="n"/>
      <c r="D199" s="97" t="n"/>
      <c r="E199" s="2" t="n"/>
      <c r="F199" s="116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116" t="n"/>
      <c r="B200" s="97" t="n"/>
      <c r="C200" s="97" t="n"/>
      <c r="D200" s="97" t="n"/>
      <c r="E200" s="2" t="n"/>
      <c r="F200" s="116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116" t="n"/>
      <c r="B201" s="97" t="n"/>
      <c r="C201" s="97" t="n"/>
      <c r="D201" s="97" t="n"/>
      <c r="E201" s="2" t="n"/>
      <c r="F201" s="116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116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123" t="inlineStr">
        <is>
          <t>Total Payable</t>
        </is>
      </c>
      <c r="G202" s="124" t="n"/>
      <c r="H202" s="125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thickBot="1" thickTop="1">
      <c r="A203" s="31" t="n"/>
      <c r="B203" s="2" t="n"/>
      <c r="C203" s="2" t="n"/>
      <c r="D203" s="2" t="n"/>
      <c r="E203" s="2" t="n"/>
      <c r="F203" s="31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1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46026</v>
      </c>
      <c r="F204" s="11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46026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116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116" t="inlineStr">
        <is>
          <t>Month</t>
        </is>
      </c>
      <c r="G205" s="97" t="inlineStr">
        <is>
          <t>PLAN</t>
        </is>
      </c>
      <c r="H205" s="97" t="inlineStr">
        <is>
          <t>Commission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31" t="n">
        <v>20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26" t="n">
        <v>4.1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31" t="n">
        <v>20.1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26" t="n">
        <v>9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116" t="n"/>
      <c r="B208" s="97" t="n"/>
      <c r="C208" s="97" t="n"/>
      <c r="D208" s="97" t="n"/>
      <c r="E208" s="2" t="n"/>
      <c r="F208" s="116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116" t="n"/>
      <c r="B209" s="97" t="n"/>
      <c r="C209" s="97" t="n"/>
      <c r="D209" s="97" t="n"/>
      <c r="E209" s="2" t="n"/>
      <c r="F209" s="116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116" t="n"/>
      <c r="B210" s="97" t="n"/>
      <c r="C210" s="97" t="n"/>
      <c r="D210" s="97" t="n"/>
      <c r="E210" s="2" t="n"/>
      <c r="F210" s="116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116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123" t="inlineStr">
        <is>
          <t>Total Payable</t>
        </is>
      </c>
      <c r="G211" s="124" t="n"/>
      <c r="H211" s="125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thickBot="1" thickTop="1">
      <c r="A212" s="31" t="n"/>
      <c r="B212" s="2" t="n"/>
      <c r="C212" s="2" t="n"/>
      <c r="D212" s="2" t="n"/>
      <c r="E212" s="2" t="n"/>
      <c r="F212" s="31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116" t="inlineStr">
        <is>
          <t>Name</t>
        </is>
      </c>
      <c r="B213" s="97" t="n"/>
      <c r="C213" s="97" t="inlineStr">
        <is>
          <t>GUTTA</t>
        </is>
      </c>
      <c r="D213" s="9" t="n">
        <v>46026</v>
      </c>
      <c r="E213" s="2" t="n"/>
      <c r="F213" s="116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46026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116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116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31" t="n"/>
      <c r="B215" s="97" t="n"/>
      <c r="C215" s="97" t="n"/>
      <c r="D215" s="97" t="n"/>
      <c r="E215" s="2" t="n"/>
      <c r="F215" s="26" t="n">
        <v>4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116" t="n"/>
      <c r="B216" s="97" t="n"/>
      <c r="C216" s="97" t="n"/>
      <c r="D216" s="97" t="n"/>
      <c r="E216" s="2" t="n"/>
      <c r="F216" s="26" t="n">
        <v>17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116" t="n"/>
      <c r="B217" s="97" t="n"/>
      <c r="C217" s="97" t="n"/>
      <c r="D217" s="97" t="n"/>
      <c r="E217" s="2" t="n"/>
      <c r="F217" s="116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116" t="n"/>
      <c r="B218" s="97" t="n"/>
      <c r="C218" s="97" t="n"/>
      <c r="D218" s="97" t="n"/>
      <c r="E218" s="2" t="n"/>
      <c r="F218" s="116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116" t="n"/>
      <c r="B219" s="97" t="n"/>
      <c r="C219" s="97" t="n"/>
      <c r="D219" s="97" t="n"/>
      <c r="E219" s="2" t="n"/>
      <c r="F219" s="116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116" t="inlineStr">
        <is>
          <t>Total Payable</t>
        </is>
      </c>
      <c r="B220" s="97" t="n"/>
      <c r="C220" s="97" t="n"/>
      <c r="D220" s="97" t="n"/>
      <c r="E220" s="2" t="n"/>
      <c r="F220" s="123" t="inlineStr">
        <is>
          <t>Total Payable</t>
        </is>
      </c>
      <c r="G220" s="124" t="n"/>
      <c r="H220" s="125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thickBot="1" thickTop="1">
      <c r="A221" s="31" t="n"/>
      <c r="B221" s="2" t="n"/>
      <c r="C221" s="2" t="n"/>
      <c r="D221" s="2" t="n"/>
      <c r="E221" s="2" t="n"/>
      <c r="F221" s="31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116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46026</v>
      </c>
      <c r="E222" s="2" t="n"/>
      <c r="F222" s="116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46026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116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116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31" t="n">
        <v>14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57" t="n">
        <v>14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116" t="n"/>
      <c r="B225" s="97" t="n"/>
      <c r="C225" s="97" t="n"/>
      <c r="D225" s="97" t="n"/>
      <c r="E225" s="2" t="n"/>
      <c r="F225" s="116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116" t="n"/>
      <c r="B226" s="97" t="n"/>
      <c r="C226" s="97" t="n"/>
      <c r="D226" s="97" t="n"/>
      <c r="E226" s="2" t="n"/>
      <c r="F226" s="116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116" t="n"/>
      <c r="B227" s="97" t="n"/>
      <c r="C227" s="97" t="n"/>
      <c r="D227" s="97" t="n"/>
      <c r="E227" s="2" t="n"/>
      <c r="F227" s="116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116" t="n"/>
      <c r="B228" s="97" t="n"/>
      <c r="C228" s="97" t="n"/>
      <c r="D228" s="97" t="n"/>
      <c r="E228" s="2" t="n"/>
      <c r="F228" s="116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116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123" t="inlineStr">
        <is>
          <t>Total Payable</t>
        </is>
      </c>
      <c r="G229" s="124" t="n"/>
      <c r="H229" s="125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thickBot="1" thickTop="1">
      <c r="A230" s="31" t="n"/>
      <c r="B230" s="2" t="n"/>
      <c r="C230" s="2" t="n"/>
      <c r="D230" s="2" t="n"/>
      <c r="E230" s="2" t="n"/>
      <c r="F230" s="31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116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46026</v>
      </c>
      <c r="E231" s="2" t="n"/>
      <c r="F231" s="116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46026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116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116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31" t="n">
        <v>9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57" t="n">
        <v>9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116" t="n"/>
      <c r="B234" s="97" t="n"/>
      <c r="C234" s="97" t="n"/>
      <c r="D234" s="97" t="n"/>
      <c r="E234" s="2" t="n"/>
      <c r="F234" s="116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116" t="n"/>
      <c r="B235" s="97" t="n"/>
      <c r="C235" s="97" t="n"/>
      <c r="D235" s="97" t="n"/>
      <c r="E235" s="2" t="n"/>
      <c r="F235" s="116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116" t="n"/>
      <c r="B236" s="97" t="n"/>
      <c r="C236" s="97" t="n"/>
      <c r="D236" s="97" t="n"/>
      <c r="E236" s="2" t="n"/>
      <c r="F236" s="116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116" t="n"/>
      <c r="B237" s="97" t="n"/>
      <c r="C237" s="97" t="n"/>
      <c r="D237" s="97" t="n"/>
      <c r="E237" s="2" t="n"/>
      <c r="F237" s="116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116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123" t="inlineStr">
        <is>
          <t>Total Payable</t>
        </is>
      </c>
      <c r="G238" s="124" t="n"/>
      <c r="H238" s="125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thickBot="1" thickTop="1">
      <c r="A239" s="31" t="n"/>
      <c r="B239" s="2" t="n"/>
      <c r="C239" s="2" t="n"/>
      <c r="D239" s="2" t="n"/>
      <c r="E239" s="2" t="n"/>
      <c r="F239" s="31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116" t="inlineStr">
        <is>
          <t>Name</t>
        </is>
      </c>
      <c r="B240" s="97" t="inlineStr">
        <is>
          <t>RAMESHJI</t>
        </is>
      </c>
      <c r="C240" s="97" t="inlineStr">
        <is>
          <t>KONDAPUR</t>
        </is>
      </c>
      <c r="D240" s="9" t="n">
        <v>46026</v>
      </c>
      <c r="E240" s="2" t="n"/>
      <c r="F240" s="116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46026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116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116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31" t="n">
        <v>4</v>
      </c>
      <c r="B242" s="97" t="n">
        <v>500000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57" t="n">
        <v>4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31" t="n">
        <v>4</v>
      </c>
      <c r="B243" s="97" t="n">
        <v>500000</v>
      </c>
      <c r="C243" s="97">
        <f>VLOOKUP(A243&amp;"|"&amp;B243,$O$3:$P$19,2,FALSE)</f>
        <v/>
      </c>
      <c r="D243" s="97">
        <f>VLOOKUP(A243&amp;"|"&amp;B243,$Q$3:$R$19,2,FALSE)</f>
        <v/>
      </c>
      <c r="E243" s="2" t="n"/>
      <c r="F243" s="57" t="n">
        <v>9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116" t="n"/>
      <c r="B244" s="97" t="n"/>
      <c r="C244" s="97" t="n"/>
      <c r="D244" s="97" t="n"/>
      <c r="E244" s="2" t="n"/>
      <c r="F244" s="57" t="n">
        <v>17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116" t="n"/>
      <c r="B245" s="97" t="n"/>
      <c r="C245" s="97" t="n"/>
      <c r="D245" s="97" t="n"/>
      <c r="E245" s="2" t="n"/>
      <c r="F245" s="57" t="n">
        <v>17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116" t="n"/>
      <c r="B246" s="97" t="n"/>
      <c r="C246" s="97" t="n"/>
      <c r="D246" s="97" t="n"/>
      <c r="E246" s="2" t="n"/>
      <c r="F246" s="57" t="n">
        <v>4.1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116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123" t="inlineStr">
        <is>
          <t>Total Payable</t>
        </is>
      </c>
      <c r="G247" s="124" t="n"/>
      <c r="H247" s="125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thickBot="1" thickTop="1">
      <c r="A248" s="31" t="n"/>
      <c r="B248" s="2" t="n"/>
      <c r="C248" s="2" t="n"/>
      <c r="D248" s="2" t="n"/>
      <c r="E248" s="2" t="n"/>
      <c r="F248" s="31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116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46026</v>
      </c>
      <c r="E249" s="2" t="n"/>
      <c r="F249" s="116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46026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116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116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31" t="n">
        <v>4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57" t="n">
        <v>14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31" t="n">
        <v>4.1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116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116" t="n"/>
      <c r="B253" s="97" t="n"/>
      <c r="C253" s="97" t="n"/>
      <c r="D253" s="97" t="n"/>
      <c r="E253" s="2" t="n"/>
      <c r="F253" s="116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116" t="n"/>
      <c r="B254" s="97" t="n"/>
      <c r="C254" s="97" t="n"/>
      <c r="D254" s="97" t="n"/>
      <c r="E254" s="2" t="n"/>
      <c r="F254" s="116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116" t="n"/>
      <c r="B255" s="97" t="n"/>
      <c r="C255" s="97" t="n"/>
      <c r="D255" s="97" t="n"/>
      <c r="E255" s="2" t="n"/>
      <c r="F255" s="116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116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123" t="inlineStr">
        <is>
          <t>Total Payable</t>
        </is>
      </c>
      <c r="G256" s="124" t="n"/>
      <c r="H256" s="125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thickBot="1" thickTop="1">
      <c r="A257" s="31" t="n"/>
      <c r="B257" s="2" t="n"/>
      <c r="C257" s="2" t="n"/>
      <c r="D257" s="2" t="n"/>
      <c r="E257" s="2" t="n"/>
      <c r="F257" s="31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116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46026</v>
      </c>
      <c r="E258" s="2" t="n"/>
      <c r="F258" s="116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46026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116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116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31" t="n">
        <v>20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57" t="n">
        <v>4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31" t="n">
        <v>9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57" t="n">
        <v>4</v>
      </c>
      <c r="G261" s="97" t="n">
        <v>500000</v>
      </c>
      <c r="H261" s="97">
        <f>VLOOKUP(F261&amp;"|"&amp;G261,$O$3:$P$16,2,FALSE)</f>
        <v/>
      </c>
      <c r="I261" s="97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116" t="n"/>
      <c r="B262" s="97" t="n"/>
      <c r="C262" s="97" t="n"/>
      <c r="D262" s="97" t="n"/>
      <c r="E262" s="2" t="n"/>
      <c r="F262" s="116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116" t="n"/>
      <c r="B263" s="97" t="n"/>
      <c r="C263" s="97" t="n"/>
      <c r="D263" s="97" t="n"/>
      <c r="E263" s="2" t="n"/>
      <c r="F263" s="116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116" t="n"/>
      <c r="B264" s="97" t="n"/>
      <c r="C264" s="97" t="n"/>
      <c r="D264" s="97" t="n"/>
      <c r="E264" s="2" t="n"/>
      <c r="F264" s="116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116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123" t="inlineStr">
        <is>
          <t>Total Payable</t>
        </is>
      </c>
      <c r="G265" s="124" t="n"/>
      <c r="H265" s="125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thickBot="1" thickTop="1">
      <c r="A266" s="31" t="n"/>
      <c r="B266" s="2" t="n"/>
      <c r="C266" s="2" t="n"/>
      <c r="D266" s="2" t="n"/>
      <c r="E266" s="2" t="n"/>
      <c r="F266" s="31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116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46026</v>
      </c>
      <c r="E267" s="2" t="n"/>
      <c r="F267" s="116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46026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116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116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31" t="n">
        <v>9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57" t="n">
        <v>9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116" t="n"/>
      <c r="B270" s="97" t="n"/>
      <c r="C270" s="97" t="n"/>
      <c r="D270" s="97" t="n"/>
      <c r="E270" s="2" t="n"/>
      <c r="F270" s="116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116" t="n"/>
      <c r="B271" s="97" t="n"/>
      <c r="C271" s="97" t="n"/>
      <c r="D271" s="97" t="n"/>
      <c r="E271" s="2" t="n"/>
      <c r="F271" s="116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116" t="n"/>
      <c r="B272" s="97" t="n"/>
      <c r="C272" s="97" t="n"/>
      <c r="D272" s="97" t="n"/>
      <c r="E272" s="2" t="n"/>
      <c r="F272" s="116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116" t="n"/>
      <c r="B273" s="97" t="n"/>
      <c r="C273" s="97" t="n"/>
      <c r="D273" s="97" t="n"/>
      <c r="E273" s="2" t="n"/>
      <c r="F273" s="116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116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123" t="inlineStr">
        <is>
          <t>Total Payable</t>
        </is>
      </c>
      <c r="G274" s="124" t="n"/>
      <c r="H274" s="125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thickBot="1" thickTop="1">
      <c r="A275" s="31" t="n"/>
      <c r="B275" s="2" t="n"/>
      <c r="C275" s="2" t="n"/>
      <c r="D275" s="2" t="n"/>
      <c r="E275" s="2" t="n"/>
      <c r="F275" s="31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116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46026</v>
      </c>
      <c r="E276" s="2" t="n"/>
      <c r="F276" s="116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46026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116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116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31" t="n">
        <v>9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57" t="n">
        <v>9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31" t="n">
        <v>4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57" t="n">
        <v>4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116" t="n"/>
      <c r="B280" s="97" t="n"/>
      <c r="C280" s="97" t="n"/>
      <c r="D280" s="97" t="n"/>
      <c r="E280" s="2" t="n"/>
      <c r="F280" s="57" t="n">
        <v>17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116" t="n"/>
      <c r="B281" s="97" t="n"/>
      <c r="C281" s="97" t="n"/>
      <c r="D281" s="97" t="n"/>
      <c r="E281" s="2" t="n"/>
      <c r="F281" s="57" t="n">
        <v>17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116" t="n"/>
      <c r="B282" s="97" t="n"/>
      <c r="C282" s="97" t="n"/>
      <c r="D282" s="97" t="n"/>
      <c r="E282" s="2" t="n"/>
      <c r="F282" s="57" t="n">
        <v>9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116" t="n"/>
      <c r="B283" s="97" t="n"/>
      <c r="C283" s="97" t="n"/>
      <c r="D283" s="97" t="n"/>
      <c r="E283" s="2" t="n"/>
      <c r="F283" s="57" t="n">
        <v>14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116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123" t="inlineStr">
        <is>
          <t>Total Payable</t>
        </is>
      </c>
      <c r="G284" s="124" t="n"/>
      <c r="H284" s="125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127" t="n"/>
      <c r="B285" s="91" t="n"/>
      <c r="C285" s="91" t="n"/>
      <c r="D285" s="91" t="n"/>
      <c r="E285" s="2" t="n"/>
      <c r="F285" s="31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1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46026</v>
      </c>
      <c r="E286" s="2" t="n"/>
      <c r="F286" s="116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46026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116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116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31" t="n">
        <v>9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57" t="n">
        <v>9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31" t="n">
        <v>9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57" t="n">
        <v>14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116" t="n"/>
      <c r="B290" s="97" t="n"/>
      <c r="C290" s="97" t="n"/>
      <c r="D290" s="97" t="n"/>
      <c r="E290" s="2" t="n"/>
      <c r="F290" s="57" t="n">
        <v>17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116" t="n"/>
      <c r="B291" s="97" t="n"/>
      <c r="C291" s="97" t="n"/>
      <c r="D291" s="97" t="n"/>
      <c r="E291" s="2" t="n"/>
      <c r="F291" s="57" t="n">
        <v>17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116" t="n"/>
      <c r="B292" s="97" t="n"/>
      <c r="C292" s="97" t="n"/>
      <c r="D292" s="97" t="n"/>
      <c r="E292" s="2" t="n"/>
      <c r="F292" s="116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62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123" t="inlineStr">
        <is>
          <t>Total Payable</t>
        </is>
      </c>
      <c r="G293" s="124" t="n"/>
      <c r="H293" s="125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thickBot="1" thickTop="1">
      <c r="A294" s="31" t="n"/>
      <c r="B294" s="2" t="n"/>
      <c r="C294" s="2" t="n"/>
      <c r="D294" s="2" t="n"/>
      <c r="E294" s="2" t="n"/>
      <c r="F294" s="31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116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46026</v>
      </c>
      <c r="E295" s="2" t="n"/>
      <c r="F295" s="116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46026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116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116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31" t="n">
        <v>9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57" t="n">
        <v>9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31" t="n">
        <v>17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57" t="n">
        <v>9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31" t="n">
        <v>20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116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116" t="n"/>
      <c r="B300" s="97" t="n"/>
      <c r="C300" s="97" t="n"/>
      <c r="D300" s="97" t="n"/>
      <c r="E300" s="2" t="n"/>
      <c r="F300" s="116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116" t="n"/>
      <c r="B301" s="97" t="n"/>
      <c r="C301" s="97" t="n"/>
      <c r="D301" s="97" t="n"/>
      <c r="E301" s="2" t="n"/>
      <c r="F301" s="116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116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123" t="inlineStr">
        <is>
          <t>Total Payable</t>
        </is>
      </c>
      <c r="G302" s="124" t="n"/>
      <c r="H302" s="125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thickBot="1" thickTop="1">
      <c r="A303" s="31" t="n"/>
      <c r="B303" s="2" t="n"/>
      <c r="C303" s="2" t="inlineStr">
        <is>
          <t>           </t>
        </is>
      </c>
      <c r="D303" s="2" t="n"/>
      <c r="E303" s="2" t="n"/>
      <c r="F303" s="31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116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46026</v>
      </c>
      <c r="E304" s="2" t="n"/>
      <c r="F304" s="116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46026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116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116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31" t="n">
        <v>9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57" t="n">
        <v>9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31" t="n">
        <v>4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116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116" t="n"/>
      <c r="B308" s="97" t="n"/>
      <c r="C308" s="97" t="n"/>
      <c r="D308" s="97" t="n"/>
      <c r="E308" s="2" t="n"/>
      <c r="F308" s="116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116" t="n"/>
      <c r="B309" s="97" t="n"/>
      <c r="C309" s="97" t="n"/>
      <c r="D309" s="97" t="n"/>
      <c r="E309" s="2" t="n"/>
      <c r="F309" s="116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116" t="n"/>
      <c r="B310" s="97" t="n"/>
      <c r="C310" s="97" t="n"/>
      <c r="D310" s="97" t="n"/>
      <c r="E310" s="2" t="n"/>
      <c r="F310" s="116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116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123" t="inlineStr">
        <is>
          <t>Total Payable</t>
        </is>
      </c>
      <c r="G311" s="124" t="n"/>
      <c r="H311" s="125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thickBot="1" thickTop="1">
      <c r="A312" s="31" t="n"/>
      <c r="B312" s="2" t="n"/>
      <c r="C312" s="2" t="n"/>
      <c r="D312" s="2" t="n"/>
      <c r="E312" s="2" t="n"/>
      <c r="F312" s="31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116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46026</v>
      </c>
      <c r="E313" s="2" t="n"/>
      <c r="F313" s="116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46026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116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116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31" t="n">
        <v>9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57" t="n">
        <v>20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31" t="n">
        <v>14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116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116" t="n"/>
      <c r="B317" s="97" t="n"/>
      <c r="C317" s="97" t="n"/>
      <c r="D317" s="97" t="n"/>
      <c r="E317" s="2" t="n"/>
      <c r="F317" s="116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116" t="n"/>
      <c r="B318" s="97" t="n"/>
      <c r="C318" s="97" t="n"/>
      <c r="D318" s="97" t="n"/>
      <c r="E318" s="2" t="n"/>
      <c r="F318" s="116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116" t="n"/>
      <c r="B319" s="97" t="n"/>
      <c r="C319" s="97" t="n"/>
      <c r="D319" s="97" t="n"/>
      <c r="E319" s="2" t="n"/>
      <c r="F319" s="116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116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123" t="inlineStr">
        <is>
          <t>Total Payable</t>
        </is>
      </c>
      <c r="G320" s="124" t="n"/>
      <c r="H320" s="125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thickBot="1" thickTop="1">
      <c r="A321" s="31" t="n"/>
      <c r="B321" s="2" t="n"/>
      <c r="C321" s="2" t="n"/>
      <c r="D321" s="2" t="n"/>
      <c r="E321" s="2" t="n"/>
      <c r="F321" s="31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116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46026</v>
      </c>
      <c r="E322" s="2" t="n"/>
      <c r="F322" s="116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46026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116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116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31" t="n">
        <v>4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57" t="n">
        <v>14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116" t="n"/>
      <c r="B325" s="97" t="n"/>
      <c r="C325" s="97" t="n"/>
      <c r="D325" s="97" t="n"/>
      <c r="E325" s="2" t="n"/>
      <c r="F325" s="116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116" t="n"/>
      <c r="B326" s="97" t="n"/>
      <c r="C326" s="97" t="n"/>
      <c r="D326" s="97" t="n"/>
      <c r="E326" s="2" t="n"/>
      <c r="F326" s="116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116" t="n"/>
      <c r="B327" s="97" t="n"/>
      <c r="C327" s="97" t="n"/>
      <c r="D327" s="97" t="n"/>
      <c r="E327" s="91" t="n"/>
      <c r="F327" s="116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116" t="n"/>
      <c r="B328" s="97" t="n"/>
      <c r="C328" s="97" t="n"/>
      <c r="D328" s="97" t="n"/>
      <c r="E328" s="2" t="n"/>
      <c r="F328" s="116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116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123" t="inlineStr">
        <is>
          <t>Total Payable</t>
        </is>
      </c>
      <c r="G329" s="124" t="n"/>
      <c r="H329" s="125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thickBot="1" thickTop="1">
      <c r="A330" s="31" t="n"/>
      <c r="B330" s="2" t="n"/>
      <c r="C330" s="2" t="n"/>
      <c r="D330" s="2" t="n"/>
      <c r="E330" s="2" t="n"/>
      <c r="F330" s="31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116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46026</v>
      </c>
      <c r="E331" s="2" t="n"/>
      <c r="F331" s="116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46026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116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116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31" t="n">
        <v>14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57" t="n">
        <v>14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31" t="n">
        <v>17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116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116" t="n"/>
      <c r="B335" s="97" t="n"/>
      <c r="C335" s="97" t="n"/>
      <c r="D335" s="97" t="n"/>
      <c r="E335" s="2" t="n"/>
      <c r="F335" s="116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116" t="n"/>
      <c r="B336" s="97" t="n"/>
      <c r="C336" s="97" t="n"/>
      <c r="D336" s="97" t="n"/>
      <c r="E336" s="2" t="n"/>
      <c r="F336" s="116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116" t="n"/>
      <c r="B337" s="97" t="n"/>
      <c r="C337" s="97" t="n"/>
      <c r="D337" s="97" t="n"/>
      <c r="E337" s="2" t="n"/>
      <c r="F337" s="116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116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123" t="inlineStr">
        <is>
          <t>Total Payable</t>
        </is>
      </c>
      <c r="G338" s="124" t="n"/>
      <c r="H338" s="125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thickBot="1" thickTop="1">
      <c r="A339" s="31" t="n"/>
      <c r="B339" s="2" t="n"/>
      <c r="C339" s="2" t="n"/>
      <c r="D339" s="2" t="n"/>
      <c r="E339" s="2" t="n"/>
      <c r="F339" s="31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116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46026</v>
      </c>
      <c r="E340" s="2" t="n"/>
      <c r="F340" s="116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46026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116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116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31" t="n">
        <v>17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57" t="n">
        <v>4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116" t="n"/>
      <c r="B343" s="97" t="n"/>
      <c r="C343" s="97" t="n"/>
      <c r="D343" s="97" t="n"/>
      <c r="E343" s="2" t="n"/>
      <c r="F343" s="116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116" t="n"/>
      <c r="B344" s="97" t="n"/>
      <c r="C344" s="97" t="n"/>
      <c r="D344" s="97" t="n"/>
      <c r="E344" s="2" t="n"/>
      <c r="F344" s="116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116" t="n"/>
      <c r="B345" s="97" t="n"/>
      <c r="C345" s="97" t="n"/>
      <c r="D345" s="97" t="n"/>
      <c r="E345" s="2" t="n"/>
      <c r="F345" s="116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116" t="n"/>
      <c r="B346" s="97" t="n"/>
      <c r="C346" s="97" t="n"/>
      <c r="D346" s="97" t="n"/>
      <c r="E346" s="2" t="n"/>
      <c r="F346" s="116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116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123" t="inlineStr">
        <is>
          <t>Total Payable</t>
        </is>
      </c>
      <c r="G347" s="124" t="n"/>
      <c r="H347" s="125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127" t="n"/>
      <c r="B348" s="91" t="n"/>
      <c r="C348" s="91" t="n"/>
      <c r="D348" s="91" t="n"/>
      <c r="E348" s="2" t="n"/>
      <c r="F348" s="31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116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46026</v>
      </c>
      <c r="E349" s="2" t="n"/>
      <c r="F349" s="116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46026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116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116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31" t="n">
        <v>20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57" t="n">
        <v>4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116" t="n"/>
      <c r="B352" s="97" t="n"/>
      <c r="C352" s="97" t="n"/>
      <c r="D352" s="97" t="n"/>
      <c r="E352" s="2" t="n"/>
      <c r="F352" s="116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116" t="n"/>
      <c r="B353" s="97" t="n"/>
      <c r="C353" s="97" t="n"/>
      <c r="D353" s="97" t="n"/>
      <c r="E353" s="2" t="n"/>
      <c r="F353" s="116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116" t="n"/>
      <c r="B354" s="97" t="n"/>
      <c r="C354" s="97" t="n"/>
      <c r="D354" s="97" t="n"/>
      <c r="E354" s="2" t="n"/>
      <c r="F354" s="116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116" t="n"/>
      <c r="B355" s="97" t="n"/>
      <c r="C355" s="97" t="n"/>
      <c r="D355" s="97" t="n"/>
      <c r="E355" s="2" t="n"/>
      <c r="F355" s="116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116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123" t="inlineStr">
        <is>
          <t>Total Payable</t>
        </is>
      </c>
      <c r="G356" s="124" t="n"/>
      <c r="H356" s="125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127" t="n"/>
      <c r="B357" s="91" t="n"/>
      <c r="C357" s="91" t="n"/>
      <c r="D357" s="91" t="n"/>
      <c r="E357" s="2" t="n"/>
      <c r="F357" s="31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116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46026</v>
      </c>
      <c r="E358" s="2" t="n"/>
      <c r="F358" s="116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46026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116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116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31" t="n">
        <v>9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57" t="n">
        <v>17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31" t="n">
        <v>4.1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116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116" t="n"/>
      <c r="B362" s="97" t="n"/>
      <c r="C362" s="97" t="n"/>
      <c r="D362" s="97" t="n"/>
      <c r="E362" s="2" t="n"/>
      <c r="F362" s="116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116" t="n"/>
      <c r="B363" s="97" t="n"/>
      <c r="C363" s="97" t="n"/>
      <c r="D363" s="97" t="n"/>
      <c r="E363" s="2" t="n"/>
      <c r="F363" s="116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116" t="n"/>
      <c r="B364" s="97" t="n"/>
      <c r="C364" s="97" t="n"/>
      <c r="D364" s="97" t="n"/>
      <c r="E364" s="2" t="n"/>
      <c r="F364" s="116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116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123" t="inlineStr">
        <is>
          <t>Total Payable</t>
        </is>
      </c>
      <c r="G365" s="124" t="n"/>
      <c r="H365" s="125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thickBot="1" thickTop="1">
      <c r="A366" s="31" t="n"/>
      <c r="B366" s="2" t="n"/>
      <c r="C366" s="2" t="n"/>
      <c r="D366" s="2" t="n"/>
      <c r="E366" s="2" t="n"/>
      <c r="F366" s="31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116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46026</v>
      </c>
      <c r="E367" s="2" t="n"/>
      <c r="F367" s="116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46026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116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116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31" t="n">
        <v>9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57" t="n">
        <v>17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31" t="n">
        <v>4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116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116" t="n"/>
      <c r="B371" s="97" t="n"/>
      <c r="C371" s="97" t="n"/>
      <c r="D371" s="97" t="n"/>
      <c r="E371" s="4" t="n"/>
      <c r="F371" s="116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116" t="n"/>
      <c r="B372" s="97" t="n"/>
      <c r="C372" s="97" t="n"/>
      <c r="D372" s="97" t="n"/>
      <c r="E372" s="4" t="n"/>
      <c r="F372" s="116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116" t="n"/>
      <c r="B373" s="97" t="n"/>
      <c r="C373" s="97" t="n"/>
      <c r="D373" s="97" t="n"/>
      <c r="E373" s="4" t="n"/>
      <c r="F373" s="116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116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123" t="inlineStr">
        <is>
          <t>Total Payable</t>
        </is>
      </c>
      <c r="G374" s="124" t="n"/>
      <c r="H374" s="125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thickBot="1" thickTop="1">
      <c r="A375" s="31" t="n"/>
      <c r="B375" s="2" t="n"/>
      <c r="C375" s="2" t="n"/>
      <c r="D375" s="2" t="n"/>
      <c r="E375" s="4" t="n"/>
      <c r="F375" s="31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116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46026</v>
      </c>
      <c r="E376" s="4" t="n"/>
      <c r="F376" s="116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46026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116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116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31" t="n">
        <v>9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57" t="n">
        <v>9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116" t="n"/>
      <c r="B379" s="97" t="n"/>
      <c r="C379" s="97" t="n"/>
      <c r="D379" s="97" t="n"/>
      <c r="E379" s="4" t="n"/>
      <c r="F379" s="116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116" t="n"/>
      <c r="B380" s="97" t="n"/>
      <c r="C380" s="97" t="n"/>
      <c r="D380" s="97" t="n"/>
      <c r="E380" s="4" t="n"/>
      <c r="F380" s="116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116" t="n"/>
      <c r="B381" s="97" t="n"/>
      <c r="C381" s="97" t="n"/>
      <c r="D381" s="97" t="n"/>
      <c r="E381" s="4" t="n"/>
      <c r="F381" s="116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116" t="n"/>
      <c r="B382" s="97" t="n"/>
      <c r="C382" s="97" t="n"/>
      <c r="D382" s="97" t="n"/>
      <c r="E382" s="4" t="n"/>
      <c r="F382" s="116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116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123" t="inlineStr">
        <is>
          <t>Total Payable</t>
        </is>
      </c>
      <c r="G383" s="124" t="n"/>
      <c r="H383" s="125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thickBot="1" thickTop="1">
      <c r="A384" s="31" t="n"/>
      <c r="B384" s="2" t="n"/>
      <c r="C384" s="2" t="n"/>
      <c r="D384" s="2" t="n"/>
      <c r="E384" s="4" t="n"/>
      <c r="F384" s="31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116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46026</v>
      </c>
      <c r="E385" s="4" t="n"/>
      <c r="F385" s="116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46026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116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116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31" t="n">
        <v>20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57" t="n">
        <v>14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31" t="n">
        <v>20.1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116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116" t="n"/>
      <c r="B389" s="97" t="n"/>
      <c r="C389" s="97" t="n"/>
      <c r="D389" s="97" t="n"/>
      <c r="E389" s="4" t="n"/>
      <c r="F389" s="116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116" t="n"/>
      <c r="B390" s="97" t="n"/>
      <c r="C390" s="97" t="n"/>
      <c r="D390" s="97" t="n"/>
      <c r="E390" s="4" t="n"/>
      <c r="F390" s="116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116" t="n"/>
      <c r="B391" s="97" t="n"/>
      <c r="C391" s="97" t="n"/>
      <c r="D391" s="97" t="n"/>
      <c r="E391" s="4" t="n"/>
      <c r="F391" s="116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62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123" t="inlineStr">
        <is>
          <t>Total Payable</t>
        </is>
      </c>
      <c r="G392" s="124" t="n"/>
      <c r="H392" s="125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31" t="n"/>
      <c r="B393" s="2" t="n"/>
      <c r="C393" s="2" t="n"/>
      <c r="D393" s="91" t="n"/>
      <c r="E393" s="4" t="n"/>
      <c r="F393" s="31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116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46026</v>
      </c>
      <c r="E394" s="4" t="n"/>
      <c r="F394" s="116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46026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116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116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31" t="n">
        <v>20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57" t="n">
        <v>9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116" t="n"/>
      <c r="B397" s="97" t="n"/>
      <c r="C397" s="97" t="n"/>
      <c r="D397" s="97" t="n"/>
      <c r="E397" s="4" t="n"/>
      <c r="F397" s="116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116" t="n"/>
      <c r="B398" s="97" t="n"/>
      <c r="C398" s="97" t="n"/>
      <c r="D398" s="97" t="n"/>
      <c r="E398" s="4" t="n"/>
      <c r="F398" s="116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116" t="n"/>
      <c r="B399" s="97" t="n"/>
      <c r="C399" s="97" t="n"/>
      <c r="D399" s="97" t="n"/>
      <c r="E399" s="4" t="n"/>
      <c r="F399" s="116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116" t="n"/>
      <c r="B400" s="97" t="n"/>
      <c r="C400" s="97" t="n"/>
      <c r="D400" s="97" t="n"/>
      <c r="E400" s="4" t="n"/>
      <c r="F400" s="116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62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123" t="inlineStr">
        <is>
          <t>Total Payable</t>
        </is>
      </c>
      <c r="G401" s="124" t="n"/>
      <c r="H401" s="125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31" t="n"/>
      <c r="B402" s="2" t="n"/>
      <c r="C402" s="2" t="n"/>
      <c r="D402" s="2" t="n"/>
      <c r="E402" s="4" t="n"/>
      <c r="F402" s="127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1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46026</v>
      </c>
      <c r="E403" s="4" t="n"/>
      <c r="F403" s="116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46026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116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116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31" t="n">
        <v>20.1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57" t="n">
        <v>20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116" t="n"/>
      <c r="B406" s="97" t="n"/>
      <c r="C406" s="97" t="n"/>
      <c r="D406" s="97" t="n"/>
      <c r="E406" s="4" t="n"/>
      <c r="F406" s="57" t="n">
        <v>4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116" t="n"/>
      <c r="B407" s="97" t="n"/>
      <c r="C407" s="97" t="n"/>
      <c r="D407" s="97" t="n"/>
      <c r="E407" s="4" t="n"/>
      <c r="F407" s="116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116" t="n"/>
      <c r="B408" s="97" t="n"/>
      <c r="C408" s="97" t="n"/>
      <c r="D408" s="97" t="n"/>
      <c r="E408" s="4" t="n"/>
      <c r="F408" s="116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116" t="n"/>
      <c r="B409" s="97" t="n"/>
      <c r="C409" s="97" t="n"/>
      <c r="D409" s="97" t="n"/>
      <c r="E409" s="4" t="n"/>
      <c r="F409" s="116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62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123" t="inlineStr">
        <is>
          <t>Total Payable</t>
        </is>
      </c>
      <c r="G410" s="124" t="n"/>
      <c r="H410" s="125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thickBot="1" thickTop="1">
      <c r="A411" s="31" t="n"/>
      <c r="B411" s="2" t="n"/>
      <c r="C411" s="2" t="n"/>
      <c r="D411" s="2" t="n"/>
      <c r="E411" s="4" t="n"/>
      <c r="F411" s="31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1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46026</v>
      </c>
      <c r="E412" s="4" t="n"/>
      <c r="F412" s="116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46026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116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116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116" t="n">
        <v>9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57" t="n">
        <v>4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116" t="n"/>
      <c r="B415" s="97" t="n"/>
      <c r="C415" s="97" t="n"/>
      <c r="D415" s="97" t="n"/>
      <c r="E415" s="4" t="n"/>
      <c r="F415" s="116" t="n"/>
      <c r="G415" s="97" t="n"/>
      <c r="H415" s="97" t="n"/>
      <c r="I415" s="9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116" t="n"/>
      <c r="B416" s="97" t="n"/>
      <c r="C416" s="97" t="n"/>
      <c r="D416" s="97" t="n"/>
      <c r="E416" s="4" t="n"/>
      <c r="F416" s="116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116" t="n"/>
      <c r="B417" s="97" t="n"/>
      <c r="C417" s="97" t="n"/>
      <c r="D417" s="97" t="n"/>
      <c r="E417" s="4" t="n"/>
      <c r="F417" s="116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116" t="n"/>
      <c r="B418" s="97" t="n"/>
      <c r="C418" s="97" t="n"/>
      <c r="D418" s="97" t="n"/>
      <c r="E418" s="4" t="n"/>
      <c r="F418" s="116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62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123" t="inlineStr">
        <is>
          <t>Total Payable</t>
        </is>
      </c>
      <c r="G419" s="124" t="n"/>
      <c r="H419" s="125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thickBot="1" thickTop="1">
      <c r="A420" s="31" t="n"/>
      <c r="B420" s="2" t="n"/>
      <c r="C420" s="2" t="n"/>
      <c r="D420" s="2" t="n"/>
      <c r="E420" s="4" t="n"/>
      <c r="F420" s="31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1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46026</v>
      </c>
      <c r="E421" s="4" t="n"/>
      <c r="F421" s="11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46026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116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116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31" t="n">
        <v>9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57" t="n">
        <v>9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116" t="n"/>
      <c r="B424" s="97" t="n"/>
      <c r="C424" s="97" t="n"/>
      <c r="D424" s="97" t="n"/>
      <c r="E424" s="4" t="n"/>
      <c r="F424" s="116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116" t="n"/>
      <c r="B425" s="97" t="n"/>
      <c r="C425" s="97" t="n"/>
      <c r="D425" s="97" t="n"/>
      <c r="E425" s="4" t="n"/>
      <c r="F425" s="116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116" t="n"/>
      <c r="B426" s="97" t="n"/>
      <c r="C426" s="97" t="n"/>
      <c r="D426" s="97" t="n"/>
      <c r="E426" s="4" t="n"/>
      <c r="F426" s="116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116" t="n"/>
      <c r="B427" s="97" t="n"/>
      <c r="C427" s="97" t="n"/>
      <c r="D427" s="97" t="n"/>
      <c r="E427" s="4" t="n"/>
      <c r="F427" s="116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62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81" t="inlineStr">
        <is>
          <t>TOTAL PAYABLE</t>
        </is>
      </c>
      <c r="G428" s="82" t="n"/>
      <c r="H428" s="83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thickBot="1" thickTop="1">
      <c r="A429" s="31" t="n"/>
      <c r="B429" s="2" t="n"/>
      <c r="C429" s="2" t="n"/>
      <c r="D429" s="2" t="n"/>
      <c r="E429" s="4" t="n"/>
      <c r="F429" s="31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1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46026</v>
      </c>
      <c r="E430" s="4" t="n"/>
      <c r="F430" s="11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46026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116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116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31" t="n">
        <v>9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57" t="n">
        <v>9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116" t="n"/>
      <c r="B433" s="97" t="n"/>
      <c r="C433" s="97" t="n"/>
      <c r="D433" s="97" t="n"/>
      <c r="E433" s="4" t="n"/>
      <c r="F433" s="116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116" t="n"/>
      <c r="B434" s="97" t="n"/>
      <c r="C434" s="97" t="n"/>
      <c r="D434" s="97" t="n"/>
      <c r="E434" s="4" t="n"/>
      <c r="F434" s="116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116" t="n"/>
      <c r="B435" s="97" t="n"/>
      <c r="C435" s="97" t="n"/>
      <c r="D435" s="97" t="n"/>
      <c r="E435" s="4" t="n"/>
      <c r="F435" s="116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116" t="n"/>
      <c r="B436" s="97" t="n"/>
      <c r="C436" s="97" t="n"/>
      <c r="D436" s="97" t="n"/>
      <c r="E436" s="4" t="n"/>
      <c r="F436" s="116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62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81" t="inlineStr">
        <is>
          <t>TOTAL PAYABLE</t>
        </is>
      </c>
      <c r="G437" s="82" t="n"/>
      <c r="H437" s="83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31" t="n"/>
      <c r="B438" s="6" t="n"/>
      <c r="C438" s="2" t="n"/>
      <c r="D438" s="91" t="n"/>
      <c r="E438" s="4" t="n"/>
      <c r="F438" s="31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1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46026</v>
      </c>
      <c r="E439" s="4" t="n"/>
      <c r="F439" s="11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46026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116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116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31" t="n">
        <v>4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57" t="n">
        <v>9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116" t="n"/>
      <c r="B442" s="97" t="n"/>
      <c r="C442" s="97" t="n"/>
      <c r="D442" s="97" t="n"/>
      <c r="E442" s="4" t="n"/>
      <c r="F442" s="116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116" t="n"/>
      <c r="B443" s="97" t="n"/>
      <c r="C443" s="97" t="n"/>
      <c r="D443" s="97" t="n"/>
      <c r="E443" s="4" t="n"/>
      <c r="F443" s="116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116" t="n"/>
      <c r="B444" s="97" t="n"/>
      <c r="C444" s="97" t="n"/>
      <c r="D444" s="97" t="n"/>
      <c r="E444" s="4" t="n"/>
      <c r="F444" s="116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116" t="n"/>
      <c r="B445" s="97" t="n"/>
      <c r="C445" s="97" t="n"/>
      <c r="D445" s="97" t="n"/>
      <c r="E445" s="4" t="n"/>
      <c r="F445" s="116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62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81" t="inlineStr">
        <is>
          <t>TOTAL PAYABLE</t>
        </is>
      </c>
      <c r="G446" s="82" t="n"/>
      <c r="H446" s="83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31" t="n"/>
      <c r="B447" s="2" t="n"/>
      <c r="C447" s="2" t="n"/>
      <c r="D447" s="2" t="n"/>
      <c r="E447" s="4" t="n"/>
      <c r="F447" s="31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1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46026</v>
      </c>
      <c r="E448" s="4" t="n"/>
      <c r="F448" s="11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46026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116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116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31" t="n">
        <v>4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57" t="n">
        <v>4.1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116" t="n"/>
      <c r="B451" s="97" t="n"/>
      <c r="C451" s="97" t="n"/>
      <c r="D451" s="97" t="n"/>
      <c r="E451" s="4" t="n"/>
      <c r="F451" s="116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116" t="n"/>
      <c r="B452" s="97" t="n"/>
      <c r="C452" s="97" t="n"/>
      <c r="D452" s="97" t="n"/>
      <c r="E452" s="4" t="n"/>
      <c r="F452" s="116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116" t="n"/>
      <c r="B453" s="97" t="n"/>
      <c r="C453" s="97" t="n"/>
      <c r="D453" s="97" t="n"/>
      <c r="E453" s="4" t="n"/>
      <c r="F453" s="116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116" t="n"/>
      <c r="B454" s="97" t="n"/>
      <c r="C454" s="97" t="n"/>
      <c r="D454" s="97" t="n"/>
      <c r="E454" s="4" t="n"/>
      <c r="F454" s="116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62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81" t="inlineStr">
        <is>
          <t>TOTAL PAYABLE</t>
        </is>
      </c>
      <c r="G455" s="82" t="n"/>
      <c r="H455" s="83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thickBot="1" thickTop="1">
      <c r="A456" s="31" t="n"/>
      <c r="B456" s="2" t="n"/>
      <c r="C456" s="2" t="n"/>
      <c r="D456" s="2" t="n"/>
      <c r="E456" s="4" t="n"/>
      <c r="F456" s="31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1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46026</v>
      </c>
      <c r="E457" s="4" t="n"/>
      <c r="F457" s="11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46026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116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116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31" t="n">
        <v>20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57" t="n">
        <v>9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31" t="n">
        <v>9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116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116" t="n"/>
      <c r="B461" s="97" t="n"/>
      <c r="C461" s="97" t="n"/>
      <c r="D461" s="97" t="n"/>
      <c r="E461" s="4" t="n"/>
      <c r="F461" s="116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116" t="n"/>
      <c r="B462" s="97" t="n"/>
      <c r="C462" s="97" t="n"/>
      <c r="D462" s="97" t="n"/>
      <c r="E462" s="4" t="n"/>
      <c r="F462" s="116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116" t="n"/>
      <c r="B463" s="97" t="n"/>
      <c r="C463" s="97" t="n"/>
      <c r="D463" s="97" t="n"/>
      <c r="E463" s="4" t="n"/>
      <c r="F463" s="116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62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81" t="inlineStr">
        <is>
          <t>TOTAL PAYABLE</t>
        </is>
      </c>
      <c r="G464" s="82" t="n"/>
      <c r="H464" s="83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thickBot="1" thickTop="1">
      <c r="A465" s="31" t="n"/>
      <c r="B465" s="2" t="n"/>
      <c r="C465" s="2" t="n"/>
      <c r="D465" s="2" t="n"/>
      <c r="E465" s="4" t="n"/>
      <c r="F465" s="31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1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46026</v>
      </c>
      <c r="E466" s="4" t="n"/>
      <c r="F466" s="11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46026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116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116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31" t="n">
        <v>20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57" t="n">
        <v>20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31" t="n">
        <v>4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116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116" t="n"/>
      <c r="B470" s="97" t="n"/>
      <c r="C470" s="97" t="n"/>
      <c r="D470" s="97" t="n"/>
      <c r="E470" s="4" t="n"/>
      <c r="F470" s="116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116" t="n"/>
      <c r="B471" s="97" t="n"/>
      <c r="C471" s="97" t="n"/>
      <c r="D471" s="97" t="n"/>
      <c r="E471" s="4" t="n"/>
      <c r="F471" s="116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116" t="n"/>
      <c r="B472" s="97" t="n"/>
      <c r="C472" s="97" t="n"/>
      <c r="D472" s="97" t="n"/>
      <c r="E472" s="4" t="n"/>
      <c r="F472" s="116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62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81" t="inlineStr">
        <is>
          <t>TOTAL PAYABLE</t>
        </is>
      </c>
      <c r="G473" s="82" t="n"/>
      <c r="H473" s="83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thickBot="1" thickTop="1">
      <c r="A474" s="31" t="n"/>
      <c r="B474" s="2" t="n"/>
      <c r="C474" s="2" t="n"/>
      <c r="D474" s="2" t="n"/>
      <c r="E474" s="4" t="n"/>
      <c r="F474" s="31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1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46026</v>
      </c>
      <c r="E475" s="4" t="n"/>
      <c r="F475" s="11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46026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116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116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31" t="n">
        <v>20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57" t="n">
        <v>4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116" t="n"/>
      <c r="B478" s="97" t="n"/>
      <c r="C478" s="97" t="n"/>
      <c r="D478" s="97" t="n"/>
      <c r="E478" s="4" t="n"/>
      <c r="F478" s="116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116" t="n"/>
      <c r="B479" s="97" t="n"/>
      <c r="C479" s="97" t="n"/>
      <c r="D479" s="97" t="n"/>
      <c r="E479" s="4" t="n"/>
      <c r="F479" s="116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116" t="n"/>
      <c r="B480" s="97" t="n"/>
      <c r="C480" s="97" t="n"/>
      <c r="D480" s="97" t="n"/>
      <c r="E480" s="4" t="n"/>
      <c r="F480" s="116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116" t="n"/>
      <c r="B481" s="97" t="n"/>
      <c r="C481" s="97" t="n"/>
      <c r="D481" s="97" t="n"/>
      <c r="E481" s="4" t="n"/>
      <c r="F481" s="116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62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81" t="inlineStr">
        <is>
          <t>TOTAL PAYABLE</t>
        </is>
      </c>
      <c r="G482" s="82" t="n"/>
      <c r="H482" s="83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31" t="n"/>
      <c r="B483" s="6" t="n"/>
      <c r="C483" s="2" t="n"/>
      <c r="D483" s="91" t="n"/>
      <c r="E483" s="4" t="n"/>
      <c r="F483" s="31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1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46026</v>
      </c>
      <c r="E484" s="4" t="n"/>
      <c r="F484" s="11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46026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116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116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31" t="n">
        <v>17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57" t="n">
        <v>9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31" t="n">
        <v>17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116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116" t="n"/>
      <c r="B488" s="97" t="n"/>
      <c r="C488" s="97" t="n"/>
      <c r="D488" s="97" t="n"/>
      <c r="E488" s="4" t="n"/>
      <c r="F488" s="116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116" t="n"/>
      <c r="B489" s="97" t="n"/>
      <c r="C489" s="97" t="n"/>
      <c r="D489" s="97" t="n"/>
      <c r="E489" s="4" t="n"/>
      <c r="F489" s="116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116" t="n"/>
      <c r="B490" s="97" t="n"/>
      <c r="C490" s="97" t="n"/>
      <c r="D490" s="97" t="n"/>
      <c r="E490" s="4" t="n"/>
      <c r="F490" s="116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62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81" t="inlineStr">
        <is>
          <t>TOTAL PAYABLE</t>
        </is>
      </c>
      <c r="G491" s="82" t="n"/>
      <c r="H491" s="83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thickBot="1" thickTop="1">
      <c r="A492" s="31" t="n"/>
      <c r="B492" s="2" t="n"/>
      <c r="C492" s="2" t="n"/>
      <c r="D492" s="2" t="n"/>
      <c r="E492" s="4" t="n"/>
      <c r="F492" s="31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1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46026</v>
      </c>
      <c r="E493" s="4" t="n"/>
      <c r="F493" s="11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46026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116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116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31" t="n">
        <v>14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57" t="n">
        <v>14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116" t="n"/>
      <c r="B496" s="97" t="n"/>
      <c r="C496" s="97" t="n"/>
      <c r="D496" s="97" t="n"/>
      <c r="E496" s="4" t="n"/>
      <c r="F496" s="57" t="n">
        <v>14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116" t="n"/>
      <c r="B497" s="97" t="n"/>
      <c r="C497" s="97" t="n"/>
      <c r="D497" s="97" t="n"/>
      <c r="E497" s="4" t="n"/>
      <c r="F497" s="57" t="n">
        <v>9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116" t="n"/>
      <c r="B498" s="97" t="n"/>
      <c r="C498" s="97" t="n"/>
      <c r="D498" s="97" t="n"/>
      <c r="E498" s="4" t="n"/>
      <c r="F498" s="57" t="n">
        <v>4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116" t="n"/>
      <c r="B499" s="97" t="n"/>
      <c r="C499" s="97" t="n"/>
      <c r="D499" s="97" t="n"/>
      <c r="E499" s="4" t="n"/>
      <c r="F499" s="116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62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81" t="inlineStr">
        <is>
          <t>TOTAL PAYABLE</t>
        </is>
      </c>
      <c r="G500" s="82" t="n"/>
      <c r="H500" s="83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1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46026</v>
      </c>
      <c r="E502" s="4" t="n"/>
      <c r="F502" s="11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46026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116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116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31" t="n">
        <v>9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57" t="n">
        <v>9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116" t="n"/>
      <c r="B505" s="97" t="n"/>
      <c r="C505" s="97" t="n"/>
      <c r="D505" s="97" t="n"/>
      <c r="E505" s="4" t="n"/>
      <c r="F505" s="116" t="n"/>
      <c r="G505" s="97" t="n"/>
      <c r="H505" s="97" t="n"/>
      <c r="I505" s="97" t="n"/>
    </row>
    <row r="506" ht="20.25" customHeight="1" thickBot="1" thickTop="1">
      <c r="A506" s="116" t="n"/>
      <c r="B506" s="97" t="n"/>
      <c r="C506" s="97" t="n"/>
      <c r="D506" s="97" t="n"/>
      <c r="E506" s="4" t="n"/>
      <c r="F506" s="116" t="n"/>
      <c r="G506" s="97" t="n"/>
      <c r="H506" s="97" t="n"/>
      <c r="I506" s="97" t="n"/>
    </row>
    <row r="507" ht="20.25" customHeight="1" thickBot="1" thickTop="1">
      <c r="A507" s="116" t="n"/>
      <c r="B507" s="97" t="n"/>
      <c r="C507" s="97" t="n"/>
      <c r="D507" s="97" t="n"/>
      <c r="E507" s="4" t="n"/>
      <c r="F507" s="116" t="n"/>
      <c r="G507" s="97" t="n"/>
      <c r="H507" s="97" t="n"/>
      <c r="I507" s="97" t="n"/>
    </row>
    <row r="508" ht="20.25" customHeight="1" thickBot="1" thickTop="1">
      <c r="A508" s="116" t="n"/>
      <c r="B508" s="97" t="n"/>
      <c r="C508" s="97" t="n"/>
      <c r="D508" s="97" t="n"/>
      <c r="E508" s="4" t="n"/>
      <c r="F508" s="116" t="n"/>
      <c r="G508" s="97" t="n"/>
      <c r="H508" s="97" t="n"/>
      <c r="I508" s="97" t="n"/>
    </row>
    <row r="509" ht="20.25" customHeight="1" thickBot="1" thickTop="1">
      <c r="A509" s="62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62" t="inlineStr">
        <is>
          <t>TOTAL PAYABLE</t>
        </is>
      </c>
      <c r="G509" s="82" t="n"/>
      <c r="H509" s="83" t="n"/>
      <c r="I509" s="97">
        <f>SUM(I504:I508)</f>
        <v/>
      </c>
    </row>
    <row r="510" ht="17.25" customHeight="1" thickBot="1" thickTop="1"/>
    <row r="511" ht="20.25" customHeight="1" thickBot="1" thickTop="1">
      <c r="A511" s="11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46026</v>
      </c>
      <c r="E511" s="4" t="n"/>
      <c r="F511" s="11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46026</v>
      </c>
    </row>
    <row r="512" ht="20.25" customHeight="1" thickBot="1" thickTop="1">
      <c r="A512" s="116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116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31" t="n">
        <v>9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57" t="n">
        <v>9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116" t="n"/>
      <c r="B514" s="97" t="n"/>
      <c r="C514" s="97" t="n"/>
      <c r="D514" s="97" t="n"/>
      <c r="E514" s="4" t="n"/>
      <c r="F514" s="116" t="n"/>
      <c r="G514" s="97" t="n"/>
      <c r="H514" s="97" t="n"/>
      <c r="I514" s="97" t="n"/>
    </row>
    <row r="515" ht="20.25" customHeight="1" thickBot="1" thickTop="1">
      <c r="A515" s="116" t="n"/>
      <c r="B515" s="97" t="n"/>
      <c r="C515" s="97" t="n"/>
      <c r="D515" s="97" t="n"/>
      <c r="E515" s="4" t="n"/>
      <c r="F515" s="116" t="n"/>
      <c r="G515" s="97" t="n"/>
      <c r="H515" s="97" t="n"/>
      <c r="I515" s="97" t="n"/>
    </row>
    <row r="516" ht="20.25" customHeight="1" thickBot="1" thickTop="1">
      <c r="A516" s="116" t="n"/>
      <c r="B516" s="97" t="n"/>
      <c r="C516" s="97" t="n"/>
      <c r="D516" s="97" t="n"/>
      <c r="E516" s="4" t="n"/>
      <c r="F516" s="116" t="n"/>
      <c r="G516" s="97" t="n"/>
      <c r="H516" s="97" t="n"/>
      <c r="I516" s="97" t="n"/>
    </row>
    <row r="517" ht="20.25" customHeight="1" thickBot="1" thickTop="1">
      <c r="A517" s="116" t="n"/>
      <c r="B517" s="97" t="n"/>
      <c r="C517" s="97" t="n"/>
      <c r="D517" s="97" t="n"/>
      <c r="E517" s="4" t="n"/>
      <c r="F517" s="116" t="n"/>
      <c r="G517" s="97" t="n"/>
      <c r="H517" s="97" t="n"/>
      <c r="I517" s="97" t="n"/>
    </row>
    <row r="518" ht="20.25" customHeight="1" thickBot="1" thickTop="1">
      <c r="A518" s="62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81" t="inlineStr">
        <is>
          <t>TOTAL</t>
        </is>
      </c>
      <c r="G518" s="82" t="n"/>
      <c r="H518" s="83" t="n"/>
      <c r="I518" s="97">
        <f>SUM(I513:I517)</f>
        <v/>
      </c>
    </row>
    <row r="519" ht="17.25" customHeight="1" thickBot="1" thickTop="1"/>
    <row r="520" ht="20.25" customHeight="1" thickBot="1" thickTop="1">
      <c r="A520" s="11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46026</v>
      </c>
      <c r="F520" s="11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46026</v>
      </c>
    </row>
    <row r="521" ht="20.25" customHeight="1" thickBot="1" thickTop="1">
      <c r="A521" s="116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116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31" t="n">
        <v>20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57" t="n">
        <v>9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116" t="n"/>
      <c r="B523" s="97" t="n"/>
      <c r="C523" s="97" t="n"/>
      <c r="D523" s="97" t="n"/>
      <c r="F523" s="57" t="n">
        <v>9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116" t="n"/>
      <c r="B524" s="97" t="n"/>
      <c r="C524" s="97" t="n"/>
      <c r="D524" s="97" t="n"/>
      <c r="F524" s="116" t="n"/>
      <c r="G524" s="97" t="n"/>
      <c r="H524" s="97" t="n"/>
      <c r="I524" s="97" t="n"/>
    </row>
    <row r="525" ht="20.25" customHeight="1" thickBot="1" thickTop="1">
      <c r="A525" s="116" t="n"/>
      <c r="B525" s="97" t="n"/>
      <c r="C525" s="97" t="n"/>
      <c r="D525" s="97" t="n"/>
      <c r="F525" s="116" t="n"/>
      <c r="G525" s="97" t="n"/>
      <c r="H525" s="97" t="n"/>
      <c r="I525" s="97" t="n"/>
    </row>
    <row r="526" ht="20.25" customHeight="1" thickBot="1" thickTop="1">
      <c r="A526" s="116" t="n"/>
      <c r="B526" s="97" t="n"/>
      <c r="C526" s="97" t="n"/>
      <c r="D526" s="97" t="n"/>
      <c r="F526" s="116" t="n"/>
      <c r="G526" s="97" t="n"/>
      <c r="H526" s="97" t="n"/>
      <c r="I526" s="97" t="n"/>
    </row>
    <row r="527" ht="20.25" customHeight="1" thickBot="1" thickTop="1">
      <c r="A527" s="62" t="inlineStr">
        <is>
          <t>TOTAL PAYABLE</t>
        </is>
      </c>
      <c r="B527" s="82" t="n"/>
      <c r="C527" s="83" t="n"/>
      <c r="D527" s="97">
        <f>SUM(D522:D526)</f>
        <v/>
      </c>
      <c r="F527" s="81" t="inlineStr">
        <is>
          <t>TOTAL</t>
        </is>
      </c>
      <c r="G527" s="82" t="n"/>
      <c r="H527" s="83" t="n"/>
      <c r="I527" s="97">
        <f>SUM(I522:I526)</f>
        <v/>
      </c>
    </row>
    <row r="528" ht="17.25" customHeight="1" thickBot="1" thickTop="1"/>
    <row r="529" ht="20.25" customHeight="1" thickBot="1" thickTop="1">
      <c r="A529" s="11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46026</v>
      </c>
      <c r="F529" s="11" t="inlineStr">
        <is>
          <t>NAME</t>
        </is>
      </c>
      <c r="G529" s="12" t="inlineStr">
        <is>
          <t>PUNJI</t>
        </is>
      </c>
      <c r="H529" s="12" t="inlineStr">
        <is>
          <t>R ROAD</t>
        </is>
      </c>
      <c r="I529" s="9" t="n">
        <v>46026</v>
      </c>
    </row>
    <row r="530" ht="20.25" customHeight="1" thickBot="1" thickTop="1">
      <c r="A530" s="116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116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31" t="n">
        <v>4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57" t="n">
        <v>9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31" t="n">
        <v>4.1</v>
      </c>
      <c r="B532" s="97" t="n">
        <v>1000000</v>
      </c>
      <c r="C532" s="97">
        <f>VLOOKUP(A532&amp;"|"&amp;B532,$O$3:$P$17,2,FALSE)</f>
        <v/>
      </c>
      <c r="D532" s="97">
        <f>VLOOKUP(A532&amp;"|"&amp;B532,$Q$3:$R$17,2,FALSE)</f>
        <v/>
      </c>
      <c r="F532" s="116" t="n"/>
      <c r="G532" s="97" t="n"/>
      <c r="H532" s="97" t="n"/>
      <c r="I532" s="97" t="n"/>
    </row>
    <row r="533" ht="20.25" customHeight="1" thickBot="1" thickTop="1">
      <c r="A533" s="116" t="n"/>
      <c r="B533" s="97" t="n"/>
      <c r="C533" s="97" t="n"/>
      <c r="D533" s="97" t="n"/>
      <c r="F533" s="116" t="n"/>
      <c r="G533" s="97" t="n"/>
      <c r="H533" s="97" t="n"/>
      <c r="I533" s="97" t="n"/>
    </row>
    <row r="534" ht="20.25" customHeight="1" thickBot="1" thickTop="1">
      <c r="A534" s="116" t="n"/>
      <c r="B534" s="97" t="n"/>
      <c r="C534" s="97" t="n"/>
      <c r="D534" s="97" t="n"/>
      <c r="F534" s="116" t="n"/>
      <c r="G534" s="97" t="n"/>
      <c r="H534" s="97" t="n"/>
      <c r="I534" s="97" t="n"/>
    </row>
    <row r="535" ht="20.25" customHeight="1" thickBot="1" thickTop="1">
      <c r="A535" s="116" t="n"/>
      <c r="B535" s="97" t="n"/>
      <c r="C535" s="97" t="n"/>
      <c r="D535" s="97" t="n"/>
      <c r="F535" s="116" t="n"/>
      <c r="G535" s="97" t="n"/>
      <c r="H535" s="97" t="n"/>
      <c r="I535" s="97" t="n"/>
    </row>
    <row r="536" ht="20.25" customHeight="1" thickBot="1" thickTop="1">
      <c r="A536" s="62" t="inlineStr">
        <is>
          <t>TOTAL PAYABLE</t>
        </is>
      </c>
      <c r="B536" s="82" t="n"/>
      <c r="C536" s="83" t="n"/>
      <c r="D536" s="97">
        <f>SUM(D531:D535)</f>
        <v/>
      </c>
      <c r="F536" s="62" t="inlineStr">
        <is>
          <t>TOTAL PAYABLE</t>
        </is>
      </c>
      <c r="G536" s="82" t="n"/>
      <c r="H536" s="83" t="n"/>
      <c r="I536" s="97">
        <f>SUM(I531:I535)</f>
        <v/>
      </c>
    </row>
    <row r="537" ht="17.25" customHeight="1" thickBot="1" thickTop="1"/>
    <row r="538" ht="20.25" customHeight="1" thickBot="1" thickTop="1">
      <c r="A538" s="63" t="inlineStr">
        <is>
          <t>NAME</t>
        </is>
      </c>
      <c r="B538" s="64" t="inlineStr">
        <is>
          <t xml:space="preserve">GOTAMJI </t>
        </is>
      </c>
      <c r="C538" s="64" t="inlineStr">
        <is>
          <t>RR ROAD</t>
        </is>
      </c>
      <c r="D538" s="65" t="n">
        <v>46026</v>
      </c>
      <c r="E538" s="18" t="n"/>
      <c r="F538" s="63" t="inlineStr">
        <is>
          <t>NAME</t>
        </is>
      </c>
      <c r="G538" s="64" t="inlineStr">
        <is>
          <t>SOHANJI</t>
        </is>
      </c>
      <c r="H538" s="64" t="inlineStr">
        <is>
          <t>RR ROAD</t>
        </is>
      </c>
      <c r="I538" s="65" t="n">
        <v>46026</v>
      </c>
    </row>
    <row r="539" ht="20.25" customHeight="1" thickBot="1" thickTop="1">
      <c r="A539" s="132" t="inlineStr">
        <is>
          <t>Month</t>
        </is>
      </c>
      <c r="B539" s="133" t="inlineStr">
        <is>
          <t>Plan</t>
        </is>
      </c>
      <c r="C539" s="133" t="inlineStr">
        <is>
          <t>Commission</t>
        </is>
      </c>
      <c r="D539" s="133" t="inlineStr">
        <is>
          <t>Amount</t>
        </is>
      </c>
      <c r="E539" s="18" t="n"/>
      <c r="F539" s="132" t="inlineStr">
        <is>
          <t>Month</t>
        </is>
      </c>
      <c r="G539" s="133" t="inlineStr">
        <is>
          <t>Plan</t>
        </is>
      </c>
      <c r="H539" s="133" t="inlineStr">
        <is>
          <t>Commission</t>
        </is>
      </c>
      <c r="I539" s="133" t="inlineStr">
        <is>
          <t>Amount</t>
        </is>
      </c>
    </row>
    <row r="540" ht="20.25" customHeight="1" thickBot="1" thickTop="1">
      <c r="A540" s="68" t="n">
        <v>4.1</v>
      </c>
      <c r="B540" s="133" t="n">
        <v>1000000</v>
      </c>
      <c r="C540" s="133">
        <f>VLOOKUP(A540&amp;"|"&amp;B540,$O$3:$P$17,2,FALSE)</f>
        <v/>
      </c>
      <c r="D540" s="133">
        <f>VLOOKUP(A540&amp;"|"&amp;B540,$Q$3:$R$17,2,FALSE)</f>
        <v/>
      </c>
      <c r="E540" s="18" t="n"/>
      <c r="F540" s="69" t="n">
        <v>4</v>
      </c>
      <c r="G540" s="133" t="n">
        <v>1000000</v>
      </c>
      <c r="H540" s="133">
        <f>VLOOKUP(F540&amp;"|"&amp;G540,$O$3:$P$17,2,FALSE)</f>
        <v/>
      </c>
      <c r="I540" s="133">
        <f>VLOOKUP(F540&amp;"|"&amp;G540,$Q$3:$R$17,2,FALSE)</f>
        <v/>
      </c>
    </row>
    <row r="541" ht="20.25" customHeight="1" thickBot="1" thickTop="1">
      <c r="A541" s="132" t="n"/>
      <c r="B541" s="133" t="n"/>
      <c r="C541" s="133" t="n"/>
      <c r="D541" s="133" t="n"/>
      <c r="E541" s="18" t="n"/>
      <c r="F541" s="69" t="n">
        <v>4.1</v>
      </c>
      <c r="G541" s="133" t="n">
        <v>1000000</v>
      </c>
      <c r="H541" s="133">
        <f>VLOOKUP(F541&amp;"|"&amp;G541,$O$3:$P$17,2,FALSE)</f>
        <v/>
      </c>
      <c r="I541" s="133">
        <f>VLOOKUP(F541&amp;"|"&amp;G541,$Q$3:$R$17,2,FALSE)</f>
        <v/>
      </c>
    </row>
    <row r="542" ht="20.25" customHeight="1" thickBot="1" thickTop="1">
      <c r="A542" s="132" t="n"/>
      <c r="B542" s="133" t="n"/>
      <c r="C542" s="133" t="n"/>
      <c r="D542" s="133" t="n"/>
      <c r="E542" s="18" t="n"/>
      <c r="F542" s="132" t="n"/>
      <c r="G542" s="133" t="n"/>
      <c r="H542" s="133" t="n"/>
      <c r="I542" s="133" t="n"/>
    </row>
    <row r="543" ht="20.25" customHeight="1" thickBot="1" thickTop="1">
      <c r="A543" s="132" t="n"/>
      <c r="B543" s="133" t="n"/>
      <c r="C543" s="133" t="n"/>
      <c r="D543" s="133" t="n"/>
      <c r="E543" s="18" t="n"/>
      <c r="F543" s="132" t="n"/>
      <c r="G543" s="133" t="n"/>
      <c r="H543" s="133" t="n"/>
      <c r="I543" s="133" t="n"/>
    </row>
    <row r="544" ht="20.25" customHeight="1" thickBot="1" thickTop="1">
      <c r="A544" s="132" t="n"/>
      <c r="B544" s="133" t="n"/>
      <c r="C544" s="133" t="n"/>
      <c r="D544" s="133" t="n"/>
      <c r="E544" s="18" t="n"/>
      <c r="F544" s="132" t="n"/>
      <c r="G544" s="133" t="n"/>
      <c r="H544" s="133" t="n"/>
      <c r="I544" s="133" t="n"/>
    </row>
    <row r="545" ht="20.25" customHeight="1" thickBot="1" thickTop="1">
      <c r="A545" s="72" t="inlineStr">
        <is>
          <t>TOTAL PAYABLE</t>
        </is>
      </c>
      <c r="B545" s="70" t="n"/>
      <c r="C545" s="71" t="n"/>
      <c r="D545" s="133">
        <f>SUM(D540:D544)</f>
        <v/>
      </c>
      <c r="E545" s="18" t="n"/>
      <c r="F545" s="72" t="inlineStr">
        <is>
          <t>TOTAL PAYABLE</t>
        </is>
      </c>
      <c r="G545" s="70" t="n"/>
      <c r="H545" s="71" t="n"/>
      <c r="I545" s="133">
        <f>SUM(I540:I544)</f>
        <v/>
      </c>
    </row>
    <row r="546" ht="17.25" customHeight="1" thickBot="1" thickTop="1">
      <c r="A546" s="68" t="n"/>
      <c r="B546" s="18" t="n"/>
      <c r="C546" s="18" t="n"/>
      <c r="D546" s="18" t="n"/>
      <c r="E546" s="18" t="n"/>
      <c r="F546" s="69" t="n"/>
      <c r="G546" s="18" t="n"/>
      <c r="H546" s="18" t="n"/>
      <c r="I546" s="18" t="n"/>
    </row>
    <row r="547" ht="20.25" customHeight="1" thickBot="1" thickTop="1">
      <c r="A547" s="63" t="inlineStr">
        <is>
          <t>NAME</t>
        </is>
      </c>
      <c r="B547" s="64" t="inlineStr">
        <is>
          <t>TEJAJAMJI</t>
        </is>
      </c>
      <c r="C547" s="64" t="inlineStr">
        <is>
          <t>YELMBNDA</t>
        </is>
      </c>
      <c r="D547" s="65" t="n">
        <v>46026</v>
      </c>
      <c r="E547" s="18" t="n"/>
      <c r="F547" s="63" t="inlineStr">
        <is>
          <t>NAME</t>
        </is>
      </c>
      <c r="G547" s="64" t="inlineStr">
        <is>
          <t>MOHANJI</t>
        </is>
      </c>
      <c r="H547" s="64" t="inlineStr">
        <is>
          <t>CHINTAL</t>
        </is>
      </c>
      <c r="I547" s="65" t="n">
        <v>46026</v>
      </c>
    </row>
    <row r="548" ht="20.25" customHeight="1" thickBot="1" thickTop="1">
      <c r="A548" s="132" t="inlineStr">
        <is>
          <t>Month</t>
        </is>
      </c>
      <c r="B548" s="133" t="inlineStr">
        <is>
          <t>Plan</t>
        </is>
      </c>
      <c r="C548" s="133" t="inlineStr">
        <is>
          <t>Commission</t>
        </is>
      </c>
      <c r="D548" s="133" t="inlineStr">
        <is>
          <t>Amount</t>
        </is>
      </c>
      <c r="E548" s="18" t="n"/>
      <c r="F548" s="132" t="inlineStr">
        <is>
          <t>Month</t>
        </is>
      </c>
      <c r="G548" s="133" t="inlineStr">
        <is>
          <t>Plan</t>
        </is>
      </c>
      <c r="H548" s="133" t="inlineStr">
        <is>
          <t>Commission</t>
        </is>
      </c>
      <c r="I548" s="133" t="inlineStr">
        <is>
          <t>Amount</t>
        </is>
      </c>
    </row>
    <row r="549" ht="20.25" customHeight="1" thickBot="1" thickTop="1">
      <c r="A549" s="68" t="n">
        <v>4.1</v>
      </c>
      <c r="B549" s="133" t="n">
        <v>1000000</v>
      </c>
      <c r="C549" s="133">
        <f>VLOOKUP(A549&amp;"|"&amp;B549,$O$3:$P$17,2,FALSE)</f>
        <v/>
      </c>
      <c r="D549" s="133">
        <f>VLOOKUP(A549&amp;"|"&amp;B549,$Q$3:$R$17,2,FALSE)</f>
        <v/>
      </c>
      <c r="E549" s="18" t="n"/>
      <c r="F549" s="69" t="n">
        <v>4.1</v>
      </c>
      <c r="G549" s="133" t="n">
        <v>1000000</v>
      </c>
      <c r="H549" s="133">
        <f>VLOOKUP(F549&amp;"|"&amp;G549,$O$3:$P$17,2,FALSE)</f>
        <v/>
      </c>
      <c r="I549" s="133">
        <f>VLOOKUP(F549&amp;"|"&amp;G549,$Q$3:$R$17,2,FALSE)</f>
        <v/>
      </c>
    </row>
    <row r="550" ht="20.25" customHeight="1" thickBot="1" thickTop="1">
      <c r="A550" s="132" t="n"/>
      <c r="B550" s="133" t="n"/>
      <c r="C550" s="133" t="n"/>
      <c r="D550" s="133" t="n"/>
      <c r="E550" s="18" t="n"/>
      <c r="F550" s="132" t="n"/>
      <c r="G550" s="133" t="n"/>
      <c r="H550" s="133" t="n"/>
      <c r="I550" s="133" t="n"/>
    </row>
    <row r="551" ht="20.25" customHeight="1" thickBot="1" thickTop="1">
      <c r="A551" s="132" t="n"/>
      <c r="B551" s="133" t="n"/>
      <c r="C551" s="133" t="n"/>
      <c r="D551" s="133" t="n"/>
      <c r="E551" s="18" t="n"/>
      <c r="F551" s="132" t="n"/>
      <c r="G551" s="133" t="n"/>
      <c r="H551" s="133" t="n"/>
      <c r="I551" s="133" t="n"/>
    </row>
    <row r="552" ht="20.25" customHeight="1" thickBot="1" thickTop="1">
      <c r="A552" s="132" t="n"/>
      <c r="B552" s="133" t="n"/>
      <c r="C552" s="133" t="n"/>
      <c r="D552" s="133" t="n"/>
      <c r="E552" s="18" t="n"/>
      <c r="F552" s="132" t="n"/>
      <c r="G552" s="133" t="n"/>
      <c r="H552" s="133" t="n"/>
      <c r="I552" s="133" t="n"/>
    </row>
    <row r="553" ht="20.25" customHeight="1" thickBot="1" thickTop="1">
      <c r="A553" s="132" t="n"/>
      <c r="B553" s="133" t="n"/>
      <c r="C553" s="133" t="n"/>
      <c r="D553" s="133" t="n"/>
      <c r="E553" s="18" t="n"/>
      <c r="F553" s="132" t="n"/>
      <c r="G553" s="133" t="n"/>
      <c r="H553" s="133" t="n"/>
      <c r="I553" s="133" t="n"/>
    </row>
    <row r="554" ht="20.25" customHeight="1" thickBot="1" thickTop="1">
      <c r="A554" s="72" t="inlineStr">
        <is>
          <t>TOTAL PAYABLE</t>
        </is>
      </c>
      <c r="B554" s="70" t="n"/>
      <c r="C554" s="71" t="n"/>
      <c r="D554" s="133">
        <f>SUM(D549:D553)</f>
        <v/>
      </c>
      <c r="E554" s="18" t="n"/>
      <c r="F554" s="72" t="inlineStr">
        <is>
          <t>TOTAL PAYABLE</t>
        </is>
      </c>
      <c r="G554" s="70" t="n"/>
      <c r="H554" s="71" t="n"/>
      <c r="I554" s="133">
        <f>SUM(I549:I553)</f>
        <v/>
      </c>
    </row>
    <row r="555" ht="17.25" customHeight="1" thickBot="1" thickTop="1">
      <c r="A555" s="68" t="n"/>
      <c r="B555" s="18" t="n"/>
      <c r="C555" s="18" t="n"/>
      <c r="D555" s="18" t="n"/>
      <c r="E555" s="18" t="n"/>
      <c r="F555" s="69" t="n"/>
      <c r="G555" s="18" t="n"/>
      <c r="H555" s="18" t="n"/>
      <c r="I555" s="18" t="n"/>
    </row>
    <row r="556" ht="20.25" customHeight="1" thickBot="1" thickTop="1">
      <c r="A556" s="63" t="inlineStr">
        <is>
          <t>NAME</t>
        </is>
      </c>
      <c r="B556" s="64" t="inlineStr">
        <is>
          <t>BABULALJI</t>
        </is>
      </c>
      <c r="C556" s="64" t="inlineStr">
        <is>
          <t>RAMARAM</t>
        </is>
      </c>
      <c r="D556" s="65" t="n">
        <v>46026</v>
      </c>
      <c r="E556" s="18" t="n"/>
      <c r="F556" s="63" t="inlineStr">
        <is>
          <t>NAME</t>
        </is>
      </c>
      <c r="G556" s="64" t="inlineStr">
        <is>
          <t>MOHANJI</t>
        </is>
      </c>
      <c r="H556" s="64" t="inlineStr">
        <is>
          <t>AMINPUR</t>
        </is>
      </c>
      <c r="I556" s="65" t="n">
        <v>46026</v>
      </c>
    </row>
    <row r="557" ht="20.25" customHeight="1" thickBot="1" thickTop="1">
      <c r="A557" s="132" t="inlineStr">
        <is>
          <t>Month</t>
        </is>
      </c>
      <c r="B557" s="133" t="inlineStr">
        <is>
          <t>Plan</t>
        </is>
      </c>
      <c r="C557" s="133" t="inlineStr">
        <is>
          <t>Commission</t>
        </is>
      </c>
      <c r="D557" s="133" t="inlineStr">
        <is>
          <t>Amount</t>
        </is>
      </c>
      <c r="E557" s="18" t="n"/>
      <c r="F557" s="132" t="inlineStr">
        <is>
          <t>Month</t>
        </is>
      </c>
      <c r="G557" s="133" t="inlineStr">
        <is>
          <t>Plan</t>
        </is>
      </c>
      <c r="H557" s="133" t="inlineStr">
        <is>
          <t>Commission</t>
        </is>
      </c>
      <c r="I557" s="133" t="inlineStr">
        <is>
          <t>Amount</t>
        </is>
      </c>
    </row>
    <row r="558" ht="20.25" customHeight="1" thickBot="1" thickTop="1">
      <c r="A558" s="68" t="n">
        <v>4.1</v>
      </c>
      <c r="B558" s="133" t="n">
        <v>1000000</v>
      </c>
      <c r="C558" s="133">
        <f>VLOOKUP(A558&amp;"|"&amp;B558,$O$3:$P$17,2,FALSE)</f>
        <v/>
      </c>
      <c r="D558" s="133">
        <f>VLOOKUP(A558&amp;"|"&amp;B558,$Q$3:$R$17,2,FALSE)</f>
        <v/>
      </c>
      <c r="E558" s="18" t="n"/>
      <c r="F558" s="69" t="n">
        <v>4</v>
      </c>
      <c r="G558" s="133" t="n">
        <v>500000</v>
      </c>
      <c r="H558" s="133">
        <f>VLOOKUP(F558&amp;"|"&amp;G558,$O$3:$P$17,2,FALSE)</f>
        <v/>
      </c>
      <c r="I558" s="133">
        <f>VLOOKUP(F558&amp;"|"&amp;G558,$Q$3:$R$17,2,FALSE)</f>
        <v/>
      </c>
    </row>
    <row r="559" ht="20.25" customHeight="1" thickBot="1" thickTop="1">
      <c r="A559" s="132" t="n"/>
      <c r="B559" s="133" t="n"/>
      <c r="C559" s="133" t="n"/>
      <c r="D559" s="133" t="n"/>
      <c r="E559" s="18" t="n"/>
      <c r="F559" s="132" t="n"/>
      <c r="G559" s="133" t="n"/>
      <c r="H559" s="133" t="n"/>
      <c r="I559" s="133" t="n"/>
    </row>
    <row r="560" ht="20.25" customHeight="1" thickBot="1" thickTop="1">
      <c r="A560" s="132" t="n"/>
      <c r="B560" s="133" t="n"/>
      <c r="C560" s="133" t="n"/>
      <c r="D560" s="133" t="n"/>
      <c r="E560" s="18" t="n"/>
      <c r="F560" s="132" t="n"/>
      <c r="G560" s="133" t="n"/>
      <c r="H560" s="133" t="n"/>
      <c r="I560" s="133" t="n"/>
    </row>
    <row r="561" ht="20.25" customHeight="1" thickBot="1" thickTop="1">
      <c r="A561" s="132" t="n"/>
      <c r="B561" s="133" t="n"/>
      <c r="C561" s="133" t="n"/>
      <c r="D561" s="133" t="n"/>
      <c r="E561" s="18" t="n"/>
      <c r="F561" s="132" t="n"/>
      <c r="G561" s="133" t="n"/>
      <c r="H561" s="133" t="n"/>
      <c r="I561" s="133" t="n"/>
    </row>
    <row r="562" ht="20.25" customHeight="1" thickBot="1" thickTop="1">
      <c r="A562" s="132" t="n"/>
      <c r="B562" s="133" t="n"/>
      <c r="C562" s="133" t="n"/>
      <c r="D562" s="133" t="n"/>
      <c r="E562" s="18" t="n"/>
      <c r="F562" s="132" t="n"/>
      <c r="G562" s="133" t="n"/>
      <c r="H562" s="133" t="n"/>
      <c r="I562" s="133" t="n"/>
    </row>
    <row r="563" ht="20.25" customHeight="1" thickBot="1" thickTop="1">
      <c r="A563" s="72" t="inlineStr">
        <is>
          <t>TOTAL PAYABLE</t>
        </is>
      </c>
      <c r="B563" s="70" t="n"/>
      <c r="C563" s="71" t="n"/>
      <c r="D563" s="133">
        <f>SUM(D558:D562)</f>
        <v/>
      </c>
      <c r="E563" s="18" t="n"/>
      <c r="F563" s="72" t="inlineStr">
        <is>
          <t>TOTAL PAYABLE</t>
        </is>
      </c>
      <c r="G563" s="70" t="n"/>
      <c r="H563" s="71" t="n"/>
      <c r="I563" s="133">
        <f>SUM(I558:I562)</f>
        <v/>
      </c>
    </row>
    <row r="564" ht="17.25" customHeight="1" thickBot="1" thickTop="1">
      <c r="A564" s="68" t="n"/>
      <c r="B564" s="18" t="n"/>
      <c r="C564" s="18" t="n"/>
      <c r="D564" s="18" t="n"/>
      <c r="E564" s="18" t="n"/>
      <c r="F564" s="69" t="n"/>
      <c r="G564" s="18" t="n"/>
      <c r="H564" s="18" t="n"/>
      <c r="I564" s="18" t="n"/>
    </row>
    <row r="565" ht="20.25" customHeight="1" thickBot="1" thickTop="1">
      <c r="A565" s="63" t="inlineStr">
        <is>
          <t>NAME</t>
        </is>
      </c>
      <c r="B565" s="64" t="inlineStr">
        <is>
          <t>PUNAMJI</t>
        </is>
      </c>
      <c r="C565" s="64" t="inlineStr">
        <is>
          <t>BADURPLY</t>
        </is>
      </c>
      <c r="D565" s="65" t="n">
        <v>46026</v>
      </c>
      <c r="E565" s="18" t="n"/>
      <c r="F565" s="63" t="inlineStr">
        <is>
          <t>NAME</t>
        </is>
      </c>
      <c r="G565" s="64" t="inlineStr">
        <is>
          <t>NARAYANJI</t>
        </is>
      </c>
      <c r="H565" s="64" t="inlineStr">
        <is>
          <t>KOTLAPUR</t>
        </is>
      </c>
      <c r="I565" s="65" t="n">
        <v>46026</v>
      </c>
    </row>
    <row r="566" ht="20.25" customHeight="1" thickBot="1" thickTop="1">
      <c r="A566" s="132" t="inlineStr">
        <is>
          <t>Month</t>
        </is>
      </c>
      <c r="B566" s="133" t="inlineStr">
        <is>
          <t>Plan</t>
        </is>
      </c>
      <c r="C566" s="133" t="inlineStr">
        <is>
          <t>Commission</t>
        </is>
      </c>
      <c r="D566" s="133" t="inlineStr">
        <is>
          <t>Amount</t>
        </is>
      </c>
      <c r="E566" s="18" t="n"/>
      <c r="F566" s="132" t="inlineStr">
        <is>
          <t>Month</t>
        </is>
      </c>
      <c r="G566" s="133" t="inlineStr">
        <is>
          <t>Plan</t>
        </is>
      </c>
      <c r="H566" s="133" t="inlineStr">
        <is>
          <t>Commission</t>
        </is>
      </c>
      <c r="I566" s="133" t="inlineStr">
        <is>
          <t>Amount</t>
        </is>
      </c>
    </row>
    <row r="567" ht="20.25" customHeight="1" thickBot="1" thickTop="1">
      <c r="A567" s="68" t="n">
        <v>4</v>
      </c>
      <c r="B567" s="133" t="n">
        <v>500000</v>
      </c>
      <c r="C567" s="133">
        <f>VLOOKUP(A567&amp;"|"&amp;B567,$O$3:$P$17,2,FALSE)</f>
        <v/>
      </c>
      <c r="D567" s="133">
        <f>VLOOKUP(A567&amp;"|"&amp;B567,$Q$3:$R$17,2,FALSE)</f>
        <v/>
      </c>
      <c r="E567" s="18" t="n"/>
      <c r="F567" s="69" t="n">
        <v>4</v>
      </c>
      <c r="G567" s="133" t="n">
        <v>500000</v>
      </c>
      <c r="H567" s="133">
        <f>VLOOKUP(F567&amp;"|"&amp;G567,$O$3:$P$17,2,FALSE)</f>
        <v/>
      </c>
      <c r="I567" s="133">
        <f>VLOOKUP(F567&amp;"|"&amp;G567,$Q$3:$R$17,2,FALSE)</f>
        <v/>
      </c>
    </row>
    <row r="568" ht="20.25" customHeight="1" thickBot="1" thickTop="1">
      <c r="A568" s="132" t="n"/>
      <c r="B568" s="133" t="n"/>
      <c r="C568" s="133" t="n"/>
      <c r="D568" s="133" t="n"/>
      <c r="E568" s="18" t="n"/>
      <c r="F568" s="132" t="n"/>
      <c r="G568" s="133" t="n"/>
      <c r="H568" s="133" t="n"/>
      <c r="I568" s="133" t="n"/>
    </row>
    <row r="569" ht="20.25" customHeight="1" thickBot="1" thickTop="1">
      <c r="A569" s="132" t="n"/>
      <c r="B569" s="133" t="n"/>
      <c r="C569" s="133" t="n"/>
      <c r="D569" s="133" t="n"/>
      <c r="E569" s="18" t="n"/>
      <c r="F569" s="132" t="n"/>
      <c r="G569" s="133" t="n"/>
      <c r="H569" s="133" t="n"/>
      <c r="I569" s="133" t="n"/>
    </row>
    <row r="570" ht="20.25" customHeight="1" thickBot="1" thickTop="1">
      <c r="A570" s="132" t="n"/>
      <c r="B570" s="133" t="n"/>
      <c r="C570" s="133" t="n"/>
      <c r="D570" s="133" t="n"/>
      <c r="E570" s="18" t="n"/>
      <c r="F570" s="132" t="n"/>
      <c r="G570" s="133" t="n"/>
      <c r="H570" s="133" t="n"/>
      <c r="I570" s="133" t="n"/>
    </row>
    <row r="571" ht="20.25" customHeight="1" thickBot="1" thickTop="1">
      <c r="A571" s="132" t="n"/>
      <c r="B571" s="133" t="n"/>
      <c r="C571" s="133" t="n"/>
      <c r="D571" s="133" t="n"/>
      <c r="E571" s="18" t="n"/>
      <c r="F571" s="132" t="n"/>
      <c r="G571" s="133" t="n"/>
      <c r="H571" s="133" t="n"/>
      <c r="I571" s="133" t="n"/>
    </row>
    <row r="572" ht="20.25" customHeight="1" thickBot="1" thickTop="1">
      <c r="A572" s="72" t="inlineStr">
        <is>
          <t>TOTAL PAYABLE</t>
        </is>
      </c>
      <c r="B572" s="70" t="n"/>
      <c r="C572" s="71" t="n"/>
      <c r="D572" s="133">
        <f>SUM(D567:D571)</f>
        <v/>
      </c>
      <c r="E572" s="18" t="n"/>
      <c r="F572" s="72" t="inlineStr">
        <is>
          <t>TOTAL PAYABLE</t>
        </is>
      </c>
      <c r="G572" s="70" t="n"/>
      <c r="H572" s="71" t="n"/>
      <c r="I572" s="133">
        <f>SUM(I567:I571)</f>
        <v/>
      </c>
    </row>
    <row r="573" ht="16.5" customHeight="1" thickTop="1">
      <c r="A573" s="68" t="n"/>
      <c r="B573" s="18" t="n"/>
      <c r="C573" s="18" t="n"/>
      <c r="D573" s="18" t="n"/>
      <c r="E573" s="18" t="n"/>
      <c r="F573" s="69" t="n"/>
      <c r="G573" s="18" t="n"/>
      <c r="H573" s="18" t="n"/>
      <c r="I573" s="18" t="n"/>
    </row>
    <row r="574">
      <c r="A574" s="18" t="n"/>
      <c r="B574" s="69" t="n"/>
      <c r="C574" s="18" t="n"/>
      <c r="D574" s="18" t="n"/>
      <c r="E574" s="18" t="n"/>
    </row>
    <row r="575">
      <c r="A575" s="18" t="n"/>
      <c r="B575" s="69" t="n"/>
      <c r="C575" s="18" t="n"/>
      <c r="D575" s="18" t="n"/>
      <c r="E575" s="18" t="n"/>
    </row>
    <row r="576">
      <c r="A576" s="18" t="n"/>
      <c r="B576" s="69" t="n"/>
      <c r="C576" s="18" t="n"/>
      <c r="D576" s="18" t="n"/>
      <c r="E576" s="18" t="n"/>
    </row>
    <row r="577">
      <c r="A577" s="18" t="n"/>
      <c r="B577" s="69" t="n"/>
      <c r="C577" s="18" t="n"/>
      <c r="D577" s="18" t="n"/>
      <c r="E577" s="18" t="n"/>
    </row>
    <row r="578">
      <c r="A578" s="18" t="n"/>
      <c r="B578" s="69" t="n"/>
      <c r="C578" s="18" t="n"/>
      <c r="D578" s="18" t="n"/>
      <c r="E578" s="18" t="n"/>
    </row>
    <row r="579">
      <c r="A579" s="18" t="n"/>
      <c r="B579" s="69" t="n"/>
      <c r="C579" s="18" t="n"/>
      <c r="D579" s="18" t="n"/>
      <c r="E579" s="18" t="n"/>
    </row>
    <row r="580">
      <c r="A580" s="18" t="n"/>
      <c r="B580" s="69" t="n"/>
      <c r="C580" s="18" t="n"/>
      <c r="D580" s="18" t="n"/>
      <c r="E580" s="18" t="n"/>
    </row>
    <row r="581">
      <c r="A581" s="18" t="n"/>
      <c r="B581" s="69" t="n"/>
      <c r="C581" s="18" t="n"/>
      <c r="D581" s="18" t="n"/>
      <c r="E581" s="1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XFD1048576"/>
    </sheetView>
  </sheetViews>
  <sheetFormatPr baseColWidth="8" defaultRowHeight="15.75"/>
  <cols>
    <col width="9.140625" customWidth="1" style="60" min="1" max="1"/>
    <col width="27" customWidth="1" min="2" max="2"/>
    <col width="17.7109375" customWidth="1" min="3" max="3"/>
    <col width="13.42578125" customWidth="1" min="4" max="4"/>
    <col width="2.5703125" customWidth="1" min="5" max="5"/>
    <col width="9.140625" customWidth="1" style="26" min="6" max="6"/>
    <col width="22.42578125" customWidth="1" min="7" max="7"/>
    <col width="16.5703125" customWidth="1" min="8" max="8"/>
    <col width="24.28515625" customWidth="1" min="9" max="9"/>
    <col width="1.85546875" customWidth="1" min="10" max="10"/>
    <col width="1.140625" customWidth="1" min="11" max="11"/>
    <col width="8.140625" customWidth="1" min="12" max="12"/>
    <col width="11.28515625" customWidth="1" min="13" max="13"/>
    <col width="11.5703125" customWidth="1" min="14" max="14"/>
    <col width="11.28515625" customWidth="1" min="15" max="15"/>
    <col width="12.85546875" customWidth="1" min="16" max="16"/>
    <col width="13.28515625" customWidth="1" min="17" max="17"/>
    <col width="13.7109375" customWidth="1" min="18" max="18"/>
    <col width="1.42578125" customWidth="1" min="19" max="19"/>
    <col width="11.5703125" customWidth="1" min="20" max="20"/>
    <col width="15.28515625" customWidth="1" min="21" max="21"/>
    <col width="13.42578125" customWidth="1" min="22" max="22"/>
    <col width="1.42578125" customWidth="1" min="23" max="23"/>
    <col width="11.7109375" customWidth="1" min="24" max="24"/>
    <col width="15.28515625" customWidth="1" min="25" max="25"/>
    <col width="15.42578125" customWidth="1" min="26" max="26"/>
  </cols>
  <sheetData>
    <row r="1" ht="20.25" customHeight="1" thickBot="1" thickTop="1">
      <c r="A1" s="115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45998</v>
      </c>
      <c r="E1" s="91" t="n"/>
      <c r="F1" s="11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45998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T1" s="18" t="n"/>
      <c r="U1" s="18" t="n"/>
      <c r="V1" s="19" t="inlineStr">
        <is>
          <t>Date  :   07-dec-2025</t>
        </is>
      </c>
      <c r="W1" s="18" t="n"/>
      <c r="X1" s="18" t="n"/>
      <c r="Y1" s="18" t="n"/>
      <c r="Z1" s="18" t="n"/>
    </row>
    <row r="2" ht="25.5" customHeight="1" thickBot="1" thickTop="1">
      <c r="A2" s="115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116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34" t="inlineStr">
        <is>
          <t>AMOUNT</t>
        </is>
      </c>
      <c r="U2" s="134" t="inlineStr">
        <is>
          <t xml:space="preserve"> NAME</t>
        </is>
      </c>
      <c r="V2" s="134" t="inlineStr">
        <is>
          <t>AREA</t>
        </is>
      </c>
      <c r="W2" s="18" t="n"/>
      <c r="X2" s="134" t="inlineStr">
        <is>
          <t>AMOUNT</t>
        </is>
      </c>
      <c r="Y2" s="134" t="inlineStr">
        <is>
          <t>NAME</t>
        </is>
      </c>
      <c r="Z2" s="134" t="inlineStr">
        <is>
          <t>AREA</t>
        </is>
      </c>
    </row>
    <row r="3" ht="20.25" customHeight="1" thickBot="1" thickTop="1">
      <c r="A3" s="115" t="n">
        <v>19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26" t="n">
        <v>19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27" t="n">
        <v>13</v>
      </c>
      <c r="M3" s="117" t="n">
        <v>500000</v>
      </c>
      <c r="N3" s="117" t="n">
        <v>23000</v>
      </c>
      <c r="O3" s="117">
        <f>L3&amp;"|"&amp;M3</f>
        <v/>
      </c>
      <c r="P3" s="117">
        <f>N3/20</f>
        <v/>
      </c>
      <c r="Q3" s="117">
        <f>L3&amp;"|"&amp;M3</f>
        <v/>
      </c>
      <c r="R3" s="118">
        <f>(M3-N3)/20</f>
        <v/>
      </c>
      <c r="S3" s="1" t="n"/>
      <c r="T3" s="135">
        <f>D8</f>
        <v/>
      </c>
      <c r="U3" s="135">
        <f>B1</f>
        <v/>
      </c>
      <c r="V3" s="135">
        <f>C1</f>
        <v/>
      </c>
      <c r="W3" s="18" t="n"/>
      <c r="X3" s="135">
        <f>I8</f>
        <v/>
      </c>
      <c r="Y3" s="135">
        <f>G1</f>
        <v/>
      </c>
      <c r="Z3" s="135">
        <f>H1</f>
        <v/>
      </c>
    </row>
    <row r="4" ht="20.25" customHeight="1" thickBot="1" thickTop="1">
      <c r="A4" s="31" t="n">
        <v>8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116" t="n"/>
      <c r="G4" s="97" t="n"/>
      <c r="H4" s="97" t="n"/>
      <c r="I4" s="97" t="n"/>
      <c r="J4" s="92" t="n"/>
      <c r="K4" s="1" t="n"/>
      <c r="L4" s="27" t="n">
        <v>13</v>
      </c>
      <c r="M4" s="117" t="n">
        <v>250000</v>
      </c>
      <c r="N4" s="119" t="n">
        <v>11500</v>
      </c>
      <c r="O4" s="117">
        <f>L4&amp;"|"&amp;M4</f>
        <v/>
      </c>
      <c r="P4" s="117">
        <f>N4/20</f>
        <v/>
      </c>
      <c r="Q4" s="117">
        <f>L4&amp;"|"&amp;M4</f>
        <v/>
      </c>
      <c r="R4" s="118">
        <f>(M4-N4)/20</f>
        <v/>
      </c>
      <c r="S4" s="1" t="n"/>
      <c r="T4" s="135">
        <f>D17</f>
        <v/>
      </c>
      <c r="U4" s="135">
        <f>B10</f>
        <v/>
      </c>
      <c r="V4" s="135">
        <f>C10</f>
        <v/>
      </c>
      <c r="W4" s="18" t="n"/>
      <c r="X4" s="135">
        <f>I17</f>
        <v/>
      </c>
      <c r="Y4" s="135">
        <f>G10</f>
        <v/>
      </c>
      <c r="Z4" s="135">
        <f>H10</f>
        <v/>
      </c>
    </row>
    <row r="5" ht="20.25" customHeight="1" thickBot="1" thickTop="1">
      <c r="A5" s="115" t="n"/>
      <c r="B5" s="90" t="n"/>
      <c r="C5" s="90" t="n"/>
      <c r="D5" s="90" t="n"/>
      <c r="E5" s="91" t="n"/>
      <c r="F5" s="116" t="n"/>
      <c r="G5" s="97" t="n"/>
      <c r="H5" s="97" t="n"/>
      <c r="I5" s="97" t="n"/>
      <c r="J5" s="92" t="n"/>
      <c r="K5" s="1" t="n"/>
      <c r="L5" s="27" t="n">
        <v>8</v>
      </c>
      <c r="M5" s="27" t="n">
        <v>2000000</v>
      </c>
      <c r="N5" s="27" t="n">
        <v>150000</v>
      </c>
      <c r="O5" s="119">
        <f>L5&amp;"|"&amp;M5</f>
        <v/>
      </c>
      <c r="P5" s="117">
        <f>N5/20</f>
        <v/>
      </c>
      <c r="Q5" s="119">
        <f>L5&amp;"|"&amp;M5</f>
        <v/>
      </c>
      <c r="R5" s="118">
        <f>(M5-N5)/20</f>
        <v/>
      </c>
      <c r="S5" s="1" t="n"/>
      <c r="T5" s="135">
        <f>D26</f>
        <v/>
      </c>
      <c r="U5" s="135">
        <f>B19</f>
        <v/>
      </c>
      <c r="V5" s="135">
        <f>C19</f>
        <v/>
      </c>
      <c r="W5" s="18" t="n"/>
      <c r="X5" s="135">
        <f>I26</f>
        <v/>
      </c>
      <c r="Y5" s="135">
        <f>G19</f>
        <v/>
      </c>
      <c r="Z5" s="135">
        <f>H19</f>
        <v/>
      </c>
    </row>
    <row r="6" ht="20.25" customHeight="1" thickBot="1" thickTop="1">
      <c r="A6" s="115" t="n"/>
      <c r="B6" s="90" t="n"/>
      <c r="C6" s="90" t="n"/>
      <c r="D6" s="90" t="n"/>
      <c r="E6" s="91" t="n"/>
      <c r="F6" s="116" t="n"/>
      <c r="G6" s="97" t="n"/>
      <c r="H6" s="97" t="n"/>
      <c r="I6" s="97" t="n"/>
      <c r="J6" s="92" t="n"/>
      <c r="K6" s="1" t="n"/>
      <c r="L6" s="27" t="n">
        <v>8</v>
      </c>
      <c r="M6" s="119" t="n">
        <v>500000</v>
      </c>
      <c r="N6" s="119" t="n">
        <v>47000</v>
      </c>
      <c r="O6" s="119">
        <f>L6&amp;"|"&amp;M6</f>
        <v/>
      </c>
      <c r="P6" s="117">
        <f>N6/20</f>
        <v/>
      </c>
      <c r="Q6" s="119">
        <f>L6&amp;"|"&amp;M6</f>
        <v/>
      </c>
      <c r="R6" s="118">
        <f>(M6-N6)/20</f>
        <v/>
      </c>
      <c r="S6" s="1" t="n"/>
      <c r="T6" s="135">
        <f>D35</f>
        <v/>
      </c>
      <c r="U6" s="135">
        <f>B28</f>
        <v/>
      </c>
      <c r="V6" s="135">
        <f>C28</f>
        <v/>
      </c>
      <c r="W6" s="18" t="n"/>
      <c r="X6" s="135">
        <f>I35</f>
        <v/>
      </c>
      <c r="Y6" s="135">
        <f>G28</f>
        <v/>
      </c>
      <c r="Z6" s="135">
        <f>H28</f>
        <v/>
      </c>
    </row>
    <row r="7" ht="20.25" customHeight="1" thickBot="1" thickTop="1">
      <c r="A7" s="115" t="n"/>
      <c r="B7" s="90" t="n"/>
      <c r="C7" s="90" t="n"/>
      <c r="D7" s="90" t="n"/>
      <c r="E7" s="91" t="n"/>
      <c r="F7" s="116" t="n"/>
      <c r="G7" s="97" t="n"/>
      <c r="H7" s="97" t="n"/>
      <c r="I7" s="97" t="n"/>
      <c r="J7" s="92" t="n"/>
      <c r="K7" s="1" t="n"/>
      <c r="L7" s="27" t="n">
        <v>19.1</v>
      </c>
      <c r="M7" s="119" t="n">
        <v>500000</v>
      </c>
      <c r="N7" s="119" t="n">
        <v>1000</v>
      </c>
      <c r="O7" s="119">
        <f>L7&amp;"|"&amp;M7</f>
        <v/>
      </c>
      <c r="P7" s="117">
        <f>N7/20</f>
        <v/>
      </c>
      <c r="Q7" s="117">
        <f>L7&amp;"|"&amp;M7</f>
        <v/>
      </c>
      <c r="R7" s="118">
        <f>(M7-N7)/20</f>
        <v/>
      </c>
      <c r="S7" s="1" t="n"/>
      <c r="T7" s="135">
        <f>D44</f>
        <v/>
      </c>
      <c r="U7" s="135">
        <f>B37</f>
        <v/>
      </c>
      <c r="V7" s="135">
        <f>C37</f>
        <v/>
      </c>
      <c r="W7" s="18" t="n"/>
      <c r="X7" s="135">
        <f>I44</f>
        <v/>
      </c>
      <c r="Y7" s="135">
        <f>G37</f>
        <v/>
      </c>
      <c r="Z7" s="135">
        <f>H37</f>
        <v/>
      </c>
    </row>
    <row r="8" ht="20.25" customHeight="1" thickBot="1" thickTop="1">
      <c r="A8" s="120" t="inlineStr">
        <is>
          <t>Total Payable</t>
        </is>
      </c>
      <c r="B8" s="121" t="n"/>
      <c r="C8" s="122" t="n"/>
      <c r="D8" s="90">
        <f>SUM(D3:D7)</f>
        <v/>
      </c>
      <c r="E8" s="91" t="n"/>
      <c r="F8" s="123" t="inlineStr">
        <is>
          <t>Total Payable</t>
        </is>
      </c>
      <c r="G8" s="124" t="n"/>
      <c r="H8" s="125" t="n"/>
      <c r="I8" s="97">
        <f>SUM(I3:I7)</f>
        <v/>
      </c>
      <c r="J8" s="92" t="n"/>
      <c r="K8" s="1" t="n"/>
      <c r="L8" s="27" t="n">
        <v>19</v>
      </c>
      <c r="M8" s="119" t="n">
        <v>1000000</v>
      </c>
      <c r="N8" s="119" t="n">
        <v>4000</v>
      </c>
      <c r="O8" s="119">
        <f>L8&amp;"|"&amp;M8</f>
        <v/>
      </c>
      <c r="P8" s="117">
        <f>N8/20</f>
        <v/>
      </c>
      <c r="Q8" s="119">
        <f>L8&amp;"|"&amp;M8</f>
        <v/>
      </c>
      <c r="R8" s="118">
        <f>(M8-N8)/20</f>
        <v/>
      </c>
      <c r="S8" s="1" t="n"/>
      <c r="T8" s="135">
        <f>D53</f>
        <v/>
      </c>
      <c r="U8" s="135">
        <f>B46</f>
        <v/>
      </c>
      <c r="V8" s="135">
        <f>C46</f>
        <v/>
      </c>
      <c r="W8" s="18" t="n"/>
      <c r="X8" s="135">
        <f>I53</f>
        <v/>
      </c>
      <c r="Y8" s="135">
        <f>G46</f>
        <v/>
      </c>
      <c r="Z8" s="135">
        <f>H46</f>
        <v/>
      </c>
    </row>
    <row r="9" ht="20.25" customHeight="1" thickBot="1" thickTop="1">
      <c r="A9" s="126" t="n"/>
      <c r="B9" s="110" t="n"/>
      <c r="C9" s="109" t="n"/>
      <c r="D9" s="109" t="n"/>
      <c r="E9" s="111" t="n"/>
      <c r="F9" s="127" t="n"/>
      <c r="G9" s="111" t="n"/>
      <c r="H9" s="111" t="n"/>
      <c r="I9" s="111" t="n"/>
      <c r="J9" s="92" t="n"/>
      <c r="K9" s="1" t="n"/>
      <c r="L9" s="27" t="n">
        <v>19.1</v>
      </c>
      <c r="M9" s="119" t="n">
        <v>1000000</v>
      </c>
      <c r="N9" s="119" t="n">
        <v>2000</v>
      </c>
      <c r="O9" s="119">
        <f>L9&amp;"|"&amp;M9</f>
        <v/>
      </c>
      <c r="P9" s="117">
        <f>N9/20</f>
        <v/>
      </c>
      <c r="Q9" s="119">
        <f>L9&amp;"|"&amp;M9</f>
        <v/>
      </c>
      <c r="R9" s="118">
        <f>(M9-N9)/20</f>
        <v/>
      </c>
      <c r="S9" s="1" t="n"/>
      <c r="T9" s="135">
        <f>D62</f>
        <v/>
      </c>
      <c r="U9" s="135">
        <f>B55</f>
        <v/>
      </c>
      <c r="V9" s="135">
        <f>C55</f>
        <v/>
      </c>
      <c r="W9" s="18" t="n"/>
      <c r="X9" s="135">
        <f>I62</f>
        <v/>
      </c>
      <c r="Y9" s="135">
        <f>G55</f>
        <v/>
      </c>
      <c r="Z9" s="135">
        <f>H55</f>
        <v/>
      </c>
    </row>
    <row r="10" ht="20.25" customHeight="1" thickBot="1" thickTop="1">
      <c r="A10" s="116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45998</v>
      </c>
      <c r="E10" s="91" t="n"/>
      <c r="F10" s="116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45998</v>
      </c>
      <c r="J10" s="112" t="n"/>
      <c r="K10" s="1" t="n"/>
      <c r="L10" s="27" t="n">
        <v>16</v>
      </c>
      <c r="M10" s="119" t="n">
        <v>500000</v>
      </c>
      <c r="N10" s="119" t="n">
        <v>13000</v>
      </c>
      <c r="O10" s="119">
        <f>L10&amp;"|"&amp;M10</f>
        <v/>
      </c>
      <c r="P10" s="117">
        <f>N10/20</f>
        <v/>
      </c>
      <c r="Q10" s="119">
        <f>L10&amp;"|"&amp;M10</f>
        <v/>
      </c>
      <c r="R10" s="118">
        <f>(M10-N10)/20</f>
        <v/>
      </c>
      <c r="S10" s="1" t="n"/>
      <c r="T10" s="135">
        <f>D71</f>
        <v/>
      </c>
      <c r="U10" s="135">
        <f>B64</f>
        <v/>
      </c>
      <c r="V10" s="135">
        <f>C64</f>
        <v/>
      </c>
      <c r="W10" s="18" t="n"/>
      <c r="X10" s="135">
        <f>I71</f>
        <v/>
      </c>
      <c r="Y10" s="135">
        <f>G64</f>
        <v/>
      </c>
      <c r="Z10" s="135">
        <f>H64</f>
        <v/>
      </c>
    </row>
    <row r="11" ht="20.25" customHeight="1" thickBot="1" thickTop="1">
      <c r="A11" s="116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116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27" t="n">
        <v>3</v>
      </c>
      <c r="M11" s="119" t="n">
        <v>500000</v>
      </c>
      <c r="N11" s="119" t="n">
        <v>70000</v>
      </c>
      <c r="O11" s="119">
        <f>L11&amp;"|"&amp;M11</f>
        <v/>
      </c>
      <c r="P11" s="117">
        <f>N11/20</f>
        <v/>
      </c>
      <c r="Q11" s="119">
        <f>L11&amp;"|"&amp;M11</f>
        <v/>
      </c>
      <c r="R11" s="118">
        <f>(M11-N11)/20</f>
        <v/>
      </c>
      <c r="S11" s="1" t="n"/>
      <c r="T11" s="135">
        <f>D85</f>
        <v/>
      </c>
      <c r="U11" s="135">
        <f>B73</f>
        <v/>
      </c>
      <c r="V11" s="135">
        <f>C73</f>
        <v/>
      </c>
      <c r="W11" s="18" t="n"/>
      <c r="X11" s="135">
        <f>I85</f>
        <v/>
      </c>
      <c r="Y11" s="135">
        <f>G73</f>
        <v/>
      </c>
      <c r="Z11" s="135">
        <f>H73</f>
        <v/>
      </c>
    </row>
    <row r="12" ht="20.25" customHeight="1" thickBot="1" thickTop="1">
      <c r="A12" s="31" t="n">
        <v>19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26" t="n">
        <v>19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27" t="n">
        <v>3</v>
      </c>
      <c r="M12" s="119" t="n">
        <v>1000000</v>
      </c>
      <c r="N12" s="119" t="n">
        <v>156000</v>
      </c>
      <c r="O12" s="119">
        <f>L12&amp;"|"&amp;M12</f>
        <v/>
      </c>
      <c r="P12" s="117">
        <f>N12/20</f>
        <v/>
      </c>
      <c r="Q12" s="119">
        <f>L12&amp;"|"&amp;M12</f>
        <v/>
      </c>
      <c r="R12" s="118">
        <f>(M12-N12)/20</f>
        <v/>
      </c>
      <c r="S12" s="1" t="n"/>
      <c r="T12" s="135">
        <f>D94</f>
        <v/>
      </c>
      <c r="U12" s="135">
        <f>B87</f>
        <v/>
      </c>
      <c r="V12" s="135">
        <f>C87</f>
        <v/>
      </c>
      <c r="W12" s="18" t="n"/>
      <c r="X12" s="135">
        <f>I94</f>
        <v/>
      </c>
      <c r="Y12" s="135">
        <f>G87</f>
        <v/>
      </c>
      <c r="Z12" s="135">
        <f>H87</f>
        <v/>
      </c>
    </row>
    <row r="13" ht="20.25" customHeight="1" thickBot="1" thickTop="1">
      <c r="A13" s="116" t="n"/>
      <c r="B13" s="97" t="n"/>
      <c r="C13" s="97" t="n"/>
      <c r="D13" s="97" t="n"/>
      <c r="E13" s="91" t="n"/>
      <c r="F13" s="116" t="n"/>
      <c r="G13" s="97" t="n"/>
      <c r="H13" s="97" t="n"/>
      <c r="I13" s="97" t="n"/>
      <c r="J13" s="92" t="n"/>
      <c r="K13" s="1" t="n"/>
      <c r="L13" s="27" t="n">
        <v>3.1</v>
      </c>
      <c r="M13" s="27" t="n">
        <v>1000000</v>
      </c>
      <c r="N13" s="27" t="n">
        <v>151000</v>
      </c>
      <c r="O13" s="119">
        <f>L13&amp;"|"&amp;M13</f>
        <v/>
      </c>
      <c r="P13" s="117">
        <f>N13/20</f>
        <v/>
      </c>
      <c r="Q13" s="119">
        <f>L13&amp;"|"&amp;M13</f>
        <v/>
      </c>
      <c r="R13" s="118">
        <f>(M13-N13)/20</f>
        <v/>
      </c>
      <c r="S13" s="1" t="n"/>
      <c r="T13" s="135">
        <f>D103</f>
        <v/>
      </c>
      <c r="U13" s="135">
        <f>B96</f>
        <v/>
      </c>
      <c r="V13" s="135">
        <f>C96</f>
        <v/>
      </c>
      <c r="W13" s="18" t="n"/>
      <c r="X13" s="135">
        <f>I103</f>
        <v/>
      </c>
      <c r="Y13" s="135">
        <f>G96</f>
        <v/>
      </c>
      <c r="Z13" s="135">
        <f>H96</f>
        <v/>
      </c>
    </row>
    <row r="14" ht="20.25" customHeight="1" thickBot="1" thickTop="1">
      <c r="A14" s="116" t="n"/>
      <c r="B14" s="97" t="n"/>
      <c r="C14" s="97" t="n"/>
      <c r="D14" s="97" t="n"/>
      <c r="E14" s="91" t="n"/>
      <c r="F14" s="116" t="n"/>
      <c r="G14" s="97" t="n"/>
      <c r="H14" s="97" t="n"/>
      <c r="I14" s="97" t="n"/>
      <c r="J14" s="92" t="inlineStr">
        <is>
          <t> </t>
        </is>
      </c>
      <c r="K14" s="1" t="n"/>
      <c r="L14" s="27" t="n">
        <v>8</v>
      </c>
      <c r="M14" s="119" t="n">
        <v>1000000</v>
      </c>
      <c r="N14" s="119" t="n">
        <v>75000</v>
      </c>
      <c r="O14" s="119">
        <f>L14&amp;"|"&amp;M14</f>
        <v/>
      </c>
      <c r="P14" s="117">
        <f>N14/20</f>
        <v/>
      </c>
      <c r="Q14" s="119">
        <f>L14&amp;"|"&amp;M14</f>
        <v/>
      </c>
      <c r="R14" s="118">
        <f>(M14-N14)/20</f>
        <v/>
      </c>
      <c r="S14" s="1" t="n"/>
      <c r="T14" s="135">
        <f>D112</f>
        <v/>
      </c>
      <c r="U14" s="135">
        <f>B105</f>
        <v/>
      </c>
      <c r="V14" s="135">
        <f>C105</f>
        <v/>
      </c>
      <c r="W14" s="18" t="n"/>
      <c r="X14" s="135">
        <f>I112</f>
        <v/>
      </c>
      <c r="Y14" s="135">
        <f>G105</f>
        <v/>
      </c>
      <c r="Z14" s="135">
        <f>H105</f>
        <v/>
      </c>
    </row>
    <row r="15" ht="20.25" customHeight="1" thickBot="1" thickTop="1">
      <c r="A15" s="116" t="n"/>
      <c r="B15" s="97" t="n"/>
      <c r="C15" s="97" t="n"/>
      <c r="D15" s="97" t="n"/>
      <c r="E15" s="91" t="n"/>
      <c r="F15" s="116" t="n"/>
      <c r="G15" s="97" t="n"/>
      <c r="H15" s="97" t="n"/>
      <c r="I15" s="97" t="n"/>
      <c r="J15" s="92" t="n"/>
      <c r="K15" s="1" t="n"/>
      <c r="L15" s="27" t="n">
        <v>19</v>
      </c>
      <c r="M15" s="119" t="n">
        <v>500000</v>
      </c>
      <c r="N15" s="119" t="n">
        <v>1000</v>
      </c>
      <c r="O15" s="119">
        <f>L15&amp;"|"&amp;M15</f>
        <v/>
      </c>
      <c r="P15" s="117">
        <f>N15/20</f>
        <v/>
      </c>
      <c r="Q15" s="119">
        <f>L15&amp;"|"&amp;M15</f>
        <v/>
      </c>
      <c r="R15" s="118">
        <f>(M15-N15)/20</f>
        <v/>
      </c>
      <c r="S15" s="1" t="n"/>
      <c r="T15" s="135">
        <f>D121</f>
        <v/>
      </c>
      <c r="U15" s="135">
        <f>B114</f>
        <v/>
      </c>
      <c r="V15" s="135">
        <f>C114</f>
        <v/>
      </c>
      <c r="W15" s="18" t="n"/>
      <c r="X15" s="135">
        <f>I121</f>
        <v/>
      </c>
      <c r="Y15" s="135">
        <f>G114</f>
        <v/>
      </c>
      <c r="Z15" s="135">
        <f>H114</f>
        <v/>
      </c>
    </row>
    <row r="16" ht="20.25" customHeight="1" thickBot="1" thickTop="1">
      <c r="A16" s="116" t="n"/>
      <c r="B16" s="97" t="n"/>
      <c r="C16" s="97" t="n"/>
      <c r="D16" s="97" t="n"/>
      <c r="E16" s="2" t="n"/>
      <c r="F16" s="116" t="n"/>
      <c r="G16" s="97" t="n"/>
      <c r="H16" s="97" t="n"/>
      <c r="I16" s="97" t="n"/>
      <c r="J16" s="92" t="n"/>
      <c r="K16" s="1" t="n"/>
      <c r="L16" s="27" t="n">
        <v>8.1</v>
      </c>
      <c r="M16" s="117" t="n">
        <v>1000000</v>
      </c>
      <c r="N16" s="119" t="n">
        <v>75000</v>
      </c>
      <c r="O16" s="119">
        <f>L16&amp;"|"&amp;M16</f>
        <v/>
      </c>
      <c r="P16" s="117">
        <f>N16/20</f>
        <v/>
      </c>
      <c r="Q16" s="119">
        <f>L16&amp;"|"&amp;M16</f>
        <v/>
      </c>
      <c r="R16" s="118">
        <f>(M16-N16)/20</f>
        <v/>
      </c>
      <c r="S16" s="1" t="n"/>
      <c r="T16" s="135">
        <f>D130</f>
        <v/>
      </c>
      <c r="U16" s="135">
        <f>B123</f>
        <v/>
      </c>
      <c r="V16" s="135">
        <f>C123</f>
        <v/>
      </c>
      <c r="W16" s="18" t="n"/>
      <c r="X16" s="135">
        <f>I130</f>
        <v/>
      </c>
      <c r="Y16" s="135">
        <f>G123</f>
        <v/>
      </c>
      <c r="Z16" s="135">
        <f>H123</f>
        <v/>
      </c>
    </row>
    <row r="17" ht="20.25" customHeight="1" thickBot="1" thickTop="1">
      <c r="A17" s="123" t="inlineStr">
        <is>
          <t>Total Payable</t>
        </is>
      </c>
      <c r="B17" s="124" t="n"/>
      <c r="C17" s="125" t="n"/>
      <c r="D17" s="90">
        <f>SUM(D12:D16)</f>
        <v/>
      </c>
      <c r="E17" s="2" t="n"/>
      <c r="F17" s="123" t="inlineStr">
        <is>
          <t>Total Payable</t>
        </is>
      </c>
      <c r="G17" s="124" t="n"/>
      <c r="H17" s="125" t="n"/>
      <c r="I17" s="97">
        <f>SUM(I12:I16)</f>
        <v/>
      </c>
      <c r="J17" s="92" t="n"/>
      <c r="K17" s="1" t="n"/>
      <c r="L17" s="1" t="n"/>
      <c r="M17" s="1" t="n"/>
      <c r="N17" s="1" t="n"/>
      <c r="O17" s="106" t="n"/>
      <c r="P17" s="102" t="n"/>
      <c r="Q17" s="106" t="n"/>
      <c r="R17" s="104" t="n"/>
      <c r="S17" s="1" t="n"/>
      <c r="T17" s="135">
        <f>D139</f>
        <v/>
      </c>
      <c r="U17" s="135">
        <f>B132</f>
        <v/>
      </c>
      <c r="V17" s="135">
        <f>C132</f>
        <v/>
      </c>
      <c r="W17" s="18" t="n"/>
      <c r="X17" s="135">
        <f>I139</f>
        <v/>
      </c>
      <c r="Y17" s="135">
        <f>G132</f>
        <v/>
      </c>
      <c r="Z17" s="135">
        <f>H132</f>
        <v/>
      </c>
    </row>
    <row r="18" ht="20.25" customHeight="1" thickBot="1" thickTop="1">
      <c r="A18" s="31" t="n"/>
      <c r="B18" s="3" t="n"/>
      <c r="C18" s="3" t="n"/>
      <c r="D18" s="3" t="n"/>
      <c r="E18" s="3" t="n"/>
      <c r="F18" s="127" t="n"/>
      <c r="G18" s="111" t="n"/>
      <c r="H18" s="111" t="n"/>
      <c r="I18" s="111" t="n"/>
      <c r="J18" s="92" t="n"/>
      <c r="K18" s="1" t="n"/>
      <c r="L18" s="1" t="n">
        <v>19</v>
      </c>
      <c r="M18" s="1" t="n">
        <v>250000</v>
      </c>
      <c r="N18" s="1" t="n">
        <v>500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35">
        <f>D148</f>
        <v/>
      </c>
      <c r="U18" s="135">
        <f>B141</f>
        <v/>
      </c>
      <c r="V18" s="135">
        <f>C141</f>
        <v/>
      </c>
      <c r="W18" s="18" t="n"/>
      <c r="X18" s="135">
        <f>I148</f>
        <v/>
      </c>
      <c r="Y18" s="135">
        <f>G141</f>
        <v/>
      </c>
      <c r="Z18" s="135">
        <f>H141</f>
        <v/>
      </c>
    </row>
    <row r="19" ht="20.25" customHeight="1" thickBot="1" thickTop="1">
      <c r="A19" s="116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45998</v>
      </c>
      <c r="E19" s="2" t="n"/>
      <c r="F19" s="116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45998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35">
        <f>D157</f>
        <v/>
      </c>
      <c r="U19" s="135">
        <f>B150</f>
        <v/>
      </c>
      <c r="V19" s="135">
        <f>C150</f>
        <v/>
      </c>
      <c r="W19" s="18" t="n"/>
      <c r="X19" s="135">
        <f>I157</f>
        <v/>
      </c>
      <c r="Y19" s="135">
        <f>G150</f>
        <v/>
      </c>
      <c r="Z19" s="135">
        <f>H150</f>
        <v/>
      </c>
    </row>
    <row r="20" ht="20.25" customHeight="1" thickBot="1" thickTop="1">
      <c r="A20" s="116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116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35">
        <f>D166</f>
        <v/>
      </c>
      <c r="U20" s="135">
        <f>B159</f>
        <v/>
      </c>
      <c r="V20" s="135">
        <f>C159</f>
        <v/>
      </c>
      <c r="W20" s="18" t="n"/>
      <c r="X20" s="135">
        <f>I166</f>
        <v/>
      </c>
      <c r="Y20" s="135">
        <f>G159</f>
        <v/>
      </c>
      <c r="Z20" s="135">
        <f>H159</f>
        <v/>
      </c>
    </row>
    <row r="21" ht="20.25" customHeight="1" thickBot="1" thickTop="1">
      <c r="A21" s="116" t="n">
        <v>19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26" t="n">
        <v>19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35">
        <f>D175</f>
        <v/>
      </c>
      <c r="U21" s="135">
        <f>B168</f>
        <v/>
      </c>
      <c r="V21" s="135">
        <f>C168</f>
        <v/>
      </c>
      <c r="W21" s="18" t="n"/>
      <c r="X21" s="135">
        <f>I175</f>
        <v/>
      </c>
      <c r="Y21" s="135">
        <f>G168</f>
        <v/>
      </c>
      <c r="Z21" s="135">
        <f>H168</f>
        <v/>
      </c>
    </row>
    <row r="22" ht="20.25" customHeight="1" thickBot="1" thickTop="1">
      <c r="A22" s="116" t="n">
        <v>8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26" t="n">
        <v>19.1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35">
        <f>D184</f>
        <v/>
      </c>
      <c r="U22" s="135">
        <f>B177</f>
        <v/>
      </c>
      <c r="V22" s="135">
        <f>C177</f>
        <v/>
      </c>
      <c r="W22" s="18" t="n"/>
      <c r="X22" s="135">
        <f>I184</f>
        <v/>
      </c>
      <c r="Y22" s="135">
        <f>G177</f>
        <v/>
      </c>
      <c r="Z22" s="135">
        <f>H177</f>
        <v/>
      </c>
    </row>
    <row r="23" ht="20.25" customHeight="1" thickBot="1" thickTop="1">
      <c r="A23" s="116" t="n"/>
      <c r="B23" s="97" t="n"/>
      <c r="C23" s="97" t="n"/>
      <c r="D23" s="97" t="n"/>
      <c r="E23" s="2" t="n"/>
      <c r="F23" s="26" t="n">
        <v>19.1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35">
        <f>D193</f>
        <v/>
      </c>
      <c r="U23" s="135">
        <f>B186</f>
        <v/>
      </c>
      <c r="V23" s="135">
        <f>C186</f>
        <v/>
      </c>
      <c r="W23" s="18" t="n"/>
      <c r="X23" s="135">
        <f>I193</f>
        <v/>
      </c>
      <c r="Y23" s="135">
        <f>G186</f>
        <v/>
      </c>
      <c r="Z23" s="135">
        <f>H186</f>
        <v/>
      </c>
    </row>
    <row r="24" ht="20.25" customHeight="1" thickBot="1" thickTop="1">
      <c r="A24" s="116" t="n"/>
      <c r="B24" s="97" t="n"/>
      <c r="C24" s="97" t="n"/>
      <c r="D24" s="97" t="n"/>
      <c r="E24" s="2" t="n"/>
      <c r="F24" s="116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35">
        <f>D202</f>
        <v/>
      </c>
      <c r="U24" s="135">
        <f>B195</f>
        <v/>
      </c>
      <c r="V24" s="135">
        <f>C195</f>
        <v/>
      </c>
      <c r="W24" s="18" t="n"/>
      <c r="X24" s="135">
        <f>I202</f>
        <v/>
      </c>
      <c r="Y24" s="135">
        <f>G195</f>
        <v/>
      </c>
      <c r="Z24" s="135">
        <f>H195</f>
        <v/>
      </c>
    </row>
    <row r="25" ht="20.25" customHeight="1" thickBot="1" thickTop="1">
      <c r="A25" s="116" t="n"/>
      <c r="B25" s="97" t="n"/>
      <c r="C25" s="97" t="n"/>
      <c r="D25" s="97" t="n"/>
      <c r="E25" s="2" t="n"/>
      <c r="F25" s="116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35">
        <f>D211</f>
        <v/>
      </c>
      <c r="U25" s="135">
        <f>B204</f>
        <v/>
      </c>
      <c r="V25" s="135">
        <f>C204</f>
        <v/>
      </c>
      <c r="W25" s="18" t="n"/>
      <c r="X25" s="135">
        <f>I211</f>
        <v/>
      </c>
      <c r="Y25" s="135">
        <f>G204</f>
        <v/>
      </c>
      <c r="Z25" s="135">
        <f>H204</f>
        <v/>
      </c>
    </row>
    <row r="26" ht="20.25" customHeight="1" thickBot="1" thickTop="1">
      <c r="A26" s="123" t="inlineStr">
        <is>
          <t>Total Payable</t>
        </is>
      </c>
      <c r="B26" s="124" t="n"/>
      <c r="C26" s="125" t="n"/>
      <c r="D26" s="90">
        <f>SUM(D21:D25)</f>
        <v/>
      </c>
      <c r="E26" s="2" t="n"/>
      <c r="F26" s="123" t="inlineStr">
        <is>
          <t>Total payable</t>
        </is>
      </c>
      <c r="G26" s="124" t="n"/>
      <c r="H26" s="125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35" t="n"/>
      <c r="U26" s="18" t="n"/>
      <c r="V26" s="135" t="n"/>
      <c r="W26" s="18" t="n"/>
      <c r="X26" s="135">
        <f>I220</f>
        <v/>
      </c>
      <c r="Y26" s="135">
        <f>G213</f>
        <v/>
      </c>
      <c r="Z26" s="135">
        <f>H213</f>
        <v/>
      </c>
    </row>
    <row r="27" ht="17.25" customHeight="1" thickBot="1" thickTop="1">
      <c r="A27" s="31" t="n"/>
      <c r="B27" s="2" t="n"/>
      <c r="C27" s="2" t="n"/>
      <c r="D27" s="2" t="n"/>
      <c r="E27" s="2" t="n"/>
      <c r="F27" s="31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35">
        <f>D229</f>
        <v/>
      </c>
      <c r="U27" s="135">
        <f>B222</f>
        <v/>
      </c>
      <c r="V27" s="135">
        <f>C222</f>
        <v/>
      </c>
      <c r="W27" s="18" t="n"/>
      <c r="X27" s="135">
        <f>I229</f>
        <v/>
      </c>
      <c r="Y27" s="135">
        <f>G222</f>
        <v/>
      </c>
      <c r="Z27" s="135">
        <f>H222</f>
        <v/>
      </c>
    </row>
    <row r="28" ht="20.25" customHeight="1" thickBot="1" thickTop="1">
      <c r="A28" s="116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45998</v>
      </c>
      <c r="E28" s="2" t="n"/>
      <c r="F28" s="116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45998</v>
      </c>
      <c r="J28" s="1" t="n"/>
      <c r="K28" s="1" t="n"/>
      <c r="L28" s="1" t="n"/>
      <c r="M28" s="1" t="n"/>
      <c r="N28" s="50" t="n"/>
      <c r="O28" s="1" t="n"/>
      <c r="P28" s="1" t="n"/>
      <c r="Q28" s="1" t="n"/>
      <c r="R28" s="1" t="n"/>
      <c r="S28" s="1" t="n"/>
      <c r="T28" s="135">
        <f>D238</f>
        <v/>
      </c>
      <c r="U28" s="135">
        <f>B231</f>
        <v/>
      </c>
      <c r="V28" s="135">
        <f>C231</f>
        <v/>
      </c>
      <c r="W28" s="18" t="n"/>
      <c r="X28" s="135">
        <f>I238</f>
        <v/>
      </c>
      <c r="Y28" s="135">
        <f>G231</f>
        <v/>
      </c>
      <c r="Z28" s="135">
        <f>H231</f>
        <v/>
      </c>
    </row>
    <row r="29" ht="20.25" customHeight="1" thickBot="1" thickTop="1">
      <c r="A29" s="116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116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35">
        <f>D247</f>
        <v/>
      </c>
      <c r="U29" s="135">
        <f>B240</f>
        <v/>
      </c>
      <c r="V29" s="135">
        <f>C240</f>
        <v/>
      </c>
      <c r="W29" s="18" t="n"/>
      <c r="X29" s="135">
        <f>I247</f>
        <v/>
      </c>
      <c r="Y29" s="135">
        <f>G240</f>
        <v/>
      </c>
      <c r="Z29" s="135">
        <f>H240</f>
        <v/>
      </c>
    </row>
    <row r="30" ht="20.25" customHeight="1" thickBot="1" thickTop="1">
      <c r="A30" s="31" t="n">
        <v>19.1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26" t="n">
        <v>8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35">
        <f>D256</f>
        <v/>
      </c>
      <c r="U30" s="135">
        <f>B249</f>
        <v/>
      </c>
      <c r="V30" s="135">
        <f>C249</f>
        <v/>
      </c>
      <c r="W30" s="18" t="n"/>
      <c r="X30" s="135">
        <f>I256</f>
        <v/>
      </c>
      <c r="Y30" s="135">
        <f>G249</f>
        <v/>
      </c>
      <c r="Z30" s="135">
        <f>H249</f>
        <v/>
      </c>
    </row>
    <row r="31" ht="20.25" customHeight="1" thickBot="1" thickTop="1">
      <c r="A31" s="31" t="n">
        <v>16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116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35">
        <f>D265</f>
        <v/>
      </c>
      <c r="U31" s="135">
        <f>B258</f>
        <v/>
      </c>
      <c r="V31" s="135">
        <f>C258</f>
        <v/>
      </c>
      <c r="W31" s="18" t="n"/>
      <c r="X31" s="135">
        <f>I265</f>
        <v/>
      </c>
      <c r="Y31" s="135">
        <f>G258</f>
        <v/>
      </c>
      <c r="Z31" s="135">
        <f>H258</f>
        <v/>
      </c>
    </row>
    <row r="32" ht="20.25" customHeight="1" thickBot="1" thickTop="1">
      <c r="A32" s="31" t="n">
        <v>16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116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35">
        <f>D274</f>
        <v/>
      </c>
      <c r="U32" s="135">
        <f>B267</f>
        <v/>
      </c>
      <c r="V32" s="135">
        <f>C267</f>
        <v/>
      </c>
      <c r="W32" s="18" t="n"/>
      <c r="X32" s="135">
        <f>I274</f>
        <v/>
      </c>
      <c r="Y32" s="135">
        <f>G267</f>
        <v/>
      </c>
      <c r="Z32" s="135">
        <f>H267</f>
        <v/>
      </c>
    </row>
    <row r="33" ht="20.25" customHeight="1" thickBot="1" thickTop="1">
      <c r="A33" s="31" t="n">
        <v>19.1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116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35">
        <f>D284</f>
        <v/>
      </c>
      <c r="U33" s="135">
        <f>B276</f>
        <v/>
      </c>
      <c r="V33" s="135">
        <f>C276</f>
        <v/>
      </c>
      <c r="W33" s="18" t="n"/>
      <c r="X33" s="135">
        <f>I284</f>
        <v/>
      </c>
      <c r="Y33" s="135">
        <f>G276</f>
        <v/>
      </c>
      <c r="Z33" s="135">
        <f>H276</f>
        <v/>
      </c>
    </row>
    <row r="34" ht="20.25" customHeight="1" thickBot="1" thickTop="1">
      <c r="A34" s="116" t="n"/>
      <c r="B34" s="97" t="n"/>
      <c r="C34" s="97" t="n"/>
      <c r="D34" s="97" t="n"/>
      <c r="E34" s="2" t="n"/>
      <c r="F34" s="116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35">
        <f>D293</f>
        <v/>
      </c>
      <c r="U34" s="135">
        <f>B286</f>
        <v/>
      </c>
      <c r="V34" s="135">
        <f>C286</f>
        <v/>
      </c>
      <c r="W34" s="18" t="n"/>
      <c r="X34" s="135">
        <f>I293</f>
        <v/>
      </c>
      <c r="Y34" s="135">
        <f>G286</f>
        <v/>
      </c>
      <c r="Z34" s="135">
        <f>H286</f>
        <v/>
      </c>
    </row>
    <row r="35" ht="20.25" customHeight="1" thickBot="1" thickTop="1">
      <c r="A35" s="123" t="inlineStr">
        <is>
          <t>Total Payable</t>
        </is>
      </c>
      <c r="B35" s="124" t="n"/>
      <c r="C35" s="125" t="n"/>
      <c r="D35" s="90">
        <f>SUM(D30:D34)</f>
        <v/>
      </c>
      <c r="E35" s="2" t="n"/>
      <c r="F35" s="123" t="inlineStr">
        <is>
          <t>Total Payable</t>
        </is>
      </c>
      <c r="G35" s="124" t="n"/>
      <c r="H35" s="125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35">
        <f>D302</f>
        <v/>
      </c>
      <c r="U35" s="135">
        <f>B295</f>
        <v/>
      </c>
      <c r="V35" s="135">
        <f>C295</f>
        <v/>
      </c>
      <c r="W35" s="18" t="n"/>
      <c r="X35" s="135">
        <f>I302</f>
        <v/>
      </c>
      <c r="Y35" s="135">
        <f>G295</f>
        <v/>
      </c>
      <c r="Z35" s="135">
        <f>H295</f>
        <v/>
      </c>
    </row>
    <row r="36" ht="17.25" customHeight="1" thickBot="1" thickTop="1">
      <c r="A36" s="31" t="n"/>
      <c r="B36" s="2" t="n"/>
      <c r="C36" s="2" t="n"/>
      <c r="D36" s="2" t="n"/>
      <c r="E36" s="2" t="n"/>
      <c r="F36" s="31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35">
        <f>D311</f>
        <v/>
      </c>
      <c r="U36" s="135">
        <f>B304</f>
        <v/>
      </c>
      <c r="V36" s="135">
        <f>C304</f>
        <v/>
      </c>
      <c r="W36" s="18" t="n"/>
      <c r="X36" s="135">
        <f>I311</f>
        <v/>
      </c>
      <c r="Y36" s="135">
        <f>G304</f>
        <v/>
      </c>
      <c r="Z36" s="135">
        <f>H304</f>
        <v/>
      </c>
    </row>
    <row r="37" ht="20.25" customHeight="1" thickBot="1" thickTop="1">
      <c r="A37" s="116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45998</v>
      </c>
      <c r="E37" s="2" t="n"/>
      <c r="F37" s="116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45998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35">
        <f>D320</f>
        <v/>
      </c>
      <c r="U37" s="135">
        <f>B313</f>
        <v/>
      </c>
      <c r="V37" s="135">
        <f>C313</f>
        <v/>
      </c>
      <c r="W37" s="18" t="n"/>
      <c r="X37" s="135">
        <f>I320</f>
        <v/>
      </c>
      <c r="Y37" s="135">
        <f>G313</f>
        <v/>
      </c>
      <c r="Z37" s="135">
        <f>H313</f>
        <v/>
      </c>
    </row>
    <row r="38" ht="20.25" customHeight="1" thickBot="1" thickTop="1">
      <c r="A38" s="116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116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35">
        <f>D329</f>
        <v/>
      </c>
      <c r="U38" s="135">
        <f>B322</f>
        <v/>
      </c>
      <c r="V38" s="135">
        <f>C322</f>
        <v/>
      </c>
      <c r="W38" s="18" t="n"/>
      <c r="X38" s="135">
        <f>I329</f>
        <v/>
      </c>
      <c r="Y38" s="135">
        <f>G322</f>
        <v/>
      </c>
      <c r="Z38" s="135">
        <f>H322</f>
        <v/>
      </c>
    </row>
    <row r="39" ht="20.25" customHeight="1" thickBot="1" thickTop="1">
      <c r="A39" s="31" t="n">
        <v>13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26" t="n">
        <v>19.1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35">
        <f>D338</f>
        <v/>
      </c>
      <c r="U39" s="135">
        <f>B331</f>
        <v/>
      </c>
      <c r="V39" s="135">
        <f>C331</f>
        <v/>
      </c>
      <c r="W39" s="18" t="n"/>
      <c r="X39" s="135">
        <f>I338</f>
        <v/>
      </c>
      <c r="Y39" s="135">
        <f>G331</f>
        <v/>
      </c>
      <c r="Z39" s="135">
        <f>H331</f>
        <v/>
      </c>
    </row>
    <row r="40" ht="20.25" customHeight="1" thickBot="1" thickTop="1">
      <c r="A40" s="31" t="n">
        <v>19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26" t="n">
        <v>8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35">
        <f>D347</f>
        <v/>
      </c>
      <c r="U40" s="135">
        <f>B340</f>
        <v/>
      </c>
      <c r="V40" s="135">
        <f>C340</f>
        <v/>
      </c>
      <c r="W40" s="18" t="n"/>
      <c r="X40" s="135">
        <f>I347</f>
        <v/>
      </c>
      <c r="Y40" s="135">
        <f>G340</f>
        <v/>
      </c>
      <c r="Z40" s="135">
        <f>H340</f>
        <v/>
      </c>
    </row>
    <row r="41" ht="20.25" customHeight="1" thickBot="1" thickTop="1">
      <c r="A41" s="116" t="n"/>
      <c r="B41" s="97" t="n"/>
      <c r="C41" s="97" t="n"/>
      <c r="D41" s="97" t="n"/>
      <c r="E41" s="2" t="n"/>
      <c r="F41" s="116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35">
        <f>D356</f>
        <v/>
      </c>
      <c r="U41" s="135">
        <f>B349</f>
        <v/>
      </c>
      <c r="V41" s="135">
        <f>C349</f>
        <v/>
      </c>
      <c r="W41" s="18" t="n"/>
      <c r="X41" s="135">
        <f>I356</f>
        <v/>
      </c>
      <c r="Y41" s="135">
        <f>G349</f>
        <v/>
      </c>
      <c r="Z41" s="135">
        <f>H349</f>
        <v/>
      </c>
    </row>
    <row r="42" ht="20.25" customHeight="1" thickBot="1" thickTop="1">
      <c r="A42" s="116" t="n"/>
      <c r="B42" s="97" t="n"/>
      <c r="C42" s="97" t="n"/>
      <c r="D42" s="97" t="n"/>
      <c r="E42" s="2" t="n"/>
      <c r="F42" s="116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35">
        <f>D365</f>
        <v/>
      </c>
      <c r="U42" s="135">
        <f>B358</f>
        <v/>
      </c>
      <c r="V42" s="135">
        <f>C358</f>
        <v/>
      </c>
      <c r="W42" s="18" t="n"/>
      <c r="X42" s="135">
        <f>I365</f>
        <v/>
      </c>
      <c r="Y42" s="135">
        <f>G358</f>
        <v/>
      </c>
      <c r="Z42" s="135">
        <f>H358</f>
        <v/>
      </c>
    </row>
    <row r="43" ht="20.25" customHeight="1" thickBot="1" thickTop="1">
      <c r="A43" s="116" t="n"/>
      <c r="B43" s="97" t="n"/>
      <c r="C43" s="97" t="n"/>
      <c r="D43" s="97" t="n"/>
      <c r="E43" s="2" t="n"/>
      <c r="F43" s="116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35">
        <f>D374</f>
        <v/>
      </c>
      <c r="U43" s="135">
        <f>B367</f>
        <v/>
      </c>
      <c r="V43" s="135">
        <f>C367</f>
        <v/>
      </c>
      <c r="W43" s="18" t="n"/>
      <c r="X43" s="135">
        <f>I374</f>
        <v/>
      </c>
      <c r="Y43" s="135">
        <f>G367</f>
        <v/>
      </c>
      <c r="Z43" s="135">
        <f>H367</f>
        <v/>
      </c>
    </row>
    <row r="44" ht="20.25" customHeight="1" thickBot="1" thickTop="1">
      <c r="A44" s="123" t="inlineStr">
        <is>
          <t>Total Payable</t>
        </is>
      </c>
      <c r="B44" s="124" t="n"/>
      <c r="C44" s="125" t="n"/>
      <c r="D44" s="90">
        <f>SUM(D39:D43)</f>
        <v/>
      </c>
      <c r="E44" s="2" t="n"/>
      <c r="F44" s="123" t="inlineStr">
        <is>
          <t>Total Payable</t>
        </is>
      </c>
      <c r="G44" s="124" t="n"/>
      <c r="H44" s="125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35">
        <f>D383</f>
        <v/>
      </c>
      <c r="U44" s="135">
        <f>B376</f>
        <v/>
      </c>
      <c r="V44" s="135">
        <f>C376</f>
        <v/>
      </c>
      <c r="W44" s="18" t="n"/>
      <c r="X44" s="135">
        <f>I383</f>
        <v/>
      </c>
      <c r="Y44" s="135">
        <f>G376</f>
        <v/>
      </c>
      <c r="Z44" s="135">
        <f>H376</f>
        <v/>
      </c>
    </row>
    <row r="45" ht="17.25" customHeight="1" thickBot="1" thickTop="1">
      <c r="A45" s="31" t="n"/>
      <c r="B45" s="2" t="n"/>
      <c r="C45" s="2" t="n"/>
      <c r="D45" s="2" t="n"/>
      <c r="E45" s="2" t="n"/>
      <c r="F45" s="31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35">
        <f>D392</f>
        <v/>
      </c>
      <c r="U45" s="135">
        <f>B385</f>
        <v/>
      </c>
      <c r="V45" s="135">
        <f>C385</f>
        <v/>
      </c>
      <c r="W45" s="18" t="n"/>
      <c r="X45" s="135">
        <f>I392</f>
        <v/>
      </c>
      <c r="Y45" s="135">
        <f>G385</f>
        <v/>
      </c>
      <c r="Z45" s="135">
        <f>H385</f>
        <v/>
      </c>
    </row>
    <row r="46" ht="20.25" customHeight="1" thickBot="1" thickTop="1">
      <c r="A46" s="116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45998</v>
      </c>
      <c r="E46" s="2" t="n"/>
      <c r="F46" s="116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45998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35">
        <f>D401</f>
        <v/>
      </c>
      <c r="U46" s="135">
        <f>B394</f>
        <v/>
      </c>
      <c r="V46" s="135">
        <f>C394</f>
        <v/>
      </c>
      <c r="W46" s="18" t="n"/>
      <c r="X46" s="135">
        <f>I401</f>
        <v/>
      </c>
      <c r="Y46" s="135">
        <f>G394</f>
        <v/>
      </c>
      <c r="Z46" s="135">
        <f>H394</f>
        <v/>
      </c>
    </row>
    <row r="47" ht="20.25" customHeight="1" thickBot="1" thickTop="1">
      <c r="A47" s="116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116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35">
        <f>D410</f>
        <v/>
      </c>
      <c r="U47" s="18">
        <f>B403</f>
        <v/>
      </c>
      <c r="V47" s="18">
        <f>C403</f>
        <v/>
      </c>
      <c r="W47" s="18" t="n"/>
      <c r="X47" s="135">
        <f>I410</f>
        <v/>
      </c>
      <c r="Y47" s="135">
        <f>G403</f>
        <v/>
      </c>
      <c r="Z47" s="135">
        <f>H403</f>
        <v/>
      </c>
    </row>
    <row r="48" ht="20.25" customHeight="1" thickBot="1" thickTop="1">
      <c r="A48" s="31" t="n">
        <v>19.1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26" t="n">
        <v>16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35">
        <f>D419</f>
        <v/>
      </c>
      <c r="U48" s="18">
        <f>B412</f>
        <v/>
      </c>
      <c r="V48" s="18">
        <f>C412</f>
        <v/>
      </c>
      <c r="W48" s="18" t="n"/>
      <c r="X48" s="135">
        <f>I419</f>
        <v/>
      </c>
      <c r="Y48" s="135">
        <f>G412</f>
        <v/>
      </c>
      <c r="Z48" s="135">
        <f>H412</f>
        <v/>
      </c>
    </row>
    <row r="49" ht="20.25" customHeight="1" thickBot="1" thickTop="1">
      <c r="A49" s="116" t="n"/>
      <c r="B49" s="97" t="n"/>
      <c r="C49" s="97" t="n"/>
      <c r="D49" s="97" t="n"/>
      <c r="E49" s="2" t="n"/>
      <c r="F49" s="31" t="n">
        <v>3</v>
      </c>
      <c r="G49" s="97" t="n">
        <v>500000</v>
      </c>
      <c r="H49" s="97">
        <f>VLOOKUP(F49&amp;"|"&amp;G49,$O$3:$P$16,2,FALSE)</f>
        <v/>
      </c>
      <c r="I49" s="97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35">
        <f>D428</f>
        <v/>
      </c>
      <c r="U49" s="18">
        <f>B421</f>
        <v/>
      </c>
      <c r="V49" s="18">
        <f>C421</f>
        <v/>
      </c>
      <c r="W49" s="18" t="n"/>
      <c r="X49" s="135">
        <f>I428</f>
        <v/>
      </c>
      <c r="Y49" s="18">
        <f>G421</f>
        <v/>
      </c>
      <c r="Z49" s="18">
        <f>H421</f>
        <v/>
      </c>
    </row>
    <row r="50" ht="20.25" customHeight="1" thickBot="1" thickTop="1">
      <c r="A50" s="116" t="n"/>
      <c r="B50" s="97" t="n"/>
      <c r="C50" s="97" t="n"/>
      <c r="D50" s="97" t="n"/>
      <c r="E50" s="2" t="n"/>
      <c r="F50" s="116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35">
        <f>D437</f>
        <v/>
      </c>
      <c r="U50" s="18">
        <f>B430</f>
        <v/>
      </c>
      <c r="V50" s="18">
        <f>C430</f>
        <v/>
      </c>
      <c r="W50" s="18" t="n"/>
      <c r="X50" s="135">
        <f>I437</f>
        <v/>
      </c>
      <c r="Y50" s="18">
        <f>G430</f>
        <v/>
      </c>
      <c r="Z50" s="18">
        <f>H430</f>
        <v/>
      </c>
    </row>
    <row r="51" ht="20.25" customHeight="1" thickBot="1" thickTop="1">
      <c r="A51" s="116" t="n"/>
      <c r="B51" s="97" t="n"/>
      <c r="C51" s="97" t="n"/>
      <c r="D51" s="97" t="n"/>
      <c r="E51" s="2" t="n"/>
      <c r="F51" s="116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35">
        <f>D446</f>
        <v/>
      </c>
      <c r="U51" s="18">
        <f>B439</f>
        <v/>
      </c>
      <c r="V51" s="18">
        <f>C439</f>
        <v/>
      </c>
      <c r="W51" s="18" t="n"/>
      <c r="X51" s="135">
        <f>I446</f>
        <v/>
      </c>
      <c r="Y51" s="18">
        <f>G439</f>
        <v/>
      </c>
      <c r="Z51" s="18">
        <f>H439</f>
        <v/>
      </c>
    </row>
    <row r="52" ht="20.25" customHeight="1" thickBot="1" thickTop="1">
      <c r="A52" s="116" t="n"/>
      <c r="B52" s="97" t="n"/>
      <c r="C52" s="97" t="n"/>
      <c r="D52" s="97" t="n"/>
      <c r="E52" s="2" t="n"/>
      <c r="F52" s="116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35">
        <f>D455</f>
        <v/>
      </c>
      <c r="U52" s="18">
        <f>B448</f>
        <v/>
      </c>
      <c r="V52" s="18">
        <f>C448</f>
        <v/>
      </c>
      <c r="W52" s="18" t="n"/>
      <c r="X52" s="135">
        <f>I455</f>
        <v/>
      </c>
      <c r="Y52" s="18">
        <f>G448</f>
        <v/>
      </c>
      <c r="Z52" s="18">
        <f>H448</f>
        <v/>
      </c>
    </row>
    <row r="53" ht="20.25" customHeight="1" thickBot="1" thickTop="1">
      <c r="A53" s="123" t="inlineStr">
        <is>
          <t>Total Payable</t>
        </is>
      </c>
      <c r="B53" s="124" t="n"/>
      <c r="C53" s="125" t="n"/>
      <c r="D53" s="90">
        <f>SUM(D48:D52)</f>
        <v/>
      </c>
      <c r="E53" s="2" t="n"/>
      <c r="F53" s="123" t="inlineStr">
        <is>
          <t>Total Payable</t>
        </is>
      </c>
      <c r="G53" s="124" t="n"/>
      <c r="H53" s="125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35">
        <f>D464</f>
        <v/>
      </c>
      <c r="U53" s="18">
        <f>B457</f>
        <v/>
      </c>
      <c r="V53" s="18">
        <f>C457</f>
        <v/>
      </c>
      <c r="W53" s="18" t="n"/>
      <c r="X53" s="135">
        <f>I464</f>
        <v/>
      </c>
      <c r="Y53" s="18">
        <f>G457</f>
        <v/>
      </c>
      <c r="Z53" s="18">
        <f>H457</f>
        <v/>
      </c>
    </row>
    <row r="54" ht="17.25" customHeight="1" thickBot="1" thickTop="1">
      <c r="A54" s="31" t="n"/>
      <c r="B54" s="2" t="n"/>
      <c r="C54" s="2" t="n"/>
      <c r="D54" s="2" t="n"/>
      <c r="E54" s="2" t="n"/>
      <c r="F54" s="31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35">
        <f>D473</f>
        <v/>
      </c>
      <c r="U54" s="18">
        <f>B466</f>
        <v/>
      </c>
      <c r="V54" s="18">
        <f>C466</f>
        <v/>
      </c>
      <c r="W54" s="18" t="n"/>
      <c r="X54" s="135">
        <f>I473</f>
        <v/>
      </c>
      <c r="Y54" s="18">
        <f>G466</f>
        <v/>
      </c>
      <c r="Z54" s="18">
        <f>H466</f>
        <v/>
      </c>
    </row>
    <row r="55" ht="20.25" customHeight="1" thickBot="1" thickTop="1">
      <c r="A55" s="116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45998</v>
      </c>
      <c r="E55" s="2" t="n"/>
      <c r="F55" s="116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45998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35">
        <f>D482</f>
        <v/>
      </c>
      <c r="U55" s="18">
        <f>B475</f>
        <v/>
      </c>
      <c r="V55" s="18">
        <f>C475</f>
        <v/>
      </c>
      <c r="W55" s="135" t="n"/>
      <c r="X55" s="135">
        <f>I482</f>
        <v/>
      </c>
      <c r="Y55" s="18">
        <f>G475</f>
        <v/>
      </c>
      <c r="Z55" s="18">
        <f>H475</f>
        <v/>
      </c>
    </row>
    <row r="56" ht="20.25" customHeight="1" thickBot="1" thickTop="1">
      <c r="A56" s="116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116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35">
        <f>D491</f>
        <v/>
      </c>
      <c r="U56" s="18" t="inlineStr">
        <is>
          <t>VENKATREDDY</t>
        </is>
      </c>
      <c r="V56" s="18" t="inlineStr">
        <is>
          <t>SURARAM</t>
        </is>
      </c>
      <c r="W56" s="18" t="n"/>
      <c r="X56" s="135">
        <f>I491</f>
        <v/>
      </c>
      <c r="Y56" s="18" t="inlineStr">
        <is>
          <t>PEMARAMJI</t>
        </is>
      </c>
      <c r="Z56" s="18" t="inlineStr">
        <is>
          <t>SURARAM</t>
        </is>
      </c>
    </row>
    <row r="57" ht="20.25" customHeight="1" thickBot="1" thickTop="1">
      <c r="A57" s="31" t="n">
        <v>19.1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26" t="n">
        <v>3.1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35">
        <f>D500</f>
        <v/>
      </c>
      <c r="U57" s="18">
        <f>B493</f>
        <v/>
      </c>
      <c r="V57" s="18">
        <f>C493</f>
        <v/>
      </c>
      <c r="W57" s="18" t="n"/>
      <c r="X57" s="135">
        <f>I500</f>
        <v/>
      </c>
      <c r="Y57" s="18">
        <f>G493</f>
        <v/>
      </c>
      <c r="Z57" s="18">
        <f>H493</f>
        <v/>
      </c>
    </row>
    <row r="58" ht="20.25" customHeight="1" thickBot="1" thickTop="1">
      <c r="A58" s="31" t="n">
        <v>3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26" t="n">
        <v>8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35">
        <f>D509</f>
        <v/>
      </c>
      <c r="U58" s="135">
        <f>B502</f>
        <v/>
      </c>
      <c r="V58" s="18">
        <f>C502</f>
        <v/>
      </c>
      <c r="W58" s="18" t="n"/>
      <c r="X58" s="135">
        <f>I509</f>
        <v/>
      </c>
      <c r="Y58" s="18">
        <f>G502</f>
        <v/>
      </c>
      <c r="Z58" s="18">
        <f>H502</f>
        <v/>
      </c>
    </row>
    <row r="59" ht="20.25" customHeight="1" thickBot="1" thickTop="1">
      <c r="A59" s="116" t="n"/>
      <c r="B59" s="97" t="n"/>
      <c r="C59" s="97" t="n"/>
      <c r="D59" s="97" t="n"/>
      <c r="E59" s="2" t="n"/>
      <c r="F59" s="116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35">
        <f>D518</f>
        <v/>
      </c>
      <c r="U59" s="18">
        <f>B511</f>
        <v/>
      </c>
      <c r="V59" s="18">
        <f>C511</f>
        <v/>
      </c>
      <c r="W59" s="135" t="n"/>
      <c r="X59" s="135">
        <f>I518</f>
        <v/>
      </c>
      <c r="Y59" s="18">
        <f>G511</f>
        <v/>
      </c>
      <c r="Z59" s="18">
        <f>H511</f>
        <v/>
      </c>
    </row>
    <row r="60" ht="20.25" customHeight="1" thickBot="1" thickTop="1">
      <c r="A60" s="116" t="n"/>
      <c r="B60" s="97" t="n"/>
      <c r="C60" s="97" t="n"/>
      <c r="D60" s="97" t="n"/>
      <c r="E60" s="2" t="n"/>
      <c r="F60" s="116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35">
        <f>D527</f>
        <v/>
      </c>
      <c r="U60" s="18">
        <f>B520</f>
        <v/>
      </c>
      <c r="V60" s="18">
        <f>C520</f>
        <v/>
      </c>
      <c r="W60" s="18" t="n"/>
      <c r="X60" s="135">
        <f>I527</f>
        <v/>
      </c>
      <c r="Y60" s="18">
        <f>G520</f>
        <v/>
      </c>
      <c r="Z60" s="18">
        <f>H520</f>
        <v/>
      </c>
    </row>
    <row r="61" ht="20.25" customHeight="1" thickBot="1" thickTop="1">
      <c r="A61" s="116" t="n"/>
      <c r="B61" s="97" t="n"/>
      <c r="C61" s="97" t="n"/>
      <c r="D61" s="97" t="n"/>
      <c r="E61" s="2" t="n"/>
      <c r="F61" s="116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35">
        <f>D536</f>
        <v/>
      </c>
      <c r="U61" s="18">
        <f>B529</f>
        <v/>
      </c>
      <c r="V61" s="18">
        <f>C529</f>
        <v/>
      </c>
      <c r="W61" s="18" t="n"/>
      <c r="X61" s="135">
        <f>I536</f>
        <v/>
      </c>
      <c r="Y61" s="18">
        <f>G529</f>
        <v/>
      </c>
      <c r="Z61" s="18">
        <f>H529</f>
        <v/>
      </c>
    </row>
    <row r="62" ht="20.25" customHeight="1" thickBot="1" thickTop="1">
      <c r="A62" s="123" t="inlineStr">
        <is>
          <t>Total Payable</t>
        </is>
      </c>
      <c r="B62" s="124" t="n"/>
      <c r="C62" s="125" t="n"/>
      <c r="D62" s="90">
        <f>SUM(D57:D61)</f>
        <v/>
      </c>
      <c r="E62" s="2" t="n"/>
      <c r="F62" s="123" t="inlineStr">
        <is>
          <t>Total Payable</t>
        </is>
      </c>
      <c r="G62" s="124" t="n"/>
      <c r="H62" s="125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35">
        <f>D545</f>
        <v/>
      </c>
      <c r="U62" s="135">
        <f>B538</f>
        <v/>
      </c>
      <c r="V62" s="18">
        <f>C538</f>
        <v/>
      </c>
      <c r="W62" s="135" t="n"/>
      <c r="X62" s="135">
        <f>I545</f>
        <v/>
      </c>
      <c r="Y62" s="18">
        <f>G538</f>
        <v/>
      </c>
      <c r="Z62" s="18">
        <f>H538</f>
        <v/>
      </c>
    </row>
    <row r="63" ht="20.25" customHeight="1" thickBot="1" thickTop="1">
      <c r="A63" s="127" t="n"/>
      <c r="B63" s="91" t="n"/>
      <c r="C63" s="91" t="n"/>
      <c r="D63" s="91" t="n"/>
      <c r="E63" s="2" t="n"/>
      <c r="F63" s="127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35">
        <f>D554</f>
        <v/>
      </c>
      <c r="U63" s="18">
        <f>B547</f>
        <v/>
      </c>
      <c r="V63" s="18">
        <f>C547</f>
        <v/>
      </c>
      <c r="W63" s="18" t="n"/>
      <c r="X63" s="135">
        <f>I554</f>
        <v/>
      </c>
      <c r="Y63" s="18">
        <f>G547</f>
        <v/>
      </c>
      <c r="Z63" s="18">
        <f>H547</f>
        <v/>
      </c>
    </row>
    <row r="64" ht="20.25" customHeight="1" thickBot="1" thickTop="1">
      <c r="A64" s="11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45998</v>
      </c>
      <c r="E64" s="2" t="n"/>
      <c r="F64" s="116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45998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35">
        <f>D563</f>
        <v/>
      </c>
      <c r="U64" s="18">
        <f>B556</f>
        <v/>
      </c>
      <c r="V64" s="18">
        <f>C556</f>
        <v/>
      </c>
      <c r="W64" s="18" t="n"/>
      <c r="X64" s="135">
        <f>I563</f>
        <v/>
      </c>
      <c r="Y64" s="18">
        <f>G556</f>
        <v/>
      </c>
      <c r="Z64" s="18">
        <f>H556</f>
        <v/>
      </c>
    </row>
    <row r="65" ht="20.25" customHeight="1" thickBot="1" thickTop="1">
      <c r="A65" s="116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116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35">
        <f>D572</f>
        <v/>
      </c>
      <c r="U65" s="18">
        <f>B565</f>
        <v/>
      </c>
      <c r="V65" s="18">
        <f>C565</f>
        <v/>
      </c>
      <c r="W65" s="18" t="n"/>
      <c r="X65" s="135">
        <f>I572</f>
        <v/>
      </c>
      <c r="Y65" s="18">
        <f>G565</f>
        <v/>
      </c>
      <c r="Z65" s="18">
        <f>H565</f>
        <v/>
      </c>
    </row>
    <row r="66" ht="20.25" customHeight="1" thickBot="1" thickTop="1">
      <c r="A66" s="31" t="n">
        <v>19.1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26" t="n">
        <v>19.1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35" t="n"/>
      <c r="U66" s="18" t="n"/>
      <c r="V66" s="18" t="n"/>
      <c r="W66" s="18" t="n"/>
      <c r="X66" s="135" t="n"/>
      <c r="Y66" s="18" t="n"/>
      <c r="Z66" s="18" t="n"/>
    </row>
    <row r="67" ht="20.25" customHeight="1" thickBot="1" thickTop="1">
      <c r="A67" s="31" t="n">
        <v>8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26" t="n">
        <v>8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35" t="n"/>
      <c r="U67" s="18" t="n"/>
      <c r="V67" s="18" t="n"/>
      <c r="W67" s="18" t="n"/>
      <c r="X67" s="18" t="n"/>
      <c r="Y67" s="18" t="n"/>
      <c r="Z67" s="18" t="n"/>
    </row>
    <row r="68" ht="20.25" customHeight="1" thickBot="1" thickTop="1">
      <c r="A68" s="116" t="n"/>
      <c r="B68" s="97" t="n"/>
      <c r="C68" s="97" t="n"/>
      <c r="D68" s="97" t="n"/>
      <c r="E68" s="2" t="n"/>
      <c r="F68" s="116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8" t="n"/>
      <c r="U68" s="18" t="n"/>
      <c r="V68" s="18" t="n"/>
      <c r="W68" s="18" t="n"/>
      <c r="X68" s="18" t="n"/>
      <c r="Y68" s="18" t="n"/>
      <c r="Z68" s="18" t="n"/>
    </row>
    <row r="69" ht="20.25" customHeight="1" thickBot="1" thickTop="1">
      <c r="A69" s="116" t="n"/>
      <c r="B69" s="97" t="n"/>
      <c r="C69" s="97" t="n"/>
      <c r="D69" s="97" t="n"/>
      <c r="E69" s="2" t="n"/>
      <c r="F69" s="116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35">
        <f>SUM(T3:T67)</f>
        <v/>
      </c>
      <c r="U69" s="18" t="n"/>
      <c r="V69" s="18" t="n"/>
      <c r="W69" s="18" t="n"/>
      <c r="X69" s="135">
        <f>SUM(X3:X66)</f>
        <v/>
      </c>
      <c r="Y69" s="18" t="n"/>
      <c r="Z69" s="18" t="n"/>
    </row>
    <row r="70" ht="20.25" customHeight="1" thickBot="1" thickTop="1">
      <c r="A70" s="116" t="n"/>
      <c r="B70" s="97" t="n"/>
      <c r="C70" s="97" t="n"/>
      <c r="D70" s="97" t="n"/>
      <c r="E70" s="2" t="n"/>
      <c r="F70" s="51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8" t="n"/>
      <c r="U70" s="18" t="n"/>
      <c r="V70" s="18" t="n"/>
      <c r="W70" s="18" t="n"/>
      <c r="X70" s="18" t="n"/>
      <c r="Y70" s="18" t="n"/>
      <c r="Z70" s="18" t="n"/>
    </row>
    <row r="71" ht="20.25" customHeight="1" thickBot="1" thickTop="1">
      <c r="A71" s="62" t="inlineStr">
        <is>
          <t>TOTAL PAYABLE</t>
        </is>
      </c>
      <c r="B71" s="82" t="n"/>
      <c r="C71" s="83" t="n"/>
      <c r="D71" s="97">
        <f>SUM(D66:D70)</f>
        <v/>
      </c>
      <c r="E71" s="2" t="n"/>
      <c r="F71" s="123" t="inlineStr">
        <is>
          <t>Total Payable</t>
        </is>
      </c>
      <c r="G71" s="124" t="n"/>
      <c r="H71" s="125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8" t="n"/>
      <c r="U71" s="18" t="n"/>
      <c r="V71" s="18" t="inlineStr">
        <is>
          <t>TOTAL</t>
        </is>
      </c>
      <c r="W71" s="136">
        <f>SUM(T69,X69)</f>
        <v/>
      </c>
      <c r="X71" s="135">
        <f>SUM(T69,X69)</f>
        <v/>
      </c>
      <c r="Y71" s="18" t="n"/>
      <c r="Z71" s="18" t="n"/>
    </row>
    <row r="72" ht="20.25" customHeight="1" thickBot="1" thickTop="1">
      <c r="A72" s="127" t="n"/>
      <c r="B72" s="91" t="n"/>
      <c r="C72" s="91" t="n"/>
      <c r="D72" s="91" t="n"/>
      <c r="E72" s="2" t="n"/>
      <c r="F72" s="127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116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45998</v>
      </c>
      <c r="E73" s="2" t="n"/>
      <c r="F73" s="116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45998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116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116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31" t="n">
        <v>19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26" t="n">
        <v>3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31" t="n">
        <v>19.1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26" t="n">
        <v>3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31" t="n">
        <v>3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26" t="n">
        <v>3.1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31" t="n">
        <v>3.1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26" t="n">
        <v>3.1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31" t="n">
        <v>3.1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26" t="n">
        <v>8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31" t="n">
        <v>13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26" t="n">
        <v>19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31" t="n">
        <v>19.1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26" t="n">
        <v>19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31" t="n">
        <v>19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26" t="n">
        <v>19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31" t="n">
        <v>8</v>
      </c>
      <c r="B83" s="97" t="n">
        <v>2000000</v>
      </c>
      <c r="C83" s="97">
        <f>VLOOKUP(A83&amp;"|"&amp;B83,$O$3:$P$18,2,FALSE)</f>
        <v/>
      </c>
      <c r="D83" s="97">
        <f>VLOOKUP(A83&amp;"|"&amp;B83,$Q$3:$R$18,2,FALSE)</f>
        <v/>
      </c>
      <c r="E83" s="2" t="n"/>
      <c r="F83" s="26" t="n">
        <v>19.1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116" t="n">
        <v>3</v>
      </c>
      <c r="B84" s="97" t="n">
        <v>500000</v>
      </c>
      <c r="C84" s="97">
        <f>VLOOKUP(A84&amp;"|"&amp;B84,$O$3:$P$18,2,FALSE)</f>
        <v/>
      </c>
      <c r="D84" s="97">
        <f>VLOOKUP(A84&amp;"|"&amp;B84,$Q$3:$R$18,2,FALSE)</f>
        <v/>
      </c>
      <c r="E84" s="2" t="n"/>
      <c r="F84" s="26" t="n">
        <v>8</v>
      </c>
      <c r="G84" s="97" t="n">
        <v>1000000</v>
      </c>
      <c r="H84" s="97">
        <f>VLOOKUP(F84&amp;"|"&amp;G84,$O$3:$P$16,2,FALSE)</f>
        <v/>
      </c>
      <c r="I84" s="97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31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123" t="inlineStr">
        <is>
          <t>Total Payable</t>
        </is>
      </c>
      <c r="G85" s="124" t="n"/>
      <c r="H85" s="125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thickBot="1" thickTop="1">
      <c r="A86" s="31" t="n"/>
      <c r="B86" s="2" t="n"/>
      <c r="C86" s="2" t="n"/>
      <c r="D86" s="2" t="n"/>
      <c r="E86" s="2" t="n"/>
      <c r="F86" s="31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31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45998</v>
      </c>
      <c r="E87" s="2" t="n"/>
      <c r="F87" s="116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45998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31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116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31" t="n">
        <v>19.1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26" t="n">
        <v>19.1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31" t="n">
        <v>3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116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31" t="n">
        <v>8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116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31" t="n">
        <v>8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116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116" t="n"/>
      <c r="B93" s="97" t="n"/>
      <c r="C93" s="97" t="n"/>
      <c r="D93" s="97" t="n"/>
      <c r="E93" s="2" t="n"/>
      <c r="F93" s="116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116" t="inlineStr">
        <is>
          <t>Total Payable</t>
        </is>
      </c>
      <c r="B94" s="97" t="n"/>
      <c r="C94" s="97" t="n"/>
      <c r="D94" s="97">
        <f>SUM(D89:D93)</f>
        <v/>
      </c>
      <c r="E94" s="2" t="n"/>
      <c r="F94" s="123" t="inlineStr">
        <is>
          <t>Total Payable</t>
        </is>
      </c>
      <c r="G94" s="124" t="n"/>
      <c r="H94" s="125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thickBot="1" thickTop="1">
      <c r="A95" s="31" t="n"/>
      <c r="B95" s="2" t="n"/>
      <c r="C95" s="2" t="n"/>
      <c r="D95" s="2" t="n"/>
      <c r="E95" s="2" t="n"/>
      <c r="F95" s="31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116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45998</v>
      </c>
      <c r="E96" s="2" t="n"/>
      <c r="F96" s="116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45998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116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116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31" t="n">
        <v>19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26" t="n">
        <v>19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31" t="n">
        <v>8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26" t="n">
        <v>19.1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116" t="n"/>
      <c r="B100" s="97" t="n"/>
      <c r="C100" s="97" t="n"/>
      <c r="D100" s="97" t="n"/>
      <c r="E100" s="2" t="n"/>
      <c r="F100" s="26" t="n">
        <v>3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116" t="n"/>
      <c r="B101" s="97" t="n"/>
      <c r="C101" s="97" t="n"/>
      <c r="D101" s="97" t="n"/>
      <c r="E101" s="2" t="n"/>
      <c r="F101" s="116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116" t="n"/>
      <c r="B102" s="97" t="n"/>
      <c r="C102" s="97" t="n"/>
      <c r="D102" s="97" t="n"/>
      <c r="E102" s="2" t="n"/>
      <c r="F102" s="116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116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123" t="inlineStr">
        <is>
          <t>Total Payable</t>
        </is>
      </c>
      <c r="G103" s="124" t="n"/>
      <c r="H103" s="125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thickBot="1" thickTop="1">
      <c r="A104" s="31" t="n"/>
      <c r="B104" s="2" t="n"/>
      <c r="C104" s="2" t="n"/>
      <c r="D104" s="2" t="n"/>
      <c r="E104" s="2" t="n"/>
      <c r="F104" s="31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116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45998</v>
      </c>
      <c r="E105" s="2" t="n"/>
      <c r="F105" s="116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45998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116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116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31" t="n">
        <v>19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26" t="n">
        <v>19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116" t="n"/>
      <c r="B108" s="97" t="n"/>
      <c r="C108" s="97" t="n"/>
      <c r="D108" s="97" t="n"/>
      <c r="E108" s="2" t="n"/>
      <c r="F108" s="26" t="n">
        <v>19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116" t="n"/>
      <c r="B109" s="97" t="n"/>
      <c r="C109" s="97" t="n"/>
      <c r="D109" s="97" t="n"/>
      <c r="E109" s="2" t="n"/>
      <c r="F109" s="26" t="n">
        <v>8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116" t="n"/>
      <c r="B110" s="97" t="n"/>
      <c r="C110" s="97" t="n"/>
      <c r="D110" s="97" t="n"/>
      <c r="E110" s="2" t="n"/>
      <c r="F110" s="116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116" t="n"/>
      <c r="B111" s="97" t="n"/>
      <c r="C111" s="97" t="n"/>
      <c r="D111" s="97" t="n"/>
      <c r="E111" s="2" t="n"/>
      <c r="F111" s="116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116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123" t="inlineStr">
        <is>
          <t>Total Payable</t>
        </is>
      </c>
      <c r="G112" s="124" t="n"/>
      <c r="H112" s="125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thickBot="1" thickTop="1">
      <c r="A113" s="31" t="n"/>
      <c r="B113" s="2" t="n"/>
      <c r="C113" s="2" t="n"/>
      <c r="D113" s="2" t="n"/>
      <c r="E113" s="2" t="n"/>
      <c r="F113" s="31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116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45998</v>
      </c>
      <c r="E114" s="2" t="n"/>
      <c r="F114" s="116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45998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116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116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31" t="n">
        <v>19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26" t="n">
        <v>19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31" t="n">
        <v>3.1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26" t="n">
        <v>8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31" t="n">
        <v>13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116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31" t="n">
        <v>13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116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116" t="n"/>
      <c r="B120" s="97" t="n"/>
      <c r="C120" s="97" t="n"/>
      <c r="D120" s="97" t="n"/>
      <c r="E120" s="2" t="n"/>
      <c r="F120" s="116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116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123" t="inlineStr">
        <is>
          <t>Total Payable</t>
        </is>
      </c>
      <c r="G121" s="124" t="n"/>
      <c r="H121" s="125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thickBot="1" thickTop="1">
      <c r="A122" s="31" t="n"/>
      <c r="B122" s="2" t="n"/>
      <c r="C122" s="2" t="n"/>
      <c r="D122" s="2" t="n"/>
      <c r="E122" s="2" t="n"/>
      <c r="F122" s="31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116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45998</v>
      </c>
      <c r="E123" s="2" t="n"/>
      <c r="F123" s="116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45998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116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116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31" t="n">
        <v>19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26" t="n">
        <v>19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31" t="n">
        <v>8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26" t="n">
        <v>13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116" t="n"/>
      <c r="B127" s="97" t="n"/>
      <c r="C127" s="97" t="n"/>
      <c r="D127" s="97" t="n"/>
      <c r="E127" s="2" t="n"/>
      <c r="F127" s="26" t="n">
        <v>13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116" t="n"/>
      <c r="B128" s="97" t="n"/>
      <c r="C128" s="97" t="n"/>
      <c r="D128" s="97" t="n"/>
      <c r="E128" s="2" t="n"/>
      <c r="F128" s="26" t="n">
        <v>3.1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116" t="n"/>
      <c r="B129" s="97" t="n"/>
      <c r="C129" s="97" t="n"/>
      <c r="D129" s="97" t="n"/>
      <c r="E129" s="2" t="n"/>
      <c r="F129" s="26" t="n">
        <v>3</v>
      </c>
      <c r="G129" s="97" t="n">
        <v>500000</v>
      </c>
      <c r="H129" s="97">
        <f>VLOOKUP(F129&amp;"|"&amp;G129,$O$3:$P$16,2,FALSE)</f>
        <v/>
      </c>
      <c r="I129" s="97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116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123" t="inlineStr">
        <is>
          <t>Total Payable</t>
        </is>
      </c>
      <c r="G130" s="124" t="n"/>
      <c r="H130" s="125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thickBot="1" thickTop="1">
      <c r="A131" s="31" t="n"/>
      <c r="B131" s="2" t="n"/>
      <c r="C131" s="2" t="n"/>
      <c r="D131" s="2" t="n"/>
      <c r="E131" s="2" t="n"/>
      <c r="F131" s="31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116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45998</v>
      </c>
      <c r="E132" s="2" t="n"/>
      <c r="F132" s="116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45998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116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116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31" t="n">
        <v>19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26" t="n">
        <v>19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31" t="n">
        <v>3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116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116" t="n"/>
      <c r="B136" s="97" t="n"/>
      <c r="C136" s="97" t="n"/>
      <c r="D136" s="97" t="n"/>
      <c r="E136" s="2" t="n"/>
      <c r="F136" s="116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116" t="n"/>
      <c r="B137" s="97" t="n"/>
      <c r="C137" s="97" t="n"/>
      <c r="D137" s="97" t="n"/>
      <c r="E137" s="2" t="n"/>
      <c r="F137" s="116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116" t="n"/>
      <c r="B138" s="97" t="n"/>
      <c r="C138" s="97" t="n"/>
      <c r="D138" s="97" t="n"/>
      <c r="E138" s="2" t="n"/>
      <c r="F138" s="116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116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123" t="inlineStr">
        <is>
          <t>Total Payable</t>
        </is>
      </c>
      <c r="G139" s="124" t="n"/>
      <c r="H139" s="125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thickBot="1" thickTop="1">
      <c r="A140" s="31" t="n"/>
      <c r="B140" s="2" t="n"/>
      <c r="C140" s="2" t="n"/>
      <c r="D140" s="2" t="n"/>
      <c r="E140" s="2" t="n"/>
      <c r="F140" s="31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116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45998</v>
      </c>
      <c r="E141" s="2" t="n"/>
      <c r="F141" s="11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45998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116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116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31" t="n">
        <v>19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26" t="n">
        <v>3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31" t="n">
        <v>13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26" t="n">
        <v>3.1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31" t="n">
        <v>16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116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31" t="n">
        <v>3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116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116" t="n"/>
      <c r="B147" s="97" t="n"/>
      <c r="C147" s="97" t="n"/>
      <c r="D147" s="97" t="n"/>
      <c r="E147" s="2" t="n"/>
      <c r="F147" s="116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116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123" t="inlineStr">
        <is>
          <t>Total Payable</t>
        </is>
      </c>
      <c r="G148" s="124" t="n"/>
      <c r="H148" s="125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31" t="n"/>
      <c r="B149" s="2" t="n"/>
      <c r="C149" s="2" t="n"/>
      <c r="D149" s="2" t="n"/>
      <c r="E149" s="2" t="n"/>
      <c r="F149" s="127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116" t="inlineStr">
        <is>
          <t>Name</t>
        </is>
      </c>
      <c r="B150" s="97" t="inlineStr">
        <is>
          <t>UDARAMJI</t>
        </is>
      </c>
      <c r="C150" s="97" t="inlineStr">
        <is>
          <t>CHINTAL</t>
        </is>
      </c>
      <c r="D150" s="9" t="n">
        <v>45998</v>
      </c>
      <c r="E150" s="2" t="n"/>
      <c r="F150" s="116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45998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116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116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31" t="n">
        <v>3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26" t="n">
        <v>19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116" t="n"/>
      <c r="B153" s="97" t="n"/>
      <c r="C153" s="97" t="n"/>
      <c r="D153" s="97" t="n"/>
      <c r="E153" s="2" t="n"/>
      <c r="F153" s="26" t="n">
        <v>16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116" t="n"/>
      <c r="B154" s="97" t="n"/>
      <c r="C154" s="97" t="n"/>
      <c r="D154" s="97" t="n"/>
      <c r="E154" s="2" t="n"/>
      <c r="F154" s="26" t="n">
        <v>3</v>
      </c>
      <c r="G154" s="97" t="n">
        <v>1000000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116" t="n"/>
      <c r="B155" s="97" t="n"/>
      <c r="C155" s="97" t="n"/>
      <c r="D155" s="97" t="n"/>
      <c r="E155" s="2" t="n"/>
      <c r="F155" s="116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116" t="n"/>
      <c r="B156" s="97" t="n"/>
      <c r="C156" s="97" t="n"/>
      <c r="D156" s="97" t="n"/>
      <c r="E156" s="2" t="n"/>
      <c r="F156" s="116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116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123" t="inlineStr">
        <is>
          <t>Total Payable</t>
        </is>
      </c>
      <c r="G157" s="124" t="n"/>
      <c r="H157" s="125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thickBot="1" thickTop="1">
      <c r="A158" s="31" t="n"/>
      <c r="B158" s="2" t="n"/>
      <c r="C158" s="2" t="n"/>
      <c r="D158" s="2" t="n"/>
      <c r="E158" s="2" t="n"/>
      <c r="F158" s="31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116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45998</v>
      </c>
      <c r="E159" s="2" t="n"/>
      <c r="F159" s="116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45998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116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116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31" t="n">
        <v>19.1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26" t="n">
        <v>19.1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116" t="n"/>
      <c r="B162" s="97" t="n"/>
      <c r="C162" s="97" t="n"/>
      <c r="D162" s="97" t="n"/>
      <c r="E162" s="2" t="n"/>
      <c r="F162" s="116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116" t="n"/>
      <c r="B163" s="97" t="n"/>
      <c r="C163" s="97" t="n"/>
      <c r="D163" s="97" t="n"/>
      <c r="E163" s="2" t="n"/>
      <c r="F163" s="116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116" t="n"/>
      <c r="B164" s="97" t="n"/>
      <c r="C164" s="97" t="n"/>
      <c r="D164" s="97" t="n"/>
      <c r="E164" s="2" t="n"/>
      <c r="F164" s="116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116" t="n"/>
      <c r="B165" s="97" t="n"/>
      <c r="C165" s="97" t="n"/>
      <c r="D165" s="97" t="n"/>
      <c r="E165" s="2" t="n"/>
      <c r="F165" s="116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116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123" t="inlineStr">
        <is>
          <t>Total Payable</t>
        </is>
      </c>
      <c r="G166" s="124" t="n"/>
      <c r="H166" s="125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thickBot="1" thickTop="1">
      <c r="A167" s="31" t="n"/>
      <c r="B167" s="2" t="n"/>
      <c r="C167" s="2" t="n"/>
      <c r="D167" s="2" t="n"/>
      <c r="E167" s="2" t="n"/>
      <c r="F167" s="31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116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45998</v>
      </c>
      <c r="E168" s="2" t="n"/>
      <c r="F168" s="116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45998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116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116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31" t="n">
        <v>19.1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26" t="n">
        <v>19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31" t="n">
        <v>8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26" t="n">
        <v>13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31" t="n">
        <v>8</v>
      </c>
      <c r="B172" s="97" t="n">
        <v>1000000</v>
      </c>
      <c r="C172" s="97">
        <f>VLOOKUP(A172&amp;"|"&amp;B172,$O$3:$P$16,2,FALSE)</f>
        <v/>
      </c>
      <c r="D172" s="97">
        <f>VLOOKUP(A172&amp;"|"&amp;B172,$Q$3:$R$16,2,FALSE)</f>
        <v/>
      </c>
      <c r="E172" s="2" t="n"/>
      <c r="F172" s="116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116" t="n"/>
      <c r="B173" s="97" t="n"/>
      <c r="C173" s="97" t="n"/>
      <c r="D173" s="97" t="n"/>
      <c r="E173" s="2" t="n"/>
      <c r="F173" s="116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116" t="n"/>
      <c r="B174" s="97" t="n"/>
      <c r="C174" s="97" t="n"/>
      <c r="D174" s="97" t="n"/>
      <c r="E174" s="2" t="n"/>
      <c r="F174" s="116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116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123" t="inlineStr">
        <is>
          <t>Total Payable</t>
        </is>
      </c>
      <c r="G175" s="124" t="n"/>
      <c r="H175" s="125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thickBot="1" thickTop="1">
      <c r="A176" s="31" t="n"/>
      <c r="B176" s="2" t="n"/>
      <c r="C176" s="2" t="n"/>
      <c r="D176" s="2" t="n"/>
      <c r="E176" s="2" t="n"/>
      <c r="F176" s="31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116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45998</v>
      </c>
      <c r="E177" s="2" t="n"/>
      <c r="F177" s="116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45998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116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116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31" t="n">
        <v>8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26" t="n">
        <v>19.1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31" t="n">
        <v>16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116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116" t="n"/>
      <c r="B181" s="97" t="n"/>
      <c r="C181" s="97" t="n"/>
      <c r="D181" s="97" t="n"/>
      <c r="E181" s="2" t="n"/>
      <c r="F181" s="116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116" t="n"/>
      <c r="B182" s="97" t="n"/>
      <c r="C182" s="97" t="n"/>
      <c r="D182" s="97" t="n"/>
      <c r="E182" s="2" t="n"/>
      <c r="F182" s="116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116" t="n"/>
      <c r="B183" s="97" t="n"/>
      <c r="C183" s="97" t="n"/>
      <c r="D183" s="97" t="n"/>
      <c r="E183" s="2" t="n"/>
      <c r="F183" s="116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116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123" t="inlineStr">
        <is>
          <t>Total Payable</t>
        </is>
      </c>
      <c r="G184" s="124" t="n"/>
      <c r="H184" s="125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thickBot="1" thickTop="1">
      <c r="A185" s="31" t="inlineStr">
        <is>
          <t> </t>
        </is>
      </c>
      <c r="B185" s="2" t="n"/>
      <c r="C185" s="2" t="n"/>
      <c r="D185" s="2" t="n"/>
      <c r="E185" s="2" t="n"/>
      <c r="F185" s="31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1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45998</v>
      </c>
      <c r="E186" s="2" t="n"/>
      <c r="F186" s="116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45998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116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116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31" t="n">
        <v>3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26" t="n">
        <v>19.1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31" t="n">
        <v>19.1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116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31" t="n"/>
      <c r="B190" s="97" t="n"/>
      <c r="C190" s="97" t="n"/>
      <c r="D190" s="97" t="n"/>
      <c r="E190" s="2" t="n"/>
      <c r="F190" s="116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116" t="n"/>
      <c r="B191" s="97" t="n"/>
      <c r="C191" s="97" t="n"/>
      <c r="D191" s="97" t="n"/>
      <c r="E191" s="2" t="n"/>
      <c r="F191" s="116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116" t="n"/>
      <c r="B192" s="97" t="n"/>
      <c r="C192" s="97" t="n"/>
      <c r="D192" s="97" t="n"/>
      <c r="E192" s="2" t="n"/>
      <c r="F192" s="116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116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123" t="inlineStr">
        <is>
          <t>Total Payable</t>
        </is>
      </c>
      <c r="G193" s="124" t="n"/>
      <c r="H193" s="125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thickBot="1" thickTop="1">
      <c r="A194" s="31" t="n"/>
      <c r="B194" s="2" t="n"/>
      <c r="C194" s="2" t="n"/>
      <c r="D194" s="2" t="n"/>
      <c r="E194" s="2" t="n"/>
      <c r="F194" s="31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116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45998</v>
      </c>
      <c r="E195" s="2" t="n"/>
      <c r="F195" s="116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45998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116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116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31" t="n">
        <v>19.1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26" t="n">
        <v>19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31" t="n">
        <v>8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116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116" t="n"/>
      <c r="B199" s="97" t="n"/>
      <c r="C199" s="97" t="n"/>
      <c r="D199" s="97" t="n"/>
      <c r="E199" s="2" t="n"/>
      <c r="F199" s="116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116" t="n"/>
      <c r="B200" s="97" t="n"/>
      <c r="C200" s="97" t="n"/>
      <c r="D200" s="97" t="n"/>
      <c r="E200" s="2" t="n"/>
      <c r="F200" s="116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116" t="n"/>
      <c r="B201" s="97" t="n"/>
      <c r="C201" s="97" t="n"/>
      <c r="D201" s="97" t="n"/>
      <c r="E201" s="2" t="n"/>
      <c r="F201" s="116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116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123" t="inlineStr">
        <is>
          <t>Total Payable</t>
        </is>
      </c>
      <c r="G202" s="124" t="n"/>
      <c r="H202" s="125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thickBot="1" thickTop="1">
      <c r="A203" s="31" t="n"/>
      <c r="B203" s="2" t="n"/>
      <c r="C203" s="2" t="n"/>
      <c r="D203" s="2" t="n"/>
      <c r="E203" s="2" t="n"/>
      <c r="F203" s="31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1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45998</v>
      </c>
      <c r="F204" s="11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45998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116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116" t="inlineStr">
        <is>
          <t>Month</t>
        </is>
      </c>
      <c r="G205" s="97" t="inlineStr">
        <is>
          <t>PLAN</t>
        </is>
      </c>
      <c r="H205" s="97" t="inlineStr">
        <is>
          <t>Commission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31" t="n">
        <v>19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26" t="n">
        <v>3.1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31" t="n">
        <v>19.1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26" t="n">
        <v>8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116" t="n"/>
      <c r="B208" s="97" t="n"/>
      <c r="C208" s="97" t="n"/>
      <c r="D208" s="97" t="n"/>
      <c r="E208" s="2" t="n"/>
      <c r="F208" s="116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116" t="n"/>
      <c r="B209" s="97" t="n"/>
      <c r="C209" s="97" t="n"/>
      <c r="D209" s="97" t="n"/>
      <c r="E209" s="2" t="n"/>
      <c r="F209" s="116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116" t="n"/>
      <c r="B210" s="97" t="n"/>
      <c r="C210" s="97" t="n"/>
      <c r="D210" s="97" t="n"/>
      <c r="E210" s="2" t="n"/>
      <c r="F210" s="116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116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123" t="inlineStr">
        <is>
          <t>Total Payable</t>
        </is>
      </c>
      <c r="G211" s="124" t="n"/>
      <c r="H211" s="125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thickBot="1" thickTop="1">
      <c r="A212" s="31" t="n"/>
      <c r="B212" s="2" t="n"/>
      <c r="C212" s="2" t="n"/>
      <c r="D212" s="2" t="n"/>
      <c r="E212" s="2" t="n"/>
      <c r="F212" s="31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116" t="inlineStr">
        <is>
          <t>Name</t>
        </is>
      </c>
      <c r="B213" s="97" t="n"/>
      <c r="C213" s="97" t="inlineStr">
        <is>
          <t>GUTTA</t>
        </is>
      </c>
      <c r="D213" s="9" t="n">
        <v>45998</v>
      </c>
      <c r="E213" s="2" t="n"/>
      <c r="F213" s="116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45998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116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116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31" t="n"/>
      <c r="B215" s="97" t="n"/>
      <c r="C215" s="97" t="n"/>
      <c r="D215" s="97" t="n"/>
      <c r="E215" s="2" t="n"/>
      <c r="F215" s="26" t="n">
        <v>3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116" t="n"/>
      <c r="B216" s="97" t="n"/>
      <c r="C216" s="97" t="n"/>
      <c r="D216" s="97" t="n"/>
      <c r="E216" s="2" t="n"/>
      <c r="F216" s="26" t="n">
        <v>16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116" t="n"/>
      <c r="B217" s="97" t="n"/>
      <c r="C217" s="97" t="n"/>
      <c r="D217" s="97" t="n"/>
      <c r="E217" s="2" t="n"/>
      <c r="F217" s="116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116" t="n"/>
      <c r="B218" s="97" t="n"/>
      <c r="C218" s="97" t="n"/>
      <c r="D218" s="97" t="n"/>
      <c r="E218" s="2" t="n"/>
      <c r="F218" s="116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116" t="n"/>
      <c r="B219" s="97" t="n"/>
      <c r="C219" s="97" t="n"/>
      <c r="D219" s="97" t="n"/>
      <c r="E219" s="2" t="n"/>
      <c r="F219" s="116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116" t="inlineStr">
        <is>
          <t>Total Payable</t>
        </is>
      </c>
      <c r="B220" s="97" t="n"/>
      <c r="C220" s="97" t="n"/>
      <c r="D220" s="97" t="n"/>
      <c r="E220" s="2" t="n"/>
      <c r="F220" s="123" t="inlineStr">
        <is>
          <t>Total Payable</t>
        </is>
      </c>
      <c r="G220" s="124" t="n"/>
      <c r="H220" s="125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thickBot="1" thickTop="1">
      <c r="A221" s="31" t="n"/>
      <c r="B221" s="2" t="n"/>
      <c r="C221" s="2" t="n"/>
      <c r="D221" s="2" t="n"/>
      <c r="E221" s="2" t="n"/>
      <c r="F221" s="31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116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45998</v>
      </c>
      <c r="E222" s="2" t="n"/>
      <c r="F222" s="116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45998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116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116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31" t="n">
        <v>13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57" t="n">
        <v>13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116" t="n"/>
      <c r="B225" s="97" t="n"/>
      <c r="C225" s="97" t="n"/>
      <c r="D225" s="97" t="n"/>
      <c r="E225" s="2" t="n"/>
      <c r="F225" s="116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116" t="n"/>
      <c r="B226" s="97" t="n"/>
      <c r="C226" s="97" t="n"/>
      <c r="D226" s="97" t="n"/>
      <c r="E226" s="2" t="n"/>
      <c r="F226" s="116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116" t="n"/>
      <c r="B227" s="97" t="n"/>
      <c r="C227" s="97" t="n"/>
      <c r="D227" s="97" t="n"/>
      <c r="E227" s="2" t="n"/>
      <c r="F227" s="116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116" t="n"/>
      <c r="B228" s="97" t="n"/>
      <c r="C228" s="97" t="n"/>
      <c r="D228" s="97" t="n"/>
      <c r="E228" s="2" t="n"/>
      <c r="F228" s="116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116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123" t="inlineStr">
        <is>
          <t>Total Payable</t>
        </is>
      </c>
      <c r="G229" s="124" t="n"/>
      <c r="H229" s="125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thickBot="1" thickTop="1">
      <c r="A230" s="31" t="n"/>
      <c r="B230" s="2" t="n"/>
      <c r="C230" s="2" t="n"/>
      <c r="D230" s="2" t="n"/>
      <c r="E230" s="2" t="n"/>
      <c r="F230" s="31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116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45998</v>
      </c>
      <c r="E231" s="2" t="n"/>
      <c r="F231" s="116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45998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116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116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31" t="n">
        <v>8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57" t="n">
        <v>8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116" t="n"/>
      <c r="B234" s="97" t="n"/>
      <c r="C234" s="97" t="n"/>
      <c r="D234" s="97" t="n"/>
      <c r="E234" s="2" t="n"/>
      <c r="F234" s="116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116" t="n"/>
      <c r="B235" s="97" t="n"/>
      <c r="C235" s="97" t="n"/>
      <c r="D235" s="97" t="n"/>
      <c r="E235" s="2" t="n"/>
      <c r="F235" s="116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116" t="n"/>
      <c r="B236" s="97" t="n"/>
      <c r="C236" s="97" t="n"/>
      <c r="D236" s="97" t="n"/>
      <c r="E236" s="2" t="n"/>
      <c r="F236" s="116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116" t="n"/>
      <c r="B237" s="97" t="n"/>
      <c r="C237" s="97" t="n"/>
      <c r="D237" s="97" t="n"/>
      <c r="E237" s="2" t="n"/>
      <c r="F237" s="116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116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123" t="inlineStr">
        <is>
          <t>Total Payable</t>
        </is>
      </c>
      <c r="G238" s="124" t="n"/>
      <c r="H238" s="125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thickBot="1" thickTop="1">
      <c r="A239" s="31" t="n"/>
      <c r="B239" s="2" t="n"/>
      <c r="C239" s="2" t="n"/>
      <c r="D239" s="2" t="n"/>
      <c r="E239" s="2" t="n"/>
      <c r="F239" s="31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116" t="inlineStr">
        <is>
          <t>Name</t>
        </is>
      </c>
      <c r="B240" s="97" t="inlineStr">
        <is>
          <t>RAMESHJI</t>
        </is>
      </c>
      <c r="C240" s="97" t="inlineStr">
        <is>
          <t>KONDAPUR</t>
        </is>
      </c>
      <c r="D240" s="9" t="n">
        <v>45998</v>
      </c>
      <c r="E240" s="2" t="n"/>
      <c r="F240" s="116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45998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116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116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31" t="n">
        <v>3</v>
      </c>
      <c r="B242" s="97" t="n">
        <v>500000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57" t="n">
        <v>3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31" t="n">
        <v>3</v>
      </c>
      <c r="B243" s="97" t="n">
        <v>500000</v>
      </c>
      <c r="C243" s="97">
        <f>VLOOKUP(A243&amp;"|"&amp;B243,$O$3:$P$19,2,FALSE)</f>
        <v/>
      </c>
      <c r="D243" s="97">
        <f>VLOOKUP(A243&amp;"|"&amp;B243,$Q$3:$R$19,2,FALSE)</f>
        <v/>
      </c>
      <c r="E243" s="2" t="n"/>
      <c r="F243" s="57" t="n">
        <v>8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116" t="n"/>
      <c r="B244" s="97" t="n"/>
      <c r="C244" s="97" t="n"/>
      <c r="D244" s="97" t="n"/>
      <c r="E244" s="2" t="n"/>
      <c r="F244" s="57" t="n">
        <v>16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116" t="n"/>
      <c r="B245" s="97" t="n"/>
      <c r="C245" s="97" t="n"/>
      <c r="D245" s="97" t="n"/>
      <c r="E245" s="2" t="n"/>
      <c r="F245" s="57" t="n">
        <v>16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116" t="n"/>
      <c r="B246" s="97" t="n"/>
      <c r="C246" s="97" t="n"/>
      <c r="D246" s="97" t="n"/>
      <c r="E246" s="2" t="n"/>
      <c r="F246" s="57" t="n">
        <v>3.1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116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123" t="inlineStr">
        <is>
          <t>Total Payable</t>
        </is>
      </c>
      <c r="G247" s="124" t="n"/>
      <c r="H247" s="125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thickBot="1" thickTop="1">
      <c r="A248" s="31" t="n"/>
      <c r="B248" s="2" t="n"/>
      <c r="C248" s="2" t="n"/>
      <c r="D248" s="2" t="n"/>
      <c r="E248" s="2" t="n"/>
      <c r="F248" s="31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116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45998</v>
      </c>
      <c r="E249" s="2" t="n"/>
      <c r="F249" s="116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45998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116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116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31" t="n">
        <v>3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57" t="n">
        <v>13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31" t="n">
        <v>3.1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116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116" t="n"/>
      <c r="B253" s="97" t="n"/>
      <c r="C253" s="97" t="n"/>
      <c r="D253" s="97" t="n"/>
      <c r="E253" s="2" t="n"/>
      <c r="F253" s="116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116" t="n"/>
      <c r="B254" s="97" t="n"/>
      <c r="C254" s="97" t="n"/>
      <c r="D254" s="97" t="n"/>
      <c r="E254" s="2" t="n"/>
      <c r="F254" s="116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116" t="n"/>
      <c r="B255" s="97" t="n"/>
      <c r="C255" s="97" t="n"/>
      <c r="D255" s="97" t="n"/>
      <c r="E255" s="2" t="n"/>
      <c r="F255" s="116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116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123" t="inlineStr">
        <is>
          <t>Total Payable</t>
        </is>
      </c>
      <c r="G256" s="124" t="n"/>
      <c r="H256" s="125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thickBot="1" thickTop="1">
      <c r="A257" s="31" t="n"/>
      <c r="B257" s="2" t="n"/>
      <c r="C257" s="2" t="n"/>
      <c r="D257" s="2" t="n"/>
      <c r="E257" s="2" t="n"/>
      <c r="F257" s="31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116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45998</v>
      </c>
      <c r="E258" s="2" t="n"/>
      <c r="F258" s="116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45998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116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116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31" t="n">
        <v>19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57" t="n">
        <v>3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31" t="n">
        <v>8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57" t="n">
        <v>3</v>
      </c>
      <c r="G261" s="97" t="n">
        <v>500000</v>
      </c>
      <c r="H261" s="97">
        <f>VLOOKUP(F261&amp;"|"&amp;G261,$O$3:$P$16,2,FALSE)</f>
        <v/>
      </c>
      <c r="I261" s="97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116" t="n"/>
      <c r="B262" s="97" t="n"/>
      <c r="C262" s="97" t="n"/>
      <c r="D262" s="97" t="n"/>
      <c r="E262" s="2" t="n"/>
      <c r="F262" s="116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116" t="n"/>
      <c r="B263" s="97" t="n"/>
      <c r="C263" s="97" t="n"/>
      <c r="D263" s="97" t="n"/>
      <c r="E263" s="2" t="n"/>
      <c r="F263" s="116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116" t="n"/>
      <c r="B264" s="97" t="n"/>
      <c r="C264" s="97" t="n"/>
      <c r="D264" s="97" t="n"/>
      <c r="E264" s="2" t="n"/>
      <c r="F264" s="116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116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123" t="inlineStr">
        <is>
          <t>Total Payable</t>
        </is>
      </c>
      <c r="G265" s="124" t="n"/>
      <c r="H265" s="125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thickBot="1" thickTop="1">
      <c r="A266" s="31" t="n"/>
      <c r="B266" s="2" t="n"/>
      <c r="C266" s="2" t="n"/>
      <c r="D266" s="2" t="n"/>
      <c r="E266" s="2" t="n"/>
      <c r="F266" s="31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116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45998</v>
      </c>
      <c r="E267" s="2" t="n"/>
      <c r="F267" s="116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45998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116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116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31" t="n">
        <v>8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57" t="n">
        <v>8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116" t="n"/>
      <c r="B270" s="97" t="n"/>
      <c r="C270" s="97" t="n"/>
      <c r="D270" s="97" t="n"/>
      <c r="E270" s="2" t="n"/>
      <c r="F270" s="116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116" t="n"/>
      <c r="B271" s="97" t="n"/>
      <c r="C271" s="97" t="n"/>
      <c r="D271" s="97" t="n"/>
      <c r="E271" s="2" t="n"/>
      <c r="F271" s="116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116" t="n"/>
      <c r="B272" s="97" t="n"/>
      <c r="C272" s="97" t="n"/>
      <c r="D272" s="97" t="n"/>
      <c r="E272" s="2" t="n"/>
      <c r="F272" s="116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116" t="n"/>
      <c r="B273" s="97" t="n"/>
      <c r="C273" s="97" t="n"/>
      <c r="D273" s="97" t="n"/>
      <c r="E273" s="2" t="n"/>
      <c r="F273" s="116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116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123" t="inlineStr">
        <is>
          <t>Total Payable</t>
        </is>
      </c>
      <c r="G274" s="124" t="n"/>
      <c r="H274" s="125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thickBot="1" thickTop="1">
      <c r="A275" s="31" t="n"/>
      <c r="B275" s="2" t="n"/>
      <c r="C275" s="2" t="n"/>
      <c r="D275" s="2" t="n"/>
      <c r="E275" s="2" t="n"/>
      <c r="F275" s="31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116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45998</v>
      </c>
      <c r="E276" s="2" t="n"/>
      <c r="F276" s="116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45998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116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116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31" t="n">
        <v>8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57" t="n">
        <v>8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31" t="n">
        <v>3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57" t="n">
        <v>3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116" t="n"/>
      <c r="B280" s="97" t="n"/>
      <c r="C280" s="97" t="n"/>
      <c r="D280" s="97" t="n"/>
      <c r="E280" s="2" t="n"/>
      <c r="F280" s="57" t="n">
        <v>16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116" t="n"/>
      <c r="B281" s="97" t="n"/>
      <c r="C281" s="97" t="n"/>
      <c r="D281" s="97" t="n"/>
      <c r="E281" s="2" t="n"/>
      <c r="F281" s="57" t="n">
        <v>16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116" t="n"/>
      <c r="B282" s="97" t="n"/>
      <c r="C282" s="97" t="n"/>
      <c r="D282" s="97" t="n"/>
      <c r="E282" s="2" t="n"/>
      <c r="F282" s="57" t="n">
        <v>8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116" t="n"/>
      <c r="B283" s="97" t="n"/>
      <c r="C283" s="97" t="n"/>
      <c r="D283" s="97" t="n"/>
      <c r="E283" s="2" t="n"/>
      <c r="F283" s="57" t="n">
        <v>13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116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123" t="inlineStr">
        <is>
          <t>Total Payable</t>
        </is>
      </c>
      <c r="G284" s="124" t="n"/>
      <c r="H284" s="125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127" t="n"/>
      <c r="B285" s="91" t="n"/>
      <c r="C285" s="91" t="n"/>
      <c r="D285" s="91" t="n"/>
      <c r="E285" s="2" t="n"/>
      <c r="F285" s="31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1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45998</v>
      </c>
      <c r="E286" s="2" t="n"/>
      <c r="F286" s="116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45998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116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116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31" t="n">
        <v>8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57" t="n">
        <v>8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31" t="n">
        <v>8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57" t="n">
        <v>13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116" t="n"/>
      <c r="B290" s="97" t="n"/>
      <c r="C290" s="97" t="n"/>
      <c r="D290" s="97" t="n"/>
      <c r="E290" s="2" t="n"/>
      <c r="F290" s="57" t="n">
        <v>16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116" t="n"/>
      <c r="B291" s="97" t="n"/>
      <c r="C291" s="97" t="n"/>
      <c r="D291" s="97" t="n"/>
      <c r="E291" s="2" t="n"/>
      <c r="F291" s="57" t="n">
        <v>16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116" t="n"/>
      <c r="B292" s="97" t="n"/>
      <c r="C292" s="97" t="n"/>
      <c r="D292" s="97" t="n"/>
      <c r="E292" s="2" t="n"/>
      <c r="F292" s="116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62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123" t="inlineStr">
        <is>
          <t>Total Payable</t>
        </is>
      </c>
      <c r="G293" s="124" t="n"/>
      <c r="H293" s="125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thickBot="1" thickTop="1">
      <c r="A294" s="31" t="n"/>
      <c r="B294" s="2" t="n"/>
      <c r="C294" s="2" t="n"/>
      <c r="D294" s="2" t="n"/>
      <c r="E294" s="2" t="n"/>
      <c r="F294" s="31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116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45998</v>
      </c>
      <c r="E295" s="2" t="n"/>
      <c r="F295" s="116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45998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116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116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31" t="n">
        <v>8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57" t="n">
        <v>8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31" t="n">
        <v>16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57" t="n">
        <v>8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31" t="n">
        <v>19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116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116" t="n"/>
      <c r="B300" s="97" t="n"/>
      <c r="C300" s="97" t="n"/>
      <c r="D300" s="97" t="n"/>
      <c r="E300" s="2" t="n"/>
      <c r="F300" s="116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116" t="n"/>
      <c r="B301" s="97" t="n"/>
      <c r="C301" s="97" t="n"/>
      <c r="D301" s="97" t="n"/>
      <c r="E301" s="2" t="n"/>
      <c r="F301" s="116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116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123" t="inlineStr">
        <is>
          <t>Total Payable</t>
        </is>
      </c>
      <c r="G302" s="124" t="n"/>
      <c r="H302" s="125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thickBot="1" thickTop="1">
      <c r="A303" s="31" t="n"/>
      <c r="B303" s="2" t="n"/>
      <c r="C303" s="2" t="inlineStr">
        <is>
          <t>           </t>
        </is>
      </c>
      <c r="D303" s="2" t="n"/>
      <c r="E303" s="2" t="n"/>
      <c r="F303" s="31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116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45998</v>
      </c>
      <c r="E304" s="2" t="n"/>
      <c r="F304" s="116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45998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116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116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31" t="n">
        <v>8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57" t="n">
        <v>8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31" t="n">
        <v>3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116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116" t="n"/>
      <c r="B308" s="97" t="n"/>
      <c r="C308" s="97" t="n"/>
      <c r="D308" s="97" t="n"/>
      <c r="E308" s="2" t="n"/>
      <c r="F308" s="116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116" t="n"/>
      <c r="B309" s="97" t="n"/>
      <c r="C309" s="97" t="n"/>
      <c r="D309" s="97" t="n"/>
      <c r="E309" s="2" t="n"/>
      <c r="F309" s="116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116" t="n"/>
      <c r="B310" s="97" t="n"/>
      <c r="C310" s="97" t="n"/>
      <c r="D310" s="97" t="n"/>
      <c r="E310" s="2" t="n"/>
      <c r="F310" s="116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116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123" t="inlineStr">
        <is>
          <t>Total Payable</t>
        </is>
      </c>
      <c r="G311" s="124" t="n"/>
      <c r="H311" s="125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thickBot="1" thickTop="1">
      <c r="A312" s="31" t="n"/>
      <c r="B312" s="2" t="n"/>
      <c r="C312" s="2" t="n"/>
      <c r="D312" s="2" t="n"/>
      <c r="E312" s="2" t="n"/>
      <c r="F312" s="31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116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45998</v>
      </c>
      <c r="E313" s="2" t="n"/>
      <c r="F313" s="116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45998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116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116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31" t="n">
        <v>8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57" t="n">
        <v>19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31" t="n">
        <v>13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116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116" t="n"/>
      <c r="B317" s="97" t="n"/>
      <c r="C317" s="97" t="n"/>
      <c r="D317" s="97" t="n"/>
      <c r="E317" s="2" t="n"/>
      <c r="F317" s="116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116" t="n"/>
      <c r="B318" s="97" t="n"/>
      <c r="C318" s="97" t="n"/>
      <c r="D318" s="97" t="n"/>
      <c r="E318" s="2" t="n"/>
      <c r="F318" s="116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116" t="n"/>
      <c r="B319" s="97" t="n"/>
      <c r="C319" s="97" t="n"/>
      <c r="D319" s="97" t="n"/>
      <c r="E319" s="2" t="n"/>
      <c r="F319" s="116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116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123" t="inlineStr">
        <is>
          <t>Total Payable</t>
        </is>
      </c>
      <c r="G320" s="124" t="n"/>
      <c r="H320" s="125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thickBot="1" thickTop="1">
      <c r="A321" s="31" t="n"/>
      <c r="B321" s="2" t="n"/>
      <c r="C321" s="2" t="n"/>
      <c r="D321" s="2" t="n"/>
      <c r="E321" s="2" t="n"/>
      <c r="F321" s="31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116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45998</v>
      </c>
      <c r="E322" s="2" t="n"/>
      <c r="F322" s="116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45998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116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116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31" t="n">
        <v>3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57" t="n">
        <v>13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116" t="n"/>
      <c r="B325" s="97" t="n"/>
      <c r="C325" s="97" t="n"/>
      <c r="D325" s="97" t="n"/>
      <c r="E325" s="2" t="n"/>
      <c r="F325" s="116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116" t="n"/>
      <c r="B326" s="97" t="n"/>
      <c r="C326" s="97" t="n"/>
      <c r="D326" s="97" t="n"/>
      <c r="E326" s="2" t="n"/>
      <c r="F326" s="116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116" t="n"/>
      <c r="B327" s="97" t="n"/>
      <c r="C327" s="97" t="n"/>
      <c r="D327" s="97" t="n"/>
      <c r="E327" s="91" t="n"/>
      <c r="F327" s="116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116" t="n"/>
      <c r="B328" s="97" t="n"/>
      <c r="C328" s="97" t="n"/>
      <c r="D328" s="97" t="n"/>
      <c r="E328" s="2" t="n"/>
      <c r="F328" s="116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116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123" t="inlineStr">
        <is>
          <t>Total Payable</t>
        </is>
      </c>
      <c r="G329" s="124" t="n"/>
      <c r="H329" s="125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thickBot="1" thickTop="1">
      <c r="A330" s="31" t="n"/>
      <c r="B330" s="2" t="n"/>
      <c r="C330" s="2" t="n"/>
      <c r="D330" s="2" t="n"/>
      <c r="E330" s="2" t="n"/>
      <c r="F330" s="31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116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45998</v>
      </c>
      <c r="E331" s="2" t="n"/>
      <c r="F331" s="116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45998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116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116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31" t="n">
        <v>13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57" t="n">
        <v>13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31" t="n">
        <v>16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116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116" t="n"/>
      <c r="B335" s="97" t="n"/>
      <c r="C335" s="97" t="n"/>
      <c r="D335" s="97" t="n"/>
      <c r="E335" s="2" t="n"/>
      <c r="F335" s="116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116" t="n"/>
      <c r="B336" s="97" t="n"/>
      <c r="C336" s="97" t="n"/>
      <c r="D336" s="97" t="n"/>
      <c r="E336" s="2" t="n"/>
      <c r="F336" s="116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116" t="n"/>
      <c r="B337" s="97" t="n"/>
      <c r="C337" s="97" t="n"/>
      <c r="D337" s="97" t="n"/>
      <c r="E337" s="2" t="n"/>
      <c r="F337" s="116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116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123" t="inlineStr">
        <is>
          <t>Total Payable</t>
        </is>
      </c>
      <c r="G338" s="124" t="n"/>
      <c r="H338" s="125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thickBot="1" thickTop="1">
      <c r="A339" s="31" t="n"/>
      <c r="B339" s="2" t="n"/>
      <c r="C339" s="2" t="n"/>
      <c r="D339" s="2" t="n"/>
      <c r="E339" s="2" t="n"/>
      <c r="F339" s="31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116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45998</v>
      </c>
      <c r="E340" s="2" t="n"/>
      <c r="F340" s="116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45998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116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116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31" t="n">
        <v>16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57" t="n">
        <v>3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116" t="n"/>
      <c r="B343" s="97" t="n"/>
      <c r="C343" s="97" t="n"/>
      <c r="D343" s="97" t="n"/>
      <c r="E343" s="2" t="n"/>
      <c r="F343" s="116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116" t="n"/>
      <c r="B344" s="97" t="n"/>
      <c r="C344" s="97" t="n"/>
      <c r="D344" s="97" t="n"/>
      <c r="E344" s="2" t="n"/>
      <c r="F344" s="116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116" t="n"/>
      <c r="B345" s="97" t="n"/>
      <c r="C345" s="97" t="n"/>
      <c r="D345" s="97" t="n"/>
      <c r="E345" s="2" t="n"/>
      <c r="F345" s="116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116" t="n"/>
      <c r="B346" s="97" t="n"/>
      <c r="C346" s="97" t="n"/>
      <c r="D346" s="97" t="n"/>
      <c r="E346" s="2" t="n"/>
      <c r="F346" s="116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116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123" t="inlineStr">
        <is>
          <t>Total Payable</t>
        </is>
      </c>
      <c r="G347" s="124" t="n"/>
      <c r="H347" s="125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127" t="n"/>
      <c r="B348" s="91" t="n"/>
      <c r="C348" s="91" t="n"/>
      <c r="D348" s="91" t="n"/>
      <c r="E348" s="2" t="n"/>
      <c r="F348" s="31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116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45998</v>
      </c>
      <c r="E349" s="2" t="n"/>
      <c r="F349" s="116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45998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116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116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31" t="n">
        <v>19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57" t="n">
        <v>3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116" t="n"/>
      <c r="B352" s="97" t="n"/>
      <c r="C352" s="97" t="n"/>
      <c r="D352" s="97" t="n"/>
      <c r="E352" s="2" t="n"/>
      <c r="F352" s="116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116" t="n"/>
      <c r="B353" s="97" t="n"/>
      <c r="C353" s="97" t="n"/>
      <c r="D353" s="97" t="n"/>
      <c r="E353" s="2" t="n"/>
      <c r="F353" s="116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116" t="n"/>
      <c r="B354" s="97" t="n"/>
      <c r="C354" s="97" t="n"/>
      <c r="D354" s="97" t="n"/>
      <c r="E354" s="2" t="n"/>
      <c r="F354" s="116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116" t="n"/>
      <c r="B355" s="97" t="n"/>
      <c r="C355" s="97" t="n"/>
      <c r="D355" s="97" t="n"/>
      <c r="E355" s="2" t="n"/>
      <c r="F355" s="116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116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123" t="inlineStr">
        <is>
          <t>Total Payable</t>
        </is>
      </c>
      <c r="G356" s="124" t="n"/>
      <c r="H356" s="125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127" t="n"/>
      <c r="B357" s="91" t="n"/>
      <c r="C357" s="91" t="n"/>
      <c r="D357" s="91" t="n"/>
      <c r="E357" s="2" t="n"/>
      <c r="F357" s="31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116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45998</v>
      </c>
      <c r="E358" s="2" t="n"/>
      <c r="F358" s="116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45998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116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116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31" t="n">
        <v>8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57" t="n">
        <v>16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31" t="n">
        <v>3.1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116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116" t="n"/>
      <c r="B362" s="97" t="n"/>
      <c r="C362" s="97" t="n"/>
      <c r="D362" s="97" t="n"/>
      <c r="E362" s="2" t="n"/>
      <c r="F362" s="116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116" t="n"/>
      <c r="B363" s="97" t="n"/>
      <c r="C363" s="97" t="n"/>
      <c r="D363" s="97" t="n"/>
      <c r="E363" s="2" t="n"/>
      <c r="F363" s="116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116" t="n"/>
      <c r="B364" s="97" t="n"/>
      <c r="C364" s="97" t="n"/>
      <c r="D364" s="97" t="n"/>
      <c r="E364" s="2" t="n"/>
      <c r="F364" s="116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116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123" t="inlineStr">
        <is>
          <t>Total Payable</t>
        </is>
      </c>
      <c r="G365" s="124" t="n"/>
      <c r="H365" s="125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thickBot="1" thickTop="1">
      <c r="A366" s="31" t="n"/>
      <c r="B366" s="2" t="n"/>
      <c r="C366" s="2" t="n"/>
      <c r="D366" s="2" t="n"/>
      <c r="E366" s="2" t="n"/>
      <c r="F366" s="31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116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45998</v>
      </c>
      <c r="E367" s="2" t="n"/>
      <c r="F367" s="116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45998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116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116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31" t="n">
        <v>8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57" t="n">
        <v>16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31" t="n">
        <v>3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116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116" t="n"/>
      <c r="B371" s="97" t="n"/>
      <c r="C371" s="97" t="n"/>
      <c r="D371" s="97" t="n"/>
      <c r="E371" s="4" t="n"/>
      <c r="F371" s="116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116" t="n"/>
      <c r="B372" s="97" t="n"/>
      <c r="C372" s="97" t="n"/>
      <c r="D372" s="97" t="n"/>
      <c r="E372" s="4" t="n"/>
      <c r="F372" s="116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116" t="n"/>
      <c r="B373" s="97" t="n"/>
      <c r="C373" s="97" t="n"/>
      <c r="D373" s="97" t="n"/>
      <c r="E373" s="4" t="n"/>
      <c r="F373" s="116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116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123" t="inlineStr">
        <is>
          <t>Total Payable</t>
        </is>
      </c>
      <c r="G374" s="124" t="n"/>
      <c r="H374" s="125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thickBot="1" thickTop="1">
      <c r="A375" s="31" t="n"/>
      <c r="B375" s="2" t="n"/>
      <c r="C375" s="2" t="n"/>
      <c r="D375" s="2" t="n"/>
      <c r="E375" s="4" t="n"/>
      <c r="F375" s="31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116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45998</v>
      </c>
      <c r="E376" s="4" t="n"/>
      <c r="F376" s="116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45998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116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116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31" t="n">
        <v>8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57" t="n">
        <v>8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116" t="n"/>
      <c r="B379" s="97" t="n"/>
      <c r="C379" s="97" t="n"/>
      <c r="D379" s="97" t="n"/>
      <c r="E379" s="4" t="n"/>
      <c r="F379" s="116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116" t="n"/>
      <c r="B380" s="97" t="n"/>
      <c r="C380" s="97" t="n"/>
      <c r="D380" s="97" t="n"/>
      <c r="E380" s="4" t="n"/>
      <c r="F380" s="116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116" t="n"/>
      <c r="B381" s="97" t="n"/>
      <c r="C381" s="97" t="n"/>
      <c r="D381" s="97" t="n"/>
      <c r="E381" s="4" t="n"/>
      <c r="F381" s="116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116" t="n"/>
      <c r="B382" s="97" t="n"/>
      <c r="C382" s="97" t="n"/>
      <c r="D382" s="97" t="n"/>
      <c r="E382" s="4" t="n"/>
      <c r="F382" s="116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116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123" t="inlineStr">
        <is>
          <t>Total Payable</t>
        </is>
      </c>
      <c r="G383" s="124" t="n"/>
      <c r="H383" s="125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thickBot="1" thickTop="1">
      <c r="A384" s="31" t="n"/>
      <c r="B384" s="2" t="n"/>
      <c r="C384" s="2" t="n"/>
      <c r="D384" s="2" t="n"/>
      <c r="E384" s="4" t="n"/>
      <c r="F384" s="31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116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45998</v>
      </c>
      <c r="E385" s="4" t="n"/>
      <c r="F385" s="116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45998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116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116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31" t="n">
        <v>19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57" t="n">
        <v>13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31" t="n">
        <v>19.1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116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116" t="n"/>
      <c r="B389" s="97" t="n"/>
      <c r="C389" s="97" t="n"/>
      <c r="D389" s="97" t="n"/>
      <c r="E389" s="4" t="n"/>
      <c r="F389" s="116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116" t="n"/>
      <c r="B390" s="97" t="n"/>
      <c r="C390" s="97" t="n"/>
      <c r="D390" s="97" t="n"/>
      <c r="E390" s="4" t="n"/>
      <c r="F390" s="116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116" t="n"/>
      <c r="B391" s="97" t="n"/>
      <c r="C391" s="97" t="n"/>
      <c r="D391" s="97" t="n"/>
      <c r="E391" s="4" t="n"/>
      <c r="F391" s="116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62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123" t="inlineStr">
        <is>
          <t>Total Payable</t>
        </is>
      </c>
      <c r="G392" s="124" t="n"/>
      <c r="H392" s="125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31" t="n"/>
      <c r="B393" s="2" t="n"/>
      <c r="C393" s="2" t="n"/>
      <c r="D393" s="91" t="n"/>
      <c r="E393" s="4" t="n"/>
      <c r="F393" s="31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116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45998</v>
      </c>
      <c r="E394" s="4" t="n"/>
      <c r="F394" s="116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45998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116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116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31" t="n">
        <v>19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57" t="n">
        <v>8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116" t="n"/>
      <c r="B397" s="97" t="n"/>
      <c r="C397" s="97" t="n"/>
      <c r="D397" s="97" t="n"/>
      <c r="E397" s="4" t="n"/>
      <c r="F397" s="116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116" t="n"/>
      <c r="B398" s="97" t="n"/>
      <c r="C398" s="97" t="n"/>
      <c r="D398" s="97" t="n"/>
      <c r="E398" s="4" t="n"/>
      <c r="F398" s="116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116" t="n"/>
      <c r="B399" s="97" t="n"/>
      <c r="C399" s="97" t="n"/>
      <c r="D399" s="97" t="n"/>
      <c r="E399" s="4" t="n"/>
      <c r="F399" s="116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116" t="n"/>
      <c r="B400" s="97" t="n"/>
      <c r="C400" s="97" t="n"/>
      <c r="D400" s="97" t="n"/>
      <c r="E400" s="4" t="n"/>
      <c r="F400" s="116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62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123" t="inlineStr">
        <is>
          <t>Total Payable</t>
        </is>
      </c>
      <c r="G401" s="124" t="n"/>
      <c r="H401" s="125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31" t="n"/>
      <c r="B402" s="2" t="n"/>
      <c r="C402" s="2" t="n"/>
      <c r="D402" s="2" t="n"/>
      <c r="E402" s="4" t="n"/>
      <c r="F402" s="127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1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45998</v>
      </c>
      <c r="E403" s="4" t="n"/>
      <c r="F403" s="116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45998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116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116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31" t="n">
        <v>19.1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57" t="n">
        <v>19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116" t="n"/>
      <c r="B406" s="97" t="n"/>
      <c r="C406" s="97" t="n"/>
      <c r="D406" s="97" t="n"/>
      <c r="E406" s="4" t="n"/>
      <c r="F406" s="57" t="n">
        <v>3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116" t="n"/>
      <c r="B407" s="97" t="n"/>
      <c r="C407" s="97" t="n"/>
      <c r="D407" s="97" t="n"/>
      <c r="E407" s="4" t="n"/>
      <c r="F407" s="116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116" t="n"/>
      <c r="B408" s="97" t="n"/>
      <c r="C408" s="97" t="n"/>
      <c r="D408" s="97" t="n"/>
      <c r="E408" s="4" t="n"/>
      <c r="F408" s="116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116" t="n"/>
      <c r="B409" s="97" t="n"/>
      <c r="C409" s="97" t="n"/>
      <c r="D409" s="97" t="n"/>
      <c r="E409" s="4" t="n"/>
      <c r="F409" s="116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62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123" t="inlineStr">
        <is>
          <t>Total Payable</t>
        </is>
      </c>
      <c r="G410" s="124" t="n"/>
      <c r="H410" s="125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thickBot="1" thickTop="1">
      <c r="A411" s="31" t="n"/>
      <c r="B411" s="2" t="n"/>
      <c r="C411" s="2" t="n"/>
      <c r="D411" s="2" t="n"/>
      <c r="E411" s="4" t="n"/>
      <c r="F411" s="31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1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45998</v>
      </c>
      <c r="E412" s="4" t="n"/>
      <c r="F412" s="116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45998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116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116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116" t="n">
        <v>8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57" t="n">
        <v>3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116" t="n"/>
      <c r="B415" s="97" t="n"/>
      <c r="C415" s="97" t="n"/>
      <c r="D415" s="97" t="n"/>
      <c r="E415" s="4" t="n"/>
      <c r="F415" s="116" t="n"/>
      <c r="G415" s="97" t="n"/>
      <c r="H415" s="97" t="n"/>
      <c r="I415" s="9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116" t="n"/>
      <c r="B416" s="97" t="n"/>
      <c r="C416" s="97" t="n"/>
      <c r="D416" s="97" t="n"/>
      <c r="E416" s="4" t="n"/>
      <c r="F416" s="116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116" t="n"/>
      <c r="B417" s="97" t="n"/>
      <c r="C417" s="97" t="n"/>
      <c r="D417" s="97" t="n"/>
      <c r="E417" s="4" t="n"/>
      <c r="F417" s="116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116" t="n"/>
      <c r="B418" s="97" t="n"/>
      <c r="C418" s="97" t="n"/>
      <c r="D418" s="97" t="n"/>
      <c r="E418" s="4" t="n"/>
      <c r="F418" s="116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62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123" t="inlineStr">
        <is>
          <t>Total Payable</t>
        </is>
      </c>
      <c r="G419" s="124" t="n"/>
      <c r="H419" s="125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thickBot="1" thickTop="1">
      <c r="A420" s="31" t="n"/>
      <c r="B420" s="2" t="n"/>
      <c r="C420" s="2" t="n"/>
      <c r="D420" s="2" t="n"/>
      <c r="E420" s="4" t="n"/>
      <c r="F420" s="31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1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45998</v>
      </c>
      <c r="E421" s="4" t="n"/>
      <c r="F421" s="11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45998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116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116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31" t="n">
        <v>8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57" t="n">
        <v>8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116" t="n"/>
      <c r="B424" s="97" t="n"/>
      <c r="C424" s="97" t="n"/>
      <c r="D424" s="97" t="n"/>
      <c r="E424" s="4" t="n"/>
      <c r="F424" s="116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116" t="n"/>
      <c r="B425" s="97" t="n"/>
      <c r="C425" s="97" t="n"/>
      <c r="D425" s="97" t="n"/>
      <c r="E425" s="4" t="n"/>
      <c r="F425" s="116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116" t="n"/>
      <c r="B426" s="97" t="n"/>
      <c r="C426" s="97" t="n"/>
      <c r="D426" s="97" t="n"/>
      <c r="E426" s="4" t="n"/>
      <c r="F426" s="116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116" t="n"/>
      <c r="B427" s="97" t="n"/>
      <c r="C427" s="97" t="n"/>
      <c r="D427" s="97" t="n"/>
      <c r="E427" s="4" t="n"/>
      <c r="F427" s="116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62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81" t="inlineStr">
        <is>
          <t>TOTAL PAYABLE</t>
        </is>
      </c>
      <c r="G428" s="82" t="n"/>
      <c r="H428" s="83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thickBot="1" thickTop="1">
      <c r="A429" s="31" t="n"/>
      <c r="B429" s="2" t="n"/>
      <c r="C429" s="2" t="n"/>
      <c r="D429" s="2" t="n"/>
      <c r="E429" s="4" t="n"/>
      <c r="F429" s="31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1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45998</v>
      </c>
      <c r="E430" s="4" t="n"/>
      <c r="F430" s="11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45998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116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116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31" t="n">
        <v>8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57" t="n">
        <v>8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116" t="n"/>
      <c r="B433" s="97" t="n"/>
      <c r="C433" s="97" t="n"/>
      <c r="D433" s="97" t="n"/>
      <c r="E433" s="4" t="n"/>
      <c r="F433" s="116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116" t="n"/>
      <c r="B434" s="97" t="n"/>
      <c r="C434" s="97" t="n"/>
      <c r="D434" s="97" t="n"/>
      <c r="E434" s="4" t="n"/>
      <c r="F434" s="116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116" t="n"/>
      <c r="B435" s="97" t="n"/>
      <c r="C435" s="97" t="n"/>
      <c r="D435" s="97" t="n"/>
      <c r="E435" s="4" t="n"/>
      <c r="F435" s="116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116" t="n"/>
      <c r="B436" s="97" t="n"/>
      <c r="C436" s="97" t="n"/>
      <c r="D436" s="97" t="n"/>
      <c r="E436" s="4" t="n"/>
      <c r="F436" s="116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62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81" t="inlineStr">
        <is>
          <t>TOTAL PAYABLE</t>
        </is>
      </c>
      <c r="G437" s="82" t="n"/>
      <c r="H437" s="83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31" t="n"/>
      <c r="B438" s="6" t="n"/>
      <c r="C438" s="2" t="n"/>
      <c r="D438" s="91" t="n"/>
      <c r="E438" s="4" t="n"/>
      <c r="F438" s="31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1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45998</v>
      </c>
      <c r="E439" s="4" t="n"/>
      <c r="F439" s="11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45998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116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116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31" t="n">
        <v>3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57" t="n">
        <v>8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116" t="n"/>
      <c r="B442" s="97" t="n"/>
      <c r="C442" s="97" t="n"/>
      <c r="D442" s="97" t="n"/>
      <c r="E442" s="4" t="n"/>
      <c r="F442" s="116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116" t="n"/>
      <c r="B443" s="97" t="n"/>
      <c r="C443" s="97" t="n"/>
      <c r="D443" s="97" t="n"/>
      <c r="E443" s="4" t="n"/>
      <c r="F443" s="116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116" t="n"/>
      <c r="B444" s="97" t="n"/>
      <c r="C444" s="97" t="n"/>
      <c r="D444" s="97" t="n"/>
      <c r="E444" s="4" t="n"/>
      <c r="F444" s="116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116" t="n"/>
      <c r="B445" s="97" t="n"/>
      <c r="C445" s="97" t="n"/>
      <c r="D445" s="97" t="n"/>
      <c r="E445" s="4" t="n"/>
      <c r="F445" s="116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62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81" t="inlineStr">
        <is>
          <t>TOTAL PAYABLE</t>
        </is>
      </c>
      <c r="G446" s="82" t="n"/>
      <c r="H446" s="83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31" t="n"/>
      <c r="B447" s="2" t="n"/>
      <c r="C447" s="2" t="n"/>
      <c r="D447" s="2" t="n"/>
      <c r="E447" s="4" t="n"/>
      <c r="F447" s="31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1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45998</v>
      </c>
      <c r="E448" s="4" t="n"/>
      <c r="F448" s="11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45998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116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116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31" t="n">
        <v>3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57" t="n">
        <v>3.1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116" t="n"/>
      <c r="B451" s="97" t="n"/>
      <c r="C451" s="97" t="n"/>
      <c r="D451" s="97" t="n"/>
      <c r="E451" s="4" t="n"/>
      <c r="F451" s="116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116" t="n"/>
      <c r="B452" s="97" t="n"/>
      <c r="C452" s="97" t="n"/>
      <c r="D452" s="97" t="n"/>
      <c r="E452" s="4" t="n"/>
      <c r="F452" s="116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116" t="n"/>
      <c r="B453" s="97" t="n"/>
      <c r="C453" s="97" t="n"/>
      <c r="D453" s="97" t="n"/>
      <c r="E453" s="4" t="n"/>
      <c r="F453" s="116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116" t="n"/>
      <c r="B454" s="97" t="n"/>
      <c r="C454" s="97" t="n"/>
      <c r="D454" s="97" t="n"/>
      <c r="E454" s="4" t="n"/>
      <c r="F454" s="116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62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81" t="inlineStr">
        <is>
          <t>TOTAL PAYABLE</t>
        </is>
      </c>
      <c r="G455" s="82" t="n"/>
      <c r="H455" s="83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thickBot="1" thickTop="1">
      <c r="A456" s="31" t="n"/>
      <c r="B456" s="2" t="n"/>
      <c r="C456" s="2" t="n"/>
      <c r="D456" s="2" t="n"/>
      <c r="E456" s="4" t="n"/>
      <c r="F456" s="31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1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45998</v>
      </c>
      <c r="E457" s="4" t="n"/>
      <c r="F457" s="11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45998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116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116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31" t="n">
        <v>19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57" t="n">
        <v>8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31" t="n">
        <v>8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116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116" t="n"/>
      <c r="B461" s="97" t="n"/>
      <c r="C461" s="97" t="n"/>
      <c r="D461" s="97" t="n"/>
      <c r="E461" s="4" t="n"/>
      <c r="F461" s="116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116" t="n"/>
      <c r="B462" s="97" t="n"/>
      <c r="C462" s="97" t="n"/>
      <c r="D462" s="97" t="n"/>
      <c r="E462" s="4" t="n"/>
      <c r="F462" s="116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116" t="n"/>
      <c r="B463" s="97" t="n"/>
      <c r="C463" s="97" t="n"/>
      <c r="D463" s="97" t="n"/>
      <c r="E463" s="4" t="n"/>
      <c r="F463" s="116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62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81" t="inlineStr">
        <is>
          <t>TOTAL PAYABLE</t>
        </is>
      </c>
      <c r="G464" s="82" t="n"/>
      <c r="H464" s="83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thickBot="1" thickTop="1">
      <c r="A465" s="31" t="n"/>
      <c r="B465" s="2" t="n"/>
      <c r="C465" s="2" t="n"/>
      <c r="D465" s="2" t="n"/>
      <c r="E465" s="4" t="n"/>
      <c r="F465" s="31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1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45998</v>
      </c>
      <c r="E466" s="4" t="n"/>
      <c r="F466" s="11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45998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116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116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31" t="n">
        <v>19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57" t="n">
        <v>19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31" t="n">
        <v>3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116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116" t="n"/>
      <c r="B470" s="97" t="n"/>
      <c r="C470" s="97" t="n"/>
      <c r="D470" s="97" t="n"/>
      <c r="E470" s="4" t="n"/>
      <c r="F470" s="116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116" t="n"/>
      <c r="B471" s="97" t="n"/>
      <c r="C471" s="97" t="n"/>
      <c r="D471" s="97" t="n"/>
      <c r="E471" s="4" t="n"/>
      <c r="F471" s="116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116" t="n"/>
      <c r="B472" s="97" t="n"/>
      <c r="C472" s="97" t="n"/>
      <c r="D472" s="97" t="n"/>
      <c r="E472" s="4" t="n"/>
      <c r="F472" s="116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62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81" t="inlineStr">
        <is>
          <t>TOTAL PAYABLE</t>
        </is>
      </c>
      <c r="G473" s="82" t="n"/>
      <c r="H473" s="83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thickBot="1" thickTop="1">
      <c r="A474" s="31" t="n"/>
      <c r="B474" s="2" t="n"/>
      <c r="C474" s="2" t="n"/>
      <c r="D474" s="2" t="n"/>
      <c r="E474" s="4" t="n"/>
      <c r="F474" s="31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1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45998</v>
      </c>
      <c r="E475" s="4" t="n"/>
      <c r="F475" s="11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45998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116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116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31" t="n">
        <v>19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57" t="n">
        <v>3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116" t="n"/>
      <c r="B478" s="97" t="n"/>
      <c r="C478" s="97" t="n"/>
      <c r="D478" s="97" t="n"/>
      <c r="E478" s="4" t="n"/>
      <c r="F478" s="116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116" t="n"/>
      <c r="B479" s="97" t="n"/>
      <c r="C479" s="97" t="n"/>
      <c r="D479" s="97" t="n"/>
      <c r="E479" s="4" t="n"/>
      <c r="F479" s="116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116" t="n"/>
      <c r="B480" s="97" t="n"/>
      <c r="C480" s="97" t="n"/>
      <c r="D480" s="97" t="n"/>
      <c r="E480" s="4" t="n"/>
      <c r="F480" s="116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116" t="n"/>
      <c r="B481" s="97" t="n"/>
      <c r="C481" s="97" t="n"/>
      <c r="D481" s="97" t="n"/>
      <c r="E481" s="4" t="n"/>
      <c r="F481" s="116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62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81" t="inlineStr">
        <is>
          <t>TOTAL PAYABLE</t>
        </is>
      </c>
      <c r="G482" s="82" t="n"/>
      <c r="H482" s="83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31" t="n"/>
      <c r="B483" s="6" t="n"/>
      <c r="C483" s="2" t="n"/>
      <c r="D483" s="91" t="n"/>
      <c r="E483" s="4" t="n"/>
      <c r="F483" s="31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1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45998</v>
      </c>
      <c r="E484" s="4" t="n"/>
      <c r="F484" s="11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45998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116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116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31" t="n">
        <v>16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57" t="n">
        <v>8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31" t="n">
        <v>16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116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116" t="n"/>
      <c r="B488" s="97" t="n"/>
      <c r="C488" s="97" t="n"/>
      <c r="D488" s="97" t="n"/>
      <c r="E488" s="4" t="n"/>
      <c r="F488" s="116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116" t="n"/>
      <c r="B489" s="97" t="n"/>
      <c r="C489" s="97" t="n"/>
      <c r="D489" s="97" t="n"/>
      <c r="E489" s="4" t="n"/>
      <c r="F489" s="116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116" t="n"/>
      <c r="B490" s="97" t="n"/>
      <c r="C490" s="97" t="n"/>
      <c r="D490" s="97" t="n"/>
      <c r="E490" s="4" t="n"/>
      <c r="F490" s="116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62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81" t="inlineStr">
        <is>
          <t>TOTAL PAYABLE</t>
        </is>
      </c>
      <c r="G491" s="82" t="n"/>
      <c r="H491" s="83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thickBot="1" thickTop="1">
      <c r="A492" s="31" t="n"/>
      <c r="B492" s="2" t="n"/>
      <c r="C492" s="2" t="n"/>
      <c r="D492" s="2" t="n"/>
      <c r="E492" s="4" t="n"/>
      <c r="F492" s="31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1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45998</v>
      </c>
      <c r="E493" s="4" t="n"/>
      <c r="F493" s="11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45998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116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116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31" t="n">
        <v>13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57" t="n">
        <v>13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116" t="n"/>
      <c r="B496" s="97" t="n"/>
      <c r="C496" s="97" t="n"/>
      <c r="D496" s="97" t="n"/>
      <c r="E496" s="4" t="n"/>
      <c r="F496" s="57" t="n">
        <v>13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116" t="n"/>
      <c r="B497" s="97" t="n"/>
      <c r="C497" s="97" t="n"/>
      <c r="D497" s="97" t="n"/>
      <c r="E497" s="4" t="n"/>
      <c r="F497" s="57" t="n">
        <v>8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116" t="n"/>
      <c r="B498" s="97" t="n"/>
      <c r="C498" s="97" t="n"/>
      <c r="D498" s="97" t="n"/>
      <c r="E498" s="4" t="n"/>
      <c r="F498" s="57" t="n">
        <v>3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116" t="n"/>
      <c r="B499" s="97" t="n"/>
      <c r="C499" s="97" t="n"/>
      <c r="D499" s="97" t="n"/>
      <c r="E499" s="4" t="n"/>
      <c r="F499" s="116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62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81" t="inlineStr">
        <is>
          <t>TOTAL PAYABLE</t>
        </is>
      </c>
      <c r="G500" s="82" t="n"/>
      <c r="H500" s="83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1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45998</v>
      </c>
      <c r="E502" s="4" t="n"/>
      <c r="F502" s="11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45998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116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116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31" t="n">
        <v>8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57" t="n">
        <v>8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116" t="n"/>
      <c r="B505" s="97" t="n"/>
      <c r="C505" s="97" t="n"/>
      <c r="D505" s="97" t="n"/>
      <c r="E505" s="4" t="n"/>
      <c r="F505" s="116" t="n"/>
      <c r="G505" s="97" t="n"/>
      <c r="H505" s="97" t="n"/>
      <c r="I505" s="97" t="n"/>
    </row>
    <row r="506" ht="20.25" customHeight="1" thickBot="1" thickTop="1">
      <c r="A506" s="116" t="n"/>
      <c r="B506" s="97" t="n"/>
      <c r="C506" s="97" t="n"/>
      <c r="D506" s="97" t="n"/>
      <c r="E506" s="4" t="n"/>
      <c r="F506" s="116" t="n"/>
      <c r="G506" s="97" t="n"/>
      <c r="H506" s="97" t="n"/>
      <c r="I506" s="97" t="n"/>
    </row>
    <row r="507" ht="20.25" customHeight="1" thickBot="1" thickTop="1">
      <c r="A507" s="116" t="n"/>
      <c r="B507" s="97" t="n"/>
      <c r="C507" s="97" t="n"/>
      <c r="D507" s="97" t="n"/>
      <c r="E507" s="4" t="n"/>
      <c r="F507" s="116" t="n"/>
      <c r="G507" s="97" t="n"/>
      <c r="H507" s="97" t="n"/>
      <c r="I507" s="97" t="n"/>
    </row>
    <row r="508" ht="20.25" customHeight="1" thickBot="1" thickTop="1">
      <c r="A508" s="116" t="n"/>
      <c r="B508" s="97" t="n"/>
      <c r="C508" s="97" t="n"/>
      <c r="D508" s="97" t="n"/>
      <c r="E508" s="4" t="n"/>
      <c r="F508" s="116" t="n"/>
      <c r="G508" s="97" t="n"/>
      <c r="H508" s="97" t="n"/>
      <c r="I508" s="97" t="n"/>
    </row>
    <row r="509" ht="20.25" customHeight="1" thickBot="1" thickTop="1">
      <c r="A509" s="62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62" t="inlineStr">
        <is>
          <t>TOTAL PAYABLE</t>
        </is>
      </c>
      <c r="G509" s="82" t="n"/>
      <c r="H509" s="83" t="n"/>
      <c r="I509" s="97">
        <f>SUM(I504:I508)</f>
        <v/>
      </c>
    </row>
    <row r="510" ht="17.25" customHeight="1" thickBot="1" thickTop="1"/>
    <row r="511" ht="20.25" customHeight="1" thickBot="1" thickTop="1">
      <c r="A511" s="11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45998</v>
      </c>
      <c r="E511" s="4" t="n"/>
      <c r="F511" s="11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45998</v>
      </c>
    </row>
    <row r="512" ht="20.25" customHeight="1" thickBot="1" thickTop="1">
      <c r="A512" s="116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116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31" t="n">
        <v>8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57" t="n">
        <v>8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116" t="n"/>
      <c r="B514" s="97" t="n"/>
      <c r="C514" s="97" t="n"/>
      <c r="D514" s="97" t="n"/>
      <c r="E514" s="4" t="n"/>
      <c r="F514" s="116" t="n"/>
      <c r="G514" s="97" t="n"/>
      <c r="H514" s="97" t="n"/>
      <c r="I514" s="97" t="n"/>
    </row>
    <row r="515" ht="20.25" customHeight="1" thickBot="1" thickTop="1">
      <c r="A515" s="116" t="n"/>
      <c r="B515" s="97" t="n"/>
      <c r="C515" s="97" t="n"/>
      <c r="D515" s="97" t="n"/>
      <c r="E515" s="4" t="n"/>
      <c r="F515" s="116" t="n"/>
      <c r="G515" s="97" t="n"/>
      <c r="H515" s="97" t="n"/>
      <c r="I515" s="97" t="n"/>
    </row>
    <row r="516" ht="20.25" customHeight="1" thickBot="1" thickTop="1">
      <c r="A516" s="116" t="n"/>
      <c r="B516" s="97" t="n"/>
      <c r="C516" s="97" t="n"/>
      <c r="D516" s="97" t="n"/>
      <c r="E516" s="4" t="n"/>
      <c r="F516" s="116" t="n"/>
      <c r="G516" s="97" t="n"/>
      <c r="H516" s="97" t="n"/>
      <c r="I516" s="97" t="n"/>
    </row>
    <row r="517" ht="20.25" customHeight="1" thickBot="1" thickTop="1">
      <c r="A517" s="116" t="n"/>
      <c r="B517" s="97" t="n"/>
      <c r="C517" s="97" t="n"/>
      <c r="D517" s="97" t="n"/>
      <c r="E517" s="4" t="n"/>
      <c r="F517" s="116" t="n"/>
      <c r="G517" s="97" t="n"/>
      <c r="H517" s="97" t="n"/>
      <c r="I517" s="97" t="n"/>
    </row>
    <row r="518" ht="20.25" customHeight="1" thickBot="1" thickTop="1">
      <c r="A518" s="62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81" t="inlineStr">
        <is>
          <t>TOTAL</t>
        </is>
      </c>
      <c r="G518" s="82" t="n"/>
      <c r="H518" s="83" t="n"/>
      <c r="I518" s="97">
        <f>SUM(I513:I517)</f>
        <v/>
      </c>
    </row>
    <row r="519" ht="17.25" customHeight="1" thickBot="1" thickTop="1"/>
    <row r="520" ht="20.25" customHeight="1" thickBot="1" thickTop="1">
      <c r="A520" s="11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45998</v>
      </c>
      <c r="F520" s="11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45998</v>
      </c>
    </row>
    <row r="521" ht="20.25" customHeight="1" thickBot="1" thickTop="1">
      <c r="A521" s="116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116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31" t="n">
        <v>19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57" t="n">
        <v>8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116" t="n"/>
      <c r="B523" s="97" t="n"/>
      <c r="C523" s="97" t="n"/>
      <c r="D523" s="97" t="n"/>
      <c r="F523" s="57" t="n">
        <v>8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116" t="n"/>
      <c r="B524" s="97" t="n"/>
      <c r="C524" s="97" t="n"/>
      <c r="D524" s="97" t="n"/>
      <c r="F524" s="116" t="n"/>
      <c r="G524" s="97" t="n"/>
      <c r="H524" s="97" t="n"/>
      <c r="I524" s="97" t="n"/>
    </row>
    <row r="525" ht="20.25" customHeight="1" thickBot="1" thickTop="1">
      <c r="A525" s="116" t="n"/>
      <c r="B525" s="97" t="n"/>
      <c r="C525" s="97" t="n"/>
      <c r="D525" s="97" t="n"/>
      <c r="F525" s="116" t="n"/>
      <c r="G525" s="97" t="n"/>
      <c r="H525" s="97" t="n"/>
      <c r="I525" s="97" t="n"/>
    </row>
    <row r="526" ht="20.25" customHeight="1" thickBot="1" thickTop="1">
      <c r="A526" s="116" t="n"/>
      <c r="B526" s="97" t="n"/>
      <c r="C526" s="97" t="n"/>
      <c r="D526" s="97" t="n"/>
      <c r="F526" s="116" t="n"/>
      <c r="G526" s="97" t="n"/>
      <c r="H526" s="97" t="n"/>
      <c r="I526" s="97" t="n"/>
    </row>
    <row r="527" ht="20.25" customHeight="1" thickBot="1" thickTop="1">
      <c r="A527" s="62" t="inlineStr">
        <is>
          <t>TOTAL PAYABLE</t>
        </is>
      </c>
      <c r="B527" s="82" t="n"/>
      <c r="C527" s="83" t="n"/>
      <c r="D527" s="97">
        <f>SUM(D522:D526)</f>
        <v/>
      </c>
      <c r="F527" s="81" t="inlineStr">
        <is>
          <t>TOTAL</t>
        </is>
      </c>
      <c r="G527" s="82" t="n"/>
      <c r="H527" s="83" t="n"/>
      <c r="I527" s="97">
        <f>SUM(I522:I526)</f>
        <v/>
      </c>
    </row>
    <row r="528" ht="17.25" customHeight="1" thickBot="1" thickTop="1"/>
    <row r="529" ht="20.25" customHeight="1" thickBot="1" thickTop="1">
      <c r="A529" s="11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45998</v>
      </c>
      <c r="F529" s="11" t="inlineStr">
        <is>
          <t>NAME</t>
        </is>
      </c>
      <c r="G529" s="12" t="inlineStr">
        <is>
          <t>PUNJI</t>
        </is>
      </c>
      <c r="H529" s="12" t="inlineStr">
        <is>
          <t>R ROAD</t>
        </is>
      </c>
      <c r="I529" s="9" t="n">
        <v>45998</v>
      </c>
    </row>
    <row r="530" ht="20.25" customHeight="1" thickBot="1" thickTop="1">
      <c r="A530" s="116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116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31" t="n">
        <v>3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57" t="n">
        <v>8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31" t="n">
        <v>3.1</v>
      </c>
      <c r="B532" s="97" t="n">
        <v>1000000</v>
      </c>
      <c r="C532" s="97">
        <f>VLOOKUP(A532&amp;"|"&amp;B532,$O$3:$P$17,2,FALSE)</f>
        <v/>
      </c>
      <c r="D532" s="97">
        <f>VLOOKUP(A532&amp;"|"&amp;B532,$Q$3:$R$17,2,FALSE)</f>
        <v/>
      </c>
      <c r="F532" s="116" t="n"/>
      <c r="G532" s="97" t="n"/>
      <c r="H532" s="97" t="n"/>
      <c r="I532" s="97" t="n"/>
    </row>
    <row r="533" ht="20.25" customHeight="1" thickBot="1" thickTop="1">
      <c r="A533" s="116" t="n"/>
      <c r="B533" s="97" t="n"/>
      <c r="C533" s="97" t="n"/>
      <c r="D533" s="97" t="n"/>
      <c r="F533" s="116" t="n"/>
      <c r="G533" s="97" t="n"/>
      <c r="H533" s="97" t="n"/>
      <c r="I533" s="97" t="n"/>
    </row>
    <row r="534" ht="20.25" customHeight="1" thickBot="1" thickTop="1">
      <c r="A534" s="116" t="n"/>
      <c r="B534" s="97" t="n"/>
      <c r="C534" s="97" t="n"/>
      <c r="D534" s="97" t="n"/>
      <c r="F534" s="116" t="n"/>
      <c r="G534" s="97" t="n"/>
      <c r="H534" s="97" t="n"/>
      <c r="I534" s="97" t="n"/>
    </row>
    <row r="535" ht="20.25" customHeight="1" thickBot="1" thickTop="1">
      <c r="A535" s="116" t="n"/>
      <c r="B535" s="97" t="n"/>
      <c r="C535" s="97" t="n"/>
      <c r="D535" s="97" t="n"/>
      <c r="F535" s="116" t="n"/>
      <c r="G535" s="97" t="n"/>
      <c r="H535" s="97" t="n"/>
      <c r="I535" s="97" t="n"/>
    </row>
    <row r="536" ht="20.25" customHeight="1" thickBot="1" thickTop="1">
      <c r="A536" s="62" t="inlineStr">
        <is>
          <t>TOTAL PAYABLE</t>
        </is>
      </c>
      <c r="B536" s="82" t="n"/>
      <c r="C536" s="83" t="n"/>
      <c r="D536" s="97">
        <f>SUM(D531:D535)</f>
        <v/>
      </c>
      <c r="F536" s="62" t="inlineStr">
        <is>
          <t>TOTAL PAYABLE</t>
        </is>
      </c>
      <c r="G536" s="82" t="n"/>
      <c r="H536" s="83" t="n"/>
      <c r="I536" s="97">
        <f>SUM(I531:I535)</f>
        <v/>
      </c>
    </row>
    <row r="537" ht="17.25" customHeight="1" thickBot="1" thickTop="1"/>
    <row r="538" ht="20.25" customHeight="1" thickBot="1" thickTop="1">
      <c r="A538" s="63" t="inlineStr">
        <is>
          <t>NAME</t>
        </is>
      </c>
      <c r="B538" s="64" t="inlineStr">
        <is>
          <t xml:space="preserve">GOTAMJI </t>
        </is>
      </c>
      <c r="C538" s="64" t="inlineStr">
        <is>
          <t>RR ROAD</t>
        </is>
      </c>
      <c r="D538" s="65" t="n">
        <v>45998</v>
      </c>
      <c r="E538" s="18" t="n"/>
      <c r="F538" s="63" t="inlineStr">
        <is>
          <t>NAME</t>
        </is>
      </c>
      <c r="G538" s="64" t="inlineStr">
        <is>
          <t>SOHANJI</t>
        </is>
      </c>
      <c r="H538" s="64" t="inlineStr">
        <is>
          <t>RR ROAD</t>
        </is>
      </c>
      <c r="I538" s="65" t="n">
        <v>45998</v>
      </c>
    </row>
    <row r="539" ht="20.25" customHeight="1" thickBot="1" thickTop="1">
      <c r="A539" s="132" t="inlineStr">
        <is>
          <t>Month</t>
        </is>
      </c>
      <c r="B539" s="133" t="inlineStr">
        <is>
          <t>Plan</t>
        </is>
      </c>
      <c r="C539" s="133" t="inlineStr">
        <is>
          <t>Commission</t>
        </is>
      </c>
      <c r="D539" s="133" t="inlineStr">
        <is>
          <t>Amount</t>
        </is>
      </c>
      <c r="E539" s="18" t="n"/>
      <c r="F539" s="132" t="inlineStr">
        <is>
          <t>Month</t>
        </is>
      </c>
      <c r="G539" s="133" t="inlineStr">
        <is>
          <t>Plan</t>
        </is>
      </c>
      <c r="H539" s="133" t="inlineStr">
        <is>
          <t>Commission</t>
        </is>
      </c>
      <c r="I539" s="133" t="inlineStr">
        <is>
          <t>Amount</t>
        </is>
      </c>
    </row>
    <row r="540" ht="20.25" customHeight="1" thickBot="1" thickTop="1">
      <c r="A540" s="68" t="n">
        <v>3.1</v>
      </c>
      <c r="B540" s="133" t="n">
        <v>1000000</v>
      </c>
      <c r="C540" s="133">
        <f>VLOOKUP(A540&amp;"|"&amp;B540,$O$3:$P$17,2,FALSE)</f>
        <v/>
      </c>
      <c r="D540" s="133">
        <f>VLOOKUP(A540&amp;"|"&amp;B540,$Q$3:$R$17,2,FALSE)</f>
        <v/>
      </c>
      <c r="E540" s="18" t="n"/>
      <c r="F540" s="69" t="n">
        <v>3</v>
      </c>
      <c r="G540" s="133" t="n">
        <v>1000000</v>
      </c>
      <c r="H540" s="133">
        <f>VLOOKUP(F540&amp;"|"&amp;G540,$O$3:$P$17,2,FALSE)</f>
        <v/>
      </c>
      <c r="I540" s="133">
        <f>VLOOKUP(F540&amp;"|"&amp;G540,$Q$3:$R$17,2,FALSE)</f>
        <v/>
      </c>
    </row>
    <row r="541" ht="20.25" customHeight="1" thickBot="1" thickTop="1">
      <c r="A541" s="132" t="n"/>
      <c r="B541" s="133" t="n"/>
      <c r="C541" s="133" t="n"/>
      <c r="D541" s="133" t="n"/>
      <c r="E541" s="18" t="n"/>
      <c r="F541" s="69" t="n">
        <v>3.1</v>
      </c>
      <c r="G541" s="133" t="n">
        <v>1000000</v>
      </c>
      <c r="H541" s="133">
        <f>VLOOKUP(F541&amp;"|"&amp;G541,$O$3:$P$17,2,FALSE)</f>
        <v/>
      </c>
      <c r="I541" s="133">
        <f>VLOOKUP(F541&amp;"|"&amp;G541,$Q$3:$R$17,2,FALSE)</f>
        <v/>
      </c>
    </row>
    <row r="542" ht="20.25" customHeight="1" thickBot="1" thickTop="1">
      <c r="A542" s="132" t="n"/>
      <c r="B542" s="133" t="n"/>
      <c r="C542" s="133" t="n"/>
      <c r="D542" s="133" t="n"/>
      <c r="E542" s="18" t="n"/>
      <c r="F542" s="132" t="n"/>
      <c r="G542" s="133" t="n"/>
      <c r="H542" s="133" t="n"/>
      <c r="I542" s="133" t="n"/>
    </row>
    <row r="543" ht="20.25" customHeight="1" thickBot="1" thickTop="1">
      <c r="A543" s="132" t="n"/>
      <c r="B543" s="133" t="n"/>
      <c r="C543" s="133" t="n"/>
      <c r="D543" s="133" t="n"/>
      <c r="E543" s="18" t="n"/>
      <c r="F543" s="132" t="n"/>
      <c r="G543" s="133" t="n"/>
      <c r="H543" s="133" t="n"/>
      <c r="I543" s="133" t="n"/>
    </row>
    <row r="544" ht="20.25" customHeight="1" thickBot="1" thickTop="1">
      <c r="A544" s="132" t="n"/>
      <c r="B544" s="133" t="n"/>
      <c r="C544" s="133" t="n"/>
      <c r="D544" s="133" t="n"/>
      <c r="E544" s="18" t="n"/>
      <c r="F544" s="132" t="n"/>
      <c r="G544" s="133" t="n"/>
      <c r="H544" s="133" t="n"/>
      <c r="I544" s="133" t="n"/>
    </row>
    <row r="545" ht="20.25" customHeight="1" thickBot="1" thickTop="1">
      <c r="A545" s="72" t="inlineStr">
        <is>
          <t>TOTAL PAYABLE</t>
        </is>
      </c>
      <c r="B545" s="70" t="n"/>
      <c r="C545" s="71" t="n"/>
      <c r="D545" s="133">
        <f>SUM(D540:D544)</f>
        <v/>
      </c>
      <c r="E545" s="18" t="n"/>
      <c r="F545" s="72" t="inlineStr">
        <is>
          <t>TOTAL PAYABLE</t>
        </is>
      </c>
      <c r="G545" s="70" t="n"/>
      <c r="H545" s="71" t="n"/>
      <c r="I545" s="133">
        <f>SUM(I540:I544)</f>
        <v/>
      </c>
    </row>
    <row r="546" ht="17.25" customHeight="1" thickBot="1" thickTop="1">
      <c r="A546" s="68" t="n"/>
      <c r="B546" s="18" t="n"/>
      <c r="C546" s="18" t="n"/>
      <c r="D546" s="18" t="n"/>
      <c r="E546" s="18" t="n"/>
      <c r="F546" s="69" t="n"/>
      <c r="G546" s="18" t="n"/>
      <c r="H546" s="18" t="n"/>
      <c r="I546" s="18" t="n"/>
    </row>
    <row r="547" ht="20.25" customHeight="1" thickBot="1" thickTop="1">
      <c r="A547" s="63" t="inlineStr">
        <is>
          <t>NAME</t>
        </is>
      </c>
      <c r="B547" s="64" t="inlineStr">
        <is>
          <t>TEJAJAMJI</t>
        </is>
      </c>
      <c r="C547" s="64" t="inlineStr">
        <is>
          <t>YELMBNDA</t>
        </is>
      </c>
      <c r="D547" s="65" t="n">
        <v>45998</v>
      </c>
      <c r="E547" s="18" t="n"/>
      <c r="F547" s="63" t="inlineStr">
        <is>
          <t>NAME</t>
        </is>
      </c>
      <c r="G547" s="64" t="inlineStr">
        <is>
          <t>MOHANJI</t>
        </is>
      </c>
      <c r="H547" s="64" t="inlineStr">
        <is>
          <t>CHINTAL</t>
        </is>
      </c>
      <c r="I547" s="65" t="n">
        <v>45998</v>
      </c>
    </row>
    <row r="548" ht="20.25" customHeight="1" thickBot="1" thickTop="1">
      <c r="A548" s="132" t="inlineStr">
        <is>
          <t>Month</t>
        </is>
      </c>
      <c r="B548" s="133" t="inlineStr">
        <is>
          <t>Plan</t>
        </is>
      </c>
      <c r="C548" s="133" t="inlineStr">
        <is>
          <t>Commission</t>
        </is>
      </c>
      <c r="D548" s="133" t="inlineStr">
        <is>
          <t>Amount</t>
        </is>
      </c>
      <c r="E548" s="18" t="n"/>
      <c r="F548" s="132" t="inlineStr">
        <is>
          <t>Month</t>
        </is>
      </c>
      <c r="G548" s="133" t="inlineStr">
        <is>
          <t>Plan</t>
        </is>
      </c>
      <c r="H548" s="133" t="inlineStr">
        <is>
          <t>Commission</t>
        </is>
      </c>
      <c r="I548" s="133" t="inlineStr">
        <is>
          <t>Amount</t>
        </is>
      </c>
    </row>
    <row r="549" ht="20.25" customHeight="1" thickBot="1" thickTop="1">
      <c r="A549" s="68" t="n">
        <v>3.1</v>
      </c>
      <c r="B549" s="133" t="n">
        <v>1000000</v>
      </c>
      <c r="C549" s="133">
        <f>VLOOKUP(A549&amp;"|"&amp;B549,$O$3:$P$17,2,FALSE)</f>
        <v/>
      </c>
      <c r="D549" s="133">
        <f>VLOOKUP(A549&amp;"|"&amp;B549,$Q$3:$R$17,2,FALSE)</f>
        <v/>
      </c>
      <c r="E549" s="18" t="n"/>
      <c r="F549" s="69" t="n">
        <v>3.1</v>
      </c>
      <c r="G549" s="133" t="n">
        <v>1000000</v>
      </c>
      <c r="H549" s="133">
        <f>VLOOKUP(F549&amp;"|"&amp;G549,$O$3:$P$17,2,FALSE)</f>
        <v/>
      </c>
      <c r="I549" s="133">
        <f>VLOOKUP(F549&amp;"|"&amp;G549,$Q$3:$R$17,2,FALSE)</f>
        <v/>
      </c>
    </row>
    <row r="550" ht="20.25" customHeight="1" thickBot="1" thickTop="1">
      <c r="A550" s="132" t="n"/>
      <c r="B550" s="133" t="n"/>
      <c r="C550" s="133" t="n"/>
      <c r="D550" s="133" t="n"/>
      <c r="E550" s="18" t="n"/>
      <c r="F550" s="132" t="n"/>
      <c r="G550" s="133" t="n"/>
      <c r="H550" s="133" t="n"/>
      <c r="I550" s="133" t="n"/>
    </row>
    <row r="551" ht="20.25" customHeight="1" thickBot="1" thickTop="1">
      <c r="A551" s="132" t="n"/>
      <c r="B551" s="133" t="n"/>
      <c r="C551" s="133" t="n"/>
      <c r="D551" s="133" t="n"/>
      <c r="E551" s="18" t="n"/>
      <c r="F551" s="132" t="n"/>
      <c r="G551" s="133" t="n"/>
      <c r="H551" s="133" t="n"/>
      <c r="I551" s="133" t="n"/>
    </row>
    <row r="552" ht="20.25" customHeight="1" thickBot="1" thickTop="1">
      <c r="A552" s="132" t="n"/>
      <c r="B552" s="133" t="n"/>
      <c r="C552" s="133" t="n"/>
      <c r="D552" s="133" t="n"/>
      <c r="E552" s="18" t="n"/>
      <c r="F552" s="132" t="n"/>
      <c r="G552" s="133" t="n"/>
      <c r="H552" s="133" t="n"/>
      <c r="I552" s="133" t="n"/>
    </row>
    <row r="553" ht="20.25" customHeight="1" thickBot="1" thickTop="1">
      <c r="A553" s="132" t="n"/>
      <c r="B553" s="133" t="n"/>
      <c r="C553" s="133" t="n"/>
      <c r="D553" s="133" t="n"/>
      <c r="E553" s="18" t="n"/>
      <c r="F553" s="132" t="n"/>
      <c r="G553" s="133" t="n"/>
      <c r="H553" s="133" t="n"/>
      <c r="I553" s="133" t="n"/>
    </row>
    <row r="554" ht="20.25" customHeight="1" thickBot="1" thickTop="1">
      <c r="A554" s="72" t="inlineStr">
        <is>
          <t>TOTAL PAYABLE</t>
        </is>
      </c>
      <c r="B554" s="70" t="n"/>
      <c r="C554" s="71" t="n"/>
      <c r="D554" s="133">
        <f>SUM(D549:D553)</f>
        <v/>
      </c>
      <c r="E554" s="18" t="n"/>
      <c r="F554" s="72" t="inlineStr">
        <is>
          <t>TOTAL PAYABLE</t>
        </is>
      </c>
      <c r="G554" s="70" t="n"/>
      <c r="H554" s="71" t="n"/>
      <c r="I554" s="133">
        <f>SUM(I549:I553)</f>
        <v/>
      </c>
    </row>
    <row r="555" ht="17.25" customHeight="1" thickBot="1" thickTop="1">
      <c r="A555" s="68" t="n"/>
      <c r="B555" s="18" t="n"/>
      <c r="C555" s="18" t="n"/>
      <c r="D555" s="18" t="n"/>
      <c r="E555" s="18" t="n"/>
      <c r="F555" s="69" t="n"/>
      <c r="G555" s="18" t="n"/>
      <c r="H555" s="18" t="n"/>
      <c r="I555" s="18" t="n"/>
    </row>
    <row r="556" ht="20.25" customHeight="1" thickBot="1" thickTop="1">
      <c r="A556" s="63" t="inlineStr">
        <is>
          <t>NAME</t>
        </is>
      </c>
      <c r="B556" s="64" t="inlineStr">
        <is>
          <t>BABULALJI</t>
        </is>
      </c>
      <c r="C556" s="64" t="inlineStr">
        <is>
          <t>RAMARAM</t>
        </is>
      </c>
      <c r="D556" s="65" t="n">
        <v>45998</v>
      </c>
      <c r="E556" s="18" t="n"/>
      <c r="F556" s="63" t="inlineStr">
        <is>
          <t>NAME</t>
        </is>
      </c>
      <c r="G556" s="64" t="inlineStr">
        <is>
          <t>MOHANJI</t>
        </is>
      </c>
      <c r="H556" s="64" t="inlineStr">
        <is>
          <t>AMINPUR</t>
        </is>
      </c>
      <c r="I556" s="65" t="n">
        <v>45998</v>
      </c>
    </row>
    <row r="557" ht="20.25" customHeight="1" thickBot="1" thickTop="1">
      <c r="A557" s="132" t="inlineStr">
        <is>
          <t>Month</t>
        </is>
      </c>
      <c r="B557" s="133" t="inlineStr">
        <is>
          <t>Plan</t>
        </is>
      </c>
      <c r="C557" s="133" t="inlineStr">
        <is>
          <t>Commission</t>
        </is>
      </c>
      <c r="D557" s="133" t="inlineStr">
        <is>
          <t>Amount</t>
        </is>
      </c>
      <c r="E557" s="18" t="n"/>
      <c r="F557" s="132" t="inlineStr">
        <is>
          <t>Month</t>
        </is>
      </c>
      <c r="G557" s="133" t="inlineStr">
        <is>
          <t>Plan</t>
        </is>
      </c>
      <c r="H557" s="133" t="inlineStr">
        <is>
          <t>Commission</t>
        </is>
      </c>
      <c r="I557" s="133" t="inlineStr">
        <is>
          <t>Amount</t>
        </is>
      </c>
    </row>
    <row r="558" ht="20.25" customHeight="1" thickBot="1" thickTop="1">
      <c r="A558" s="68" t="n">
        <v>3.1</v>
      </c>
      <c r="B558" s="133" t="n">
        <v>1000000</v>
      </c>
      <c r="C558" s="133">
        <f>VLOOKUP(A558&amp;"|"&amp;B558,$O$3:$P$17,2,FALSE)</f>
        <v/>
      </c>
      <c r="D558" s="133">
        <f>VLOOKUP(A558&amp;"|"&amp;B558,$Q$3:$R$17,2,FALSE)</f>
        <v/>
      </c>
      <c r="E558" s="18" t="n"/>
      <c r="F558" s="69" t="n">
        <v>3</v>
      </c>
      <c r="G558" s="133" t="n">
        <v>500000</v>
      </c>
      <c r="H558" s="133">
        <f>VLOOKUP(F558&amp;"|"&amp;G558,$O$3:$P$17,2,FALSE)</f>
        <v/>
      </c>
      <c r="I558" s="133">
        <f>VLOOKUP(F558&amp;"|"&amp;G558,$Q$3:$R$17,2,FALSE)</f>
        <v/>
      </c>
    </row>
    <row r="559" ht="20.25" customHeight="1" thickBot="1" thickTop="1">
      <c r="A559" s="132" t="n"/>
      <c r="B559" s="133" t="n"/>
      <c r="C559" s="133" t="n"/>
      <c r="D559" s="133" t="n"/>
      <c r="E559" s="18" t="n"/>
      <c r="F559" s="132" t="n"/>
      <c r="G559" s="133" t="n"/>
      <c r="H559" s="133" t="n"/>
      <c r="I559" s="133" t="n"/>
    </row>
    <row r="560" ht="20.25" customHeight="1" thickBot="1" thickTop="1">
      <c r="A560" s="132" t="n"/>
      <c r="B560" s="133" t="n"/>
      <c r="C560" s="133" t="n"/>
      <c r="D560" s="133" t="n"/>
      <c r="E560" s="18" t="n"/>
      <c r="F560" s="132" t="n"/>
      <c r="G560" s="133" t="n"/>
      <c r="H560" s="133" t="n"/>
      <c r="I560" s="133" t="n"/>
    </row>
    <row r="561" ht="20.25" customHeight="1" thickBot="1" thickTop="1">
      <c r="A561" s="132" t="n"/>
      <c r="B561" s="133" t="n"/>
      <c r="C561" s="133" t="n"/>
      <c r="D561" s="133" t="n"/>
      <c r="E561" s="18" t="n"/>
      <c r="F561" s="132" t="n"/>
      <c r="G561" s="133" t="n"/>
      <c r="H561" s="133" t="n"/>
      <c r="I561" s="133" t="n"/>
    </row>
    <row r="562" ht="20.25" customHeight="1" thickBot="1" thickTop="1">
      <c r="A562" s="132" t="n"/>
      <c r="B562" s="133" t="n"/>
      <c r="C562" s="133" t="n"/>
      <c r="D562" s="133" t="n"/>
      <c r="E562" s="18" t="n"/>
      <c r="F562" s="132" t="n"/>
      <c r="G562" s="133" t="n"/>
      <c r="H562" s="133" t="n"/>
      <c r="I562" s="133" t="n"/>
    </row>
    <row r="563" ht="20.25" customHeight="1" thickBot="1" thickTop="1">
      <c r="A563" s="72" t="inlineStr">
        <is>
          <t>TOTAL PAYABLE</t>
        </is>
      </c>
      <c r="B563" s="70" t="n"/>
      <c r="C563" s="71" t="n"/>
      <c r="D563" s="133">
        <f>SUM(D558:D562)</f>
        <v/>
      </c>
      <c r="E563" s="18" t="n"/>
      <c r="F563" s="72" t="inlineStr">
        <is>
          <t>TOTAL PAYABLE</t>
        </is>
      </c>
      <c r="G563" s="70" t="n"/>
      <c r="H563" s="71" t="n"/>
      <c r="I563" s="133">
        <f>SUM(I558:I562)</f>
        <v/>
      </c>
    </row>
    <row r="564" ht="17.25" customHeight="1" thickBot="1" thickTop="1">
      <c r="A564" s="68" t="n"/>
      <c r="B564" s="18" t="n"/>
      <c r="C564" s="18" t="n"/>
      <c r="D564" s="18" t="n"/>
      <c r="E564" s="18" t="n"/>
      <c r="F564" s="69" t="n"/>
      <c r="G564" s="18" t="n"/>
      <c r="H564" s="18" t="n"/>
      <c r="I564" s="18" t="n"/>
    </row>
    <row r="565" ht="20.25" customHeight="1" thickBot="1" thickTop="1">
      <c r="A565" s="63" t="inlineStr">
        <is>
          <t>NAME</t>
        </is>
      </c>
      <c r="B565" s="64" t="inlineStr">
        <is>
          <t>PUNAMJI</t>
        </is>
      </c>
      <c r="C565" s="64" t="inlineStr">
        <is>
          <t>BADURPLY</t>
        </is>
      </c>
      <c r="D565" s="65" t="n">
        <v>45998</v>
      </c>
      <c r="E565" s="18" t="n"/>
      <c r="F565" s="63" t="inlineStr">
        <is>
          <t>NAME</t>
        </is>
      </c>
      <c r="G565" s="64" t="inlineStr">
        <is>
          <t>NARAYANJI</t>
        </is>
      </c>
      <c r="H565" s="64" t="inlineStr">
        <is>
          <t>KOTLAPUR</t>
        </is>
      </c>
      <c r="I565" s="65" t="n">
        <v>45998</v>
      </c>
    </row>
    <row r="566" ht="20.25" customHeight="1" thickBot="1" thickTop="1">
      <c r="A566" s="132" t="inlineStr">
        <is>
          <t>Month</t>
        </is>
      </c>
      <c r="B566" s="133" t="inlineStr">
        <is>
          <t>Plan</t>
        </is>
      </c>
      <c r="C566" s="133" t="inlineStr">
        <is>
          <t>Commission</t>
        </is>
      </c>
      <c r="D566" s="133" t="inlineStr">
        <is>
          <t>Amount</t>
        </is>
      </c>
      <c r="E566" s="18" t="n"/>
      <c r="F566" s="132" t="inlineStr">
        <is>
          <t>Month</t>
        </is>
      </c>
      <c r="G566" s="133" t="inlineStr">
        <is>
          <t>Plan</t>
        </is>
      </c>
      <c r="H566" s="133" t="inlineStr">
        <is>
          <t>Commission</t>
        </is>
      </c>
      <c r="I566" s="133" t="inlineStr">
        <is>
          <t>Amount</t>
        </is>
      </c>
    </row>
    <row r="567" ht="20.25" customHeight="1" thickBot="1" thickTop="1">
      <c r="A567" s="68" t="n">
        <v>3</v>
      </c>
      <c r="B567" s="133" t="n">
        <v>500000</v>
      </c>
      <c r="C567" s="133">
        <f>VLOOKUP(A567&amp;"|"&amp;B567,$O$3:$P$17,2,FALSE)</f>
        <v/>
      </c>
      <c r="D567" s="133">
        <f>VLOOKUP(A567&amp;"|"&amp;B567,$Q$3:$R$17,2,FALSE)</f>
        <v/>
      </c>
      <c r="E567" s="18" t="n"/>
      <c r="F567" s="69" t="n">
        <v>3</v>
      </c>
      <c r="G567" s="133" t="n">
        <v>500000</v>
      </c>
      <c r="H567" s="133">
        <f>VLOOKUP(F567&amp;"|"&amp;G567,$O$3:$P$17,2,FALSE)</f>
        <v/>
      </c>
      <c r="I567" s="133">
        <f>VLOOKUP(F567&amp;"|"&amp;G567,$Q$3:$R$17,2,FALSE)</f>
        <v/>
      </c>
    </row>
    <row r="568" ht="20.25" customHeight="1" thickBot="1" thickTop="1">
      <c r="A568" s="132" t="n"/>
      <c r="B568" s="133" t="n"/>
      <c r="C568" s="133" t="n"/>
      <c r="D568" s="133" t="n"/>
      <c r="E568" s="18" t="n"/>
      <c r="F568" s="132" t="n"/>
      <c r="G568" s="133" t="n"/>
      <c r="H568" s="133" t="n"/>
      <c r="I568" s="133" t="n"/>
    </row>
    <row r="569" ht="20.25" customHeight="1" thickBot="1" thickTop="1">
      <c r="A569" s="132" t="n"/>
      <c r="B569" s="133" t="n"/>
      <c r="C569" s="133" t="n"/>
      <c r="D569" s="133" t="n"/>
      <c r="E569" s="18" t="n"/>
      <c r="F569" s="132" t="n"/>
      <c r="G569" s="133" t="n"/>
      <c r="H569" s="133" t="n"/>
      <c r="I569" s="133" t="n"/>
    </row>
    <row r="570" ht="20.25" customHeight="1" thickBot="1" thickTop="1">
      <c r="A570" s="132" t="n"/>
      <c r="B570" s="133" t="n"/>
      <c r="C570" s="133" t="n"/>
      <c r="D570" s="133" t="n"/>
      <c r="E570" s="18" t="n"/>
      <c r="F570" s="132" t="n"/>
      <c r="G570" s="133" t="n"/>
      <c r="H570" s="133" t="n"/>
      <c r="I570" s="133" t="n"/>
    </row>
    <row r="571" ht="20.25" customHeight="1" thickBot="1" thickTop="1">
      <c r="A571" s="132" t="n"/>
      <c r="B571" s="133" t="n"/>
      <c r="C571" s="133" t="n"/>
      <c r="D571" s="133" t="n"/>
      <c r="E571" s="18" t="n"/>
      <c r="F571" s="132" t="n"/>
      <c r="G571" s="133" t="n"/>
      <c r="H571" s="133" t="n"/>
      <c r="I571" s="133" t="n"/>
    </row>
    <row r="572" ht="20.25" customHeight="1" thickBot="1" thickTop="1">
      <c r="A572" s="72" t="inlineStr">
        <is>
          <t>TOTAL PAYABLE</t>
        </is>
      </c>
      <c r="B572" s="70" t="n"/>
      <c r="C572" s="71" t="n"/>
      <c r="D572" s="133">
        <f>SUM(D567:D571)</f>
        <v/>
      </c>
      <c r="E572" s="18" t="n"/>
      <c r="F572" s="72" t="inlineStr">
        <is>
          <t>TOTAL PAYABLE</t>
        </is>
      </c>
      <c r="G572" s="70" t="n"/>
      <c r="H572" s="71" t="n"/>
      <c r="I572" s="133">
        <f>SUM(I567:I571)</f>
        <v/>
      </c>
    </row>
    <row r="573" ht="16.5" customHeight="1" thickTop="1">
      <c r="A573" s="68" t="n"/>
      <c r="B573" s="18" t="n"/>
      <c r="C573" s="18" t="n"/>
      <c r="D573" s="18" t="n"/>
      <c r="E573" s="18" t="n"/>
      <c r="F573" s="69" t="n"/>
      <c r="G573" s="18" t="n"/>
      <c r="H573" s="18" t="n"/>
      <c r="I573" s="18" t="n"/>
    </row>
    <row r="574">
      <c r="A574" s="18" t="n"/>
      <c r="B574" s="69" t="n"/>
      <c r="C574" s="18" t="n"/>
      <c r="D574" s="18" t="n"/>
      <c r="E574" s="18" t="n"/>
    </row>
    <row r="575">
      <c r="A575" s="18" t="n"/>
      <c r="B575" s="69" t="n"/>
      <c r="C575" s="18" t="n"/>
      <c r="D575" s="18" t="n"/>
      <c r="E575" s="18" t="n"/>
    </row>
    <row r="576">
      <c r="A576" s="18" t="n"/>
      <c r="B576" s="69" t="n"/>
      <c r="C576" s="18" t="n"/>
      <c r="D576" s="18" t="n"/>
      <c r="E576" s="18" t="n"/>
    </row>
    <row r="577">
      <c r="A577" s="18" t="n"/>
      <c r="B577" s="69" t="n"/>
      <c r="C577" s="18" t="n"/>
      <c r="D577" s="18" t="n"/>
      <c r="E577" s="18" t="n"/>
    </row>
    <row r="578">
      <c r="A578" s="18" t="n"/>
      <c r="B578" s="69" t="n"/>
      <c r="C578" s="18" t="n"/>
      <c r="D578" s="18" t="n"/>
      <c r="E578" s="18" t="n"/>
    </row>
    <row r="579">
      <c r="A579" s="18" t="n"/>
      <c r="B579" s="69" t="n"/>
      <c r="C579" s="18" t="n"/>
      <c r="D579" s="18" t="n"/>
      <c r="E579" s="18" t="n"/>
    </row>
    <row r="580">
      <c r="A580" s="18" t="n"/>
      <c r="B580" s="69" t="n"/>
      <c r="C580" s="18" t="n"/>
      <c r="D580" s="18" t="n"/>
      <c r="E580" s="18" t="n"/>
    </row>
    <row r="581">
      <c r="A581" s="18" t="n"/>
      <c r="B581" s="69" t="n"/>
      <c r="C581" s="18" t="n"/>
      <c r="D581" s="18" t="n"/>
      <c r="E581" s="1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XFD1048576"/>
    </sheetView>
  </sheetViews>
  <sheetFormatPr baseColWidth="8" defaultRowHeight="15"/>
  <cols>
    <col width="27" customWidth="1" min="2" max="2"/>
    <col width="17.7109375" customWidth="1" min="3" max="3"/>
    <col width="13.42578125" customWidth="1" min="4" max="4"/>
    <col width="2.5703125" customWidth="1" min="5" max="5"/>
    <col width="22.42578125" customWidth="1" min="7" max="7"/>
    <col width="16.5703125" customWidth="1" min="8" max="8"/>
    <col width="24.28515625" customWidth="1" min="9" max="9"/>
    <col width="1.85546875" customWidth="1" min="10" max="10"/>
    <col width="1.140625" customWidth="1" min="11" max="11"/>
    <col width="8.140625" customWidth="1" min="12" max="12"/>
    <col width="11.28515625" customWidth="1" min="13" max="13"/>
    <col width="11.5703125" customWidth="1" min="14" max="14"/>
    <col width="11.28515625" customWidth="1" min="15" max="15"/>
    <col width="12.85546875" customWidth="1" min="16" max="16"/>
    <col width="13.28515625" customWidth="1" min="17" max="17"/>
    <col width="11.5703125" customWidth="1" min="18" max="18"/>
    <col width="1.42578125" customWidth="1" min="19" max="19"/>
    <col width="11.5703125" customWidth="1" min="20" max="20"/>
    <col width="15.28515625" customWidth="1" min="21" max="21"/>
    <col width="13.42578125" customWidth="1" min="22" max="22"/>
    <col width="1.42578125" customWidth="1" min="23" max="23"/>
    <col width="11.7109375" customWidth="1" min="24" max="24"/>
    <col width="15.28515625" customWidth="1" min="25" max="25"/>
    <col width="15.42578125" customWidth="1" min="26" max="26"/>
  </cols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45935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45935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5" t="inlineStr">
        <is>
          <t>Date  :   05-oct-2025</t>
        </is>
      </c>
      <c r="W1" s="1" t="n"/>
      <c r="X1" s="1" t="n"/>
      <c r="Y1" s="1" t="n"/>
      <c r="Z1" s="1" t="n"/>
    </row>
    <row r="2" ht="25.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18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18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12</v>
      </c>
      <c r="M3" s="103" t="n">
        <v>500000</v>
      </c>
      <c r="N3" s="102" t="n">
        <v>28000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7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12</v>
      </c>
      <c r="M4" s="103" t="n">
        <v>250000</v>
      </c>
      <c r="N4" s="106" t="n">
        <v>14000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7</v>
      </c>
      <c r="M5" s="1" t="n">
        <v>2000000</v>
      </c>
      <c r="N5" s="1" t="n">
        <v>183000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7</v>
      </c>
      <c r="M6" s="106" t="n">
        <v>500000</v>
      </c>
      <c r="N6" s="106" t="n">
        <v>52000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18.1</v>
      </c>
      <c r="M7" s="106" t="n">
        <v>500000</v>
      </c>
      <c r="N7" s="106" t="n">
        <v>2000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18</v>
      </c>
      <c r="M8" s="106" t="n">
        <v>1000000</v>
      </c>
      <c r="N8" s="106" t="n">
        <v>4000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18.1</v>
      </c>
      <c r="M9" s="106" t="n">
        <v>1000000</v>
      </c>
      <c r="N9" s="106" t="n">
        <v>6000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45935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45935</v>
      </c>
      <c r="J10" s="112" t="n"/>
      <c r="K10" s="1" t="n"/>
      <c r="L10" s="48" t="n">
        <v>15</v>
      </c>
      <c r="M10" s="106" t="n">
        <v>500000</v>
      </c>
      <c r="N10" s="106" t="n">
        <v>15000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2</v>
      </c>
      <c r="M11" s="106" t="n">
        <v>500000</v>
      </c>
      <c r="N11" s="106" t="n">
        <v>70000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18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18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2</v>
      </c>
      <c r="M12" s="106" t="n">
        <v>1000000</v>
      </c>
      <c r="N12" s="106" t="n">
        <v>161000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2.1</v>
      </c>
      <c r="M13" s="1" t="n">
        <v>1000000</v>
      </c>
      <c r="N13" s="1" t="n">
        <v>165000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7</v>
      </c>
      <c r="M14" s="106" t="n">
        <v>1000000</v>
      </c>
      <c r="N14" s="106" t="n">
        <v>90000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18</v>
      </c>
      <c r="M15" s="106" t="n">
        <v>500000</v>
      </c>
      <c r="N15" s="106" t="n">
        <v>3000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7.1</v>
      </c>
      <c r="M16" s="102" t="n">
        <v>1000000</v>
      </c>
      <c r="N16" s="106" t="n">
        <v>91500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SUM(I12:I16)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18</v>
      </c>
      <c r="M18" s="1" t="n">
        <v>250000</v>
      </c>
      <c r="N18" s="1" t="n">
        <v>1500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45935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45935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18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18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7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18.1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18.1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45935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45935</v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18.1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7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15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15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18.1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45935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45935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12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18.1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18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7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45935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45935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18.1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15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45935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45935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18.1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2.1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2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7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37">
        <f>D545</f>
        <v/>
      </c>
      <c r="U62" s="105">
        <f>B538</f>
        <v/>
      </c>
      <c r="V62" s="1">
        <f>C538</f>
        <v/>
      </c>
      <c r="W62" s="105" t="n"/>
      <c r="X62" s="105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37">
        <f>D554</f>
        <v/>
      </c>
      <c r="U63" s="1">
        <f>B547</f>
        <v/>
      </c>
      <c r="V63" s="1">
        <f>C547</f>
        <v/>
      </c>
      <c r="W63" s="1" t="n"/>
      <c r="X63" s="137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45935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45935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05">
        <f>D563</f>
        <v/>
      </c>
      <c r="U64">
        <f>B556</f>
        <v/>
      </c>
      <c r="V64" s="1">
        <f>C556</f>
        <v/>
      </c>
      <c r="W64" s="1" t="n"/>
      <c r="X64" s="105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05">
        <f>D572</f>
        <v/>
      </c>
      <c r="U65" s="1">
        <f>B565</f>
        <v/>
      </c>
      <c r="V65" s="1">
        <f>C565</f>
        <v/>
      </c>
      <c r="W65" s="1" t="n"/>
      <c r="X65" s="105">
        <f>I572</f>
        <v/>
      </c>
      <c r="Y65" s="1">
        <f>G565</f>
        <v/>
      </c>
      <c r="Z65" s="1">
        <f>H565</f>
        <v/>
      </c>
    </row>
    <row r="66" ht="20.25" customHeight="1" thickBot="1" thickTop="1">
      <c r="A66" s="97" t="n">
        <v>18.1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18.1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05">
        <f>D581</f>
        <v/>
      </c>
      <c r="U66" s="1">
        <f>B574</f>
        <v/>
      </c>
      <c r="V66">
        <f>C574</f>
        <v/>
      </c>
      <c r="X66" s="105" t="n"/>
      <c r="Y66" s="1" t="n"/>
      <c r="Z66" s="1" t="n"/>
    </row>
    <row r="67" ht="20.25" customHeight="1" thickBot="1" thickTop="1">
      <c r="A67" s="97" t="n">
        <v>7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7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37" t="n"/>
      <c r="U67" s="1" t="n"/>
      <c r="V67" s="1" t="n"/>
      <c r="W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05">
        <f>SUM(T3:T67)</f>
        <v/>
      </c>
      <c r="U69" s="1" t="n"/>
      <c r="V69" s="1" t="n"/>
      <c r="W69" s="1" t="n"/>
      <c r="X69" s="105">
        <f>SUM(X3:X66)</f>
        <v/>
      </c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130">
        <f>SUM(T69,X69)</f>
        <v/>
      </c>
      <c r="X71" s="105">
        <f>SUM(T69,X69)</f>
        <v/>
      </c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45935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45935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18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2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18.1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2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2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2.1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2.1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2.1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2.1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7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12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18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18.1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18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18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18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>
        <v>7</v>
      </c>
      <c r="B83" s="97" t="n">
        <v>2000000</v>
      </c>
      <c r="C83" s="97">
        <f>VLOOKUP(A83&amp;"|"&amp;B83,$O$3:$P$18,2,FALSE)</f>
        <v/>
      </c>
      <c r="D83" s="97">
        <f>VLOOKUP(A83&amp;"|"&amp;B83,$Q$3:$R$18,2,FALSE)</f>
        <v/>
      </c>
      <c r="E83" s="2" t="n"/>
      <c r="F83" s="97" t="n">
        <v>18.1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>
        <v>7</v>
      </c>
      <c r="G84" s="97" t="n">
        <v>1000000</v>
      </c>
      <c r="H84" s="97">
        <f>VLOOKUP(F84&amp;"|"&amp;G84,$O$3:$P$16,2,FALSE)</f>
        <v/>
      </c>
      <c r="I84" s="97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45935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45935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18.1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18.1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2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7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7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45935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45935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18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18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7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18.1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2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45935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45935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18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18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18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7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45935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45935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18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18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2.1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7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12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12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45935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45935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18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18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7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12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12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2.1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>
        <v>2</v>
      </c>
      <c r="G129" s="97" t="n">
        <v>500000</v>
      </c>
      <c r="H129" s="97">
        <f>VLOOKUP(F129&amp;"|"&amp;G129,$O$3:$P$16,2,FALSE)</f>
        <v/>
      </c>
      <c r="I129" s="97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45935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45935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18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18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2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45935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45935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18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2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12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2.1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15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2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45935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45935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2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18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15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2</v>
      </c>
      <c r="G154" s="97" t="n">
        <v>1000000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45935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45935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18.1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18.1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45935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45935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18.1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18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7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12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>
        <v>7</v>
      </c>
      <c r="B172" s="97" t="n">
        <v>1000000</v>
      </c>
      <c r="C172" s="97">
        <f>VLOOKUP(A172&amp;"|"&amp;B172,$O$3:$P$16,2,FALSE)</f>
        <v/>
      </c>
      <c r="D172" s="97">
        <f>VLOOKUP(A172&amp;"|"&amp;B172,$Q$3:$R$16,2,FALSE)</f>
        <v/>
      </c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45935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45935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7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18.1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15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45935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45935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2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18.1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18.1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45935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45935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18.1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18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7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45935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45935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Commission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18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2.1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18.1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7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45935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45935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2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2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15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45935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45935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12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12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45935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45935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7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7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RAMESHJI</t>
        </is>
      </c>
      <c r="C240" s="97" t="inlineStr">
        <is>
          <t>KONDAPUR</t>
        </is>
      </c>
      <c r="D240" s="9" t="n">
        <v>45935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45935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2</v>
      </c>
      <c r="B242" s="97" t="n">
        <v>500000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2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>
        <v>2</v>
      </c>
      <c r="B243" s="97" t="n">
        <v>500000</v>
      </c>
      <c r="C243" s="97">
        <f>VLOOKUP(A243&amp;"|"&amp;B243,$O$3:$P$19,2,FALSE)</f>
        <v/>
      </c>
      <c r="D243" s="97">
        <f>VLOOKUP(A243&amp;"|"&amp;B243,$Q$3:$R$19,2,FALSE)</f>
        <v/>
      </c>
      <c r="E243" s="2" t="n"/>
      <c r="F243" s="97" t="n">
        <v>7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15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15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>
        <v>2.1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45935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45935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2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12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2.1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45935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45935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18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2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7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>
        <v>2</v>
      </c>
      <c r="G261" s="97" t="n">
        <v>500000</v>
      </c>
      <c r="H261" s="97">
        <f>VLOOKUP(F261&amp;"|"&amp;G261,$O$3:$P$16,2,FALSE)</f>
        <v/>
      </c>
      <c r="I261" s="97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45935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45935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7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7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45935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45935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7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7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2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2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15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15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7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12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45935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45935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7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7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7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12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/>
      <c r="B290" s="97" t="n"/>
      <c r="C290" s="97" t="n"/>
      <c r="D290" s="97" t="n"/>
      <c r="E290" s="2" t="n"/>
      <c r="F290" s="97" t="n">
        <v>15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15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45935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45935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7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7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15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7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18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45935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45935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7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7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2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45935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45935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7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18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12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45935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45935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2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12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45935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45935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12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12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15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45935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45935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15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2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45935</v>
      </c>
      <c r="E349" s="2" t="n"/>
      <c r="F349" s="97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45935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18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>
        <v>2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45935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45935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7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15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>
        <v>2.1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45935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45935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7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15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2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45935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45935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7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7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45935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45935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18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12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18.1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45935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45935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18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7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45935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45935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18.1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18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2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45935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45935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7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2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/>
      <c r="G415" s="97" t="n"/>
      <c r="H415" s="97" t="n"/>
      <c r="I415" s="9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45935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45935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7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7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45935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45935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7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7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45935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45935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2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7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45935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45935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2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2.1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45935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45935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18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7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7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45935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45935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18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18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2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45935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45935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18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2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45935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45935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15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7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15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45935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45935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12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12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12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7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2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45935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45935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7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7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45935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45935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7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7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45935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45935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18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7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7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45935</v>
      </c>
      <c r="F529" s="12" t="inlineStr">
        <is>
          <t>NAME</t>
        </is>
      </c>
      <c r="G529" s="12" t="inlineStr">
        <is>
          <t>PUNJI</t>
        </is>
      </c>
      <c r="H529" s="12" t="inlineStr">
        <is>
          <t>R ROAD</t>
        </is>
      </c>
      <c r="I529" s="9" t="n">
        <v>45935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97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97" t="n">
        <v>2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97" t="n">
        <v>7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97" t="n">
        <v>2.1</v>
      </c>
      <c r="B532" s="97" t="n">
        <v>1000000</v>
      </c>
      <c r="C532" s="97">
        <f>VLOOKUP(A532&amp;"|"&amp;B532,$O$3:$P$17,2,FALSE)</f>
        <v/>
      </c>
      <c r="D532" s="97">
        <f>VLOOKUP(A532&amp;"|"&amp;B532,$Q$3:$R$17,2,FALSE)</f>
        <v/>
      </c>
      <c r="F532" s="97" t="n"/>
      <c r="G532" s="97" t="n"/>
      <c r="H532" s="97" t="n"/>
      <c r="I532" s="97" t="n"/>
    </row>
    <row r="533" ht="20.25" customHeight="1" thickBot="1" thickTop="1">
      <c r="A533" s="97" t="n"/>
      <c r="B533" s="97" t="n"/>
      <c r="C533" s="97" t="n"/>
      <c r="D533" s="97" t="n"/>
      <c r="F533" s="97" t="n"/>
      <c r="G533" s="97" t="n"/>
      <c r="H533" s="97" t="n"/>
      <c r="I533" s="97" t="n"/>
    </row>
    <row r="534" ht="20.25" customHeight="1" thickBot="1" thickTop="1">
      <c r="A534" s="97" t="n"/>
      <c r="B534" s="97" t="n"/>
      <c r="C534" s="97" t="n"/>
      <c r="D534" s="97" t="n"/>
      <c r="F534" s="97" t="n"/>
      <c r="G534" s="97" t="n"/>
      <c r="H534" s="97" t="n"/>
      <c r="I534" s="97" t="n"/>
    </row>
    <row r="535" ht="20.25" customHeight="1" thickBot="1" thickTop="1">
      <c r="A535" s="97" t="n"/>
      <c r="B535" s="97" t="n"/>
      <c r="C535" s="97" t="n"/>
      <c r="D535" s="97" t="n"/>
      <c r="F535" s="97" t="n"/>
      <c r="G535" s="97" t="n"/>
      <c r="H535" s="97" t="n"/>
      <c r="I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  <c r="F536" s="81" t="inlineStr">
        <is>
          <t>TOTAL PAYABLE</t>
        </is>
      </c>
      <c r="G536" s="82" t="n"/>
      <c r="H536" s="83" t="n"/>
      <c r="I536" s="97">
        <f>SUM(I531:I535)</f>
        <v/>
      </c>
    </row>
    <row r="537" ht="16.5" customHeight="1" thickBot="1" thickTop="1"/>
    <row r="538" ht="20.25" customHeight="1" thickBot="1" thickTop="1">
      <c r="A538" s="12" t="inlineStr">
        <is>
          <t>NAME</t>
        </is>
      </c>
      <c r="B538" s="12" t="inlineStr">
        <is>
          <t xml:space="preserve">GOTAMJI </t>
        </is>
      </c>
      <c r="C538" s="12" t="inlineStr">
        <is>
          <t>RR ROAD</t>
        </is>
      </c>
      <c r="D538" s="9" t="n">
        <v>45935</v>
      </c>
      <c r="F538" s="12" t="inlineStr">
        <is>
          <t>NAME</t>
        </is>
      </c>
      <c r="G538" s="12" t="inlineStr">
        <is>
          <t>SOHANJI</t>
        </is>
      </c>
      <c r="H538" s="12" t="inlineStr">
        <is>
          <t>RR ROAD</t>
        </is>
      </c>
      <c r="I538" s="9" t="n">
        <v>45935</v>
      </c>
    </row>
    <row r="539" ht="20.25" customHeight="1" thickBot="1" thickTop="1">
      <c r="A539" s="97" t="inlineStr">
        <is>
          <t>Month</t>
        </is>
      </c>
      <c r="B539" s="97" t="inlineStr">
        <is>
          <t>Plan</t>
        </is>
      </c>
      <c r="C539" s="97" t="inlineStr">
        <is>
          <t>Commission</t>
        </is>
      </c>
      <c r="D539" s="97" t="inlineStr">
        <is>
          <t>Amount</t>
        </is>
      </c>
      <c r="F539" s="97" t="inlineStr">
        <is>
          <t>Month</t>
        </is>
      </c>
      <c r="G539" s="97" t="inlineStr">
        <is>
          <t>Plan</t>
        </is>
      </c>
      <c r="H539" s="97" t="inlineStr">
        <is>
          <t>Commission</t>
        </is>
      </c>
      <c r="I539" s="97" t="inlineStr">
        <is>
          <t>Amount</t>
        </is>
      </c>
    </row>
    <row r="540" ht="20.25" customHeight="1" thickBot="1" thickTop="1">
      <c r="A540" s="97" t="n">
        <v>2.1</v>
      </c>
      <c r="B540" s="97" t="n">
        <v>1000000</v>
      </c>
      <c r="C540" s="97">
        <f>VLOOKUP(A540&amp;"|"&amp;B540,$O$3:$P$17,2,FALSE)</f>
        <v/>
      </c>
      <c r="D540" s="97">
        <f>VLOOKUP(A540&amp;"|"&amp;B540,$Q$3:$R$17,2,FALSE)</f>
        <v/>
      </c>
      <c r="F540" s="97" t="n">
        <v>2</v>
      </c>
      <c r="G540" s="97" t="n">
        <v>1000000</v>
      </c>
      <c r="H540" s="97">
        <f>VLOOKUP(F540&amp;"|"&amp;G540,$O$3:$P$17,2,FALSE)</f>
        <v/>
      </c>
      <c r="I540" s="97">
        <f>VLOOKUP(F540&amp;"|"&amp;G540,$Q$3:$R$17,2,FALSE)</f>
        <v/>
      </c>
    </row>
    <row r="541" ht="20.25" customHeight="1" thickBot="1" thickTop="1">
      <c r="A541" s="97" t="n"/>
      <c r="B541" s="97" t="n"/>
      <c r="C541" s="97" t="n"/>
      <c r="D541" s="97" t="n"/>
      <c r="F541" s="97" t="n">
        <v>2.1</v>
      </c>
      <c r="G541" s="97" t="n">
        <v>1000000</v>
      </c>
      <c r="H541" s="97">
        <f>VLOOKUP(F541&amp;"|"&amp;G541,$O$3:$P$17,2,FALSE)</f>
        <v/>
      </c>
      <c r="I541" s="97">
        <f>VLOOKUP(F541&amp;"|"&amp;G541,$Q$3:$R$17,2,FALSE)</f>
        <v/>
      </c>
    </row>
    <row r="542" ht="20.25" customHeight="1" thickBot="1" thickTop="1">
      <c r="A542" s="97" t="n"/>
      <c r="B542" s="97" t="n"/>
      <c r="C542" s="97" t="n"/>
      <c r="D542" s="97" t="n"/>
      <c r="F542" s="97" t="n"/>
      <c r="G542" s="97" t="n"/>
      <c r="H542" s="97" t="n"/>
      <c r="I542" s="97" t="n"/>
    </row>
    <row r="543" ht="20.25" customHeight="1" thickBot="1" thickTop="1">
      <c r="A543" s="97" t="n"/>
      <c r="B543" s="97" t="n"/>
      <c r="C543" s="97" t="n"/>
      <c r="D543" s="97" t="n"/>
      <c r="F543" s="97" t="n"/>
      <c r="G543" s="97" t="n"/>
      <c r="H543" s="97" t="n"/>
      <c r="I543" s="97" t="n"/>
    </row>
    <row r="544" ht="20.25" customHeight="1" thickBot="1" thickTop="1">
      <c r="A544" s="97" t="n"/>
      <c r="B544" s="97" t="n"/>
      <c r="C544" s="97" t="n"/>
      <c r="D544" s="97" t="n"/>
      <c r="F544" s="97" t="n"/>
      <c r="G544" s="97" t="n"/>
      <c r="H544" s="97" t="n"/>
      <c r="I544" s="97" t="n"/>
    </row>
    <row r="545" ht="20.25" customHeight="1" thickBot="1" thickTop="1">
      <c r="A545" s="81" t="inlineStr">
        <is>
          <t>TOTAL PAYABLE</t>
        </is>
      </c>
      <c r="B545" s="82" t="n"/>
      <c r="C545" s="83" t="n"/>
      <c r="D545" s="97">
        <f>SUM(D540:D544)</f>
        <v/>
      </c>
      <c r="F545" s="81" t="inlineStr">
        <is>
          <t>TOTAL PAYABLE</t>
        </is>
      </c>
      <c r="G545" s="82" t="n"/>
      <c r="H545" s="83" t="n"/>
      <c r="I545" s="97">
        <f>SUM(I540:I544)</f>
        <v/>
      </c>
    </row>
    <row r="546" ht="16.5" customHeight="1" thickBot="1" thickTop="1"/>
    <row r="547" ht="20.25" customHeight="1" thickBot="1" thickTop="1">
      <c r="A547" s="12" t="inlineStr">
        <is>
          <t>NAME</t>
        </is>
      </c>
      <c r="B547" s="12" t="inlineStr">
        <is>
          <t>TEJAJAMJI</t>
        </is>
      </c>
      <c r="C547" s="12" t="inlineStr">
        <is>
          <t>YELMBNDA</t>
        </is>
      </c>
      <c r="D547" s="9" t="n">
        <v>45935</v>
      </c>
      <c r="F547" s="12" t="inlineStr">
        <is>
          <t>NAME</t>
        </is>
      </c>
      <c r="G547" s="12" t="inlineStr">
        <is>
          <t>MOHANJI</t>
        </is>
      </c>
      <c r="H547" s="12" t="inlineStr">
        <is>
          <t>CHINTAL</t>
        </is>
      </c>
      <c r="I547" s="9" t="n">
        <v>45935</v>
      </c>
    </row>
    <row r="548" ht="20.25" customHeight="1" thickBot="1" thickTop="1">
      <c r="A548" s="97" t="inlineStr">
        <is>
          <t>Month</t>
        </is>
      </c>
      <c r="B548" s="97" t="inlineStr">
        <is>
          <t>Plan</t>
        </is>
      </c>
      <c r="C548" s="97" t="inlineStr">
        <is>
          <t>Commission</t>
        </is>
      </c>
      <c r="D548" s="97" t="inlineStr">
        <is>
          <t>Amount</t>
        </is>
      </c>
      <c r="F548" s="97" t="inlineStr">
        <is>
          <t>Month</t>
        </is>
      </c>
      <c r="G548" s="97" t="inlineStr">
        <is>
          <t>Plan</t>
        </is>
      </c>
      <c r="H548" s="97" t="inlineStr">
        <is>
          <t>Commission</t>
        </is>
      </c>
      <c r="I548" s="97" t="inlineStr">
        <is>
          <t>Amount</t>
        </is>
      </c>
    </row>
    <row r="549" ht="20.25" customHeight="1" thickBot="1" thickTop="1">
      <c r="A549" s="97" t="n">
        <v>2.1</v>
      </c>
      <c r="B549" s="97" t="n">
        <v>1000000</v>
      </c>
      <c r="C549" s="97">
        <f>VLOOKUP(A549&amp;"|"&amp;B549,$O$3:$P$17,2,FALSE)</f>
        <v/>
      </c>
      <c r="D549" s="97">
        <f>VLOOKUP(A549&amp;"|"&amp;B549,$Q$3:$R$17,2,FALSE)</f>
        <v/>
      </c>
      <c r="F549" s="97" t="n">
        <v>2.1</v>
      </c>
      <c r="G549" s="97" t="n">
        <v>1000000</v>
      </c>
      <c r="H549" s="97">
        <f>VLOOKUP(F549&amp;"|"&amp;G549,$O$3:$P$17,2,FALSE)</f>
        <v/>
      </c>
      <c r="I549" s="97">
        <f>VLOOKUP(F549&amp;"|"&amp;G549,$Q$3:$R$17,2,FALSE)</f>
        <v/>
      </c>
    </row>
    <row r="550" ht="20.25" customHeight="1" thickBot="1" thickTop="1">
      <c r="A550" s="97" t="n"/>
      <c r="B550" s="97" t="n"/>
      <c r="C550" s="97" t="n"/>
      <c r="D550" s="97" t="n"/>
      <c r="F550" s="97" t="n"/>
      <c r="G550" s="97" t="n"/>
      <c r="H550" s="97" t="n"/>
      <c r="I550" s="97" t="n"/>
    </row>
    <row r="551" ht="20.25" customHeight="1" thickBot="1" thickTop="1">
      <c r="A551" s="97" t="n"/>
      <c r="B551" s="97" t="n"/>
      <c r="C551" s="97" t="n"/>
      <c r="D551" s="97" t="n"/>
      <c r="F551" s="97" t="n"/>
      <c r="G551" s="97" t="n"/>
      <c r="H551" s="97" t="n"/>
      <c r="I551" s="97" t="n"/>
    </row>
    <row r="552" ht="20.25" customHeight="1" thickBot="1" thickTop="1">
      <c r="A552" s="97" t="n"/>
      <c r="B552" s="97" t="n"/>
      <c r="C552" s="97" t="n"/>
      <c r="D552" s="97" t="n"/>
      <c r="F552" s="97" t="n"/>
      <c r="G552" s="97" t="n"/>
      <c r="H552" s="97" t="n"/>
      <c r="I552" s="97" t="n"/>
    </row>
    <row r="553" ht="20.25" customHeight="1" thickBot="1" thickTop="1">
      <c r="A553" s="97" t="n"/>
      <c r="B553" s="97" t="n"/>
      <c r="C553" s="97" t="n"/>
      <c r="D553" s="97" t="n"/>
      <c r="F553" s="97" t="n"/>
      <c r="G553" s="97" t="n"/>
      <c r="H553" s="97" t="n"/>
      <c r="I553" s="97" t="n"/>
    </row>
    <row r="554" ht="20.25" customHeight="1" thickBot="1" thickTop="1">
      <c r="A554" s="81" t="inlineStr">
        <is>
          <t>TOTAL PAYABLE</t>
        </is>
      </c>
      <c r="B554" s="82" t="n"/>
      <c r="C554" s="83" t="n"/>
      <c r="D554" s="97">
        <f>SUM(D549:D553)</f>
        <v/>
      </c>
      <c r="F554" s="81" t="inlineStr">
        <is>
          <t>TOTAL PAYABLE</t>
        </is>
      </c>
      <c r="G554" s="82" t="n"/>
      <c r="H554" s="83" t="n"/>
      <c r="I554" s="97">
        <f>SUM(I549:I553)</f>
        <v/>
      </c>
    </row>
    <row r="555" ht="16.5" customHeight="1" thickBot="1" thickTop="1"/>
    <row r="556" ht="20.25" customHeight="1" thickBot="1" thickTop="1">
      <c r="A556" s="12" t="inlineStr">
        <is>
          <t>NAME</t>
        </is>
      </c>
      <c r="B556" s="12" t="inlineStr">
        <is>
          <t>BABULALJI</t>
        </is>
      </c>
      <c r="C556" s="12" t="inlineStr">
        <is>
          <t>RAMARAM</t>
        </is>
      </c>
      <c r="D556" s="9" t="n">
        <v>45935</v>
      </c>
      <c r="F556" s="12" t="inlineStr">
        <is>
          <t>NAME</t>
        </is>
      </c>
      <c r="G556" s="12" t="inlineStr">
        <is>
          <t>MOHANJI</t>
        </is>
      </c>
      <c r="H556" s="12" t="inlineStr">
        <is>
          <t>AMINPUR</t>
        </is>
      </c>
      <c r="I556" s="9" t="n">
        <v>45935</v>
      </c>
    </row>
    <row r="557" ht="20.25" customHeight="1" thickBot="1" thickTop="1">
      <c r="A557" s="97" t="inlineStr">
        <is>
          <t>Month</t>
        </is>
      </c>
      <c r="B557" s="97" t="inlineStr">
        <is>
          <t>Plan</t>
        </is>
      </c>
      <c r="C557" s="97" t="inlineStr">
        <is>
          <t>Commission</t>
        </is>
      </c>
      <c r="D557" s="97" t="inlineStr">
        <is>
          <t>Amount</t>
        </is>
      </c>
      <c r="F557" s="97" t="inlineStr">
        <is>
          <t>Month</t>
        </is>
      </c>
      <c r="G557" s="97" t="inlineStr">
        <is>
          <t>Plan</t>
        </is>
      </c>
      <c r="H557" s="97" t="inlineStr">
        <is>
          <t>Commission</t>
        </is>
      </c>
      <c r="I557" s="97" t="inlineStr">
        <is>
          <t>Amount</t>
        </is>
      </c>
    </row>
    <row r="558" ht="20.25" customHeight="1" thickBot="1" thickTop="1">
      <c r="A558" s="97" t="n">
        <v>2.1</v>
      </c>
      <c r="B558" s="97" t="n">
        <v>1000000</v>
      </c>
      <c r="C558" s="97">
        <f>VLOOKUP(A558&amp;"|"&amp;B558,$O$3:$P$17,2,FALSE)</f>
        <v/>
      </c>
      <c r="D558" s="97">
        <f>VLOOKUP(A558&amp;"|"&amp;B558,$Q$3:$R$17,2,FALSE)</f>
        <v/>
      </c>
      <c r="F558" s="97" t="n">
        <v>2</v>
      </c>
      <c r="G558" s="97" t="n">
        <v>500000</v>
      </c>
      <c r="H558" s="97">
        <f>VLOOKUP(F558&amp;"|"&amp;G558,$O$3:$P$17,2,FALSE)</f>
        <v/>
      </c>
      <c r="I558" s="97">
        <f>VLOOKUP(F558&amp;"|"&amp;G558,$Q$3:$R$17,2,FALSE)</f>
        <v/>
      </c>
    </row>
    <row r="559" ht="20.25" customHeight="1" thickBot="1" thickTop="1">
      <c r="A559" s="97" t="n"/>
      <c r="B559" s="97" t="n"/>
      <c r="C559" s="97" t="n"/>
      <c r="D559" s="97" t="n"/>
      <c r="F559" s="97" t="n"/>
      <c r="G559" s="97" t="n"/>
      <c r="H559" s="97" t="n"/>
      <c r="I559" s="97" t="n"/>
    </row>
    <row r="560" ht="20.25" customHeight="1" thickBot="1" thickTop="1">
      <c r="A560" s="97" t="n"/>
      <c r="B560" s="97" t="n"/>
      <c r="C560" s="97" t="n"/>
      <c r="D560" s="97" t="n"/>
      <c r="F560" s="97" t="n"/>
      <c r="G560" s="97" t="n"/>
      <c r="H560" s="97" t="n"/>
      <c r="I560" s="97" t="n"/>
    </row>
    <row r="561" ht="20.25" customHeight="1" thickBot="1" thickTop="1">
      <c r="A561" s="97" t="n"/>
      <c r="B561" s="97" t="n"/>
      <c r="C561" s="97" t="n"/>
      <c r="D561" s="97" t="n"/>
      <c r="F561" s="97" t="n"/>
      <c r="G561" s="97" t="n"/>
      <c r="H561" s="97" t="n"/>
      <c r="I561" s="97" t="n"/>
    </row>
    <row r="562" ht="20.25" customHeight="1" thickBot="1" thickTop="1">
      <c r="A562" s="97" t="n"/>
      <c r="B562" s="97" t="n"/>
      <c r="C562" s="97" t="n"/>
      <c r="D562" s="97" t="n"/>
      <c r="F562" s="97" t="n"/>
      <c r="G562" s="97" t="n"/>
      <c r="H562" s="97" t="n"/>
      <c r="I562" s="97" t="n"/>
    </row>
    <row r="563" ht="20.25" customHeight="1" thickBot="1" thickTop="1">
      <c r="A563" s="81" t="inlineStr">
        <is>
          <t>TOTAL PAYABLE</t>
        </is>
      </c>
      <c r="B563" s="82" t="n"/>
      <c r="C563" s="83" t="n"/>
      <c r="D563" s="97">
        <f>SUM(D558:D562)</f>
        <v/>
      </c>
      <c r="F563" s="81" t="inlineStr">
        <is>
          <t>TOTAL PAYABLE</t>
        </is>
      </c>
      <c r="G563" s="82" t="n"/>
      <c r="H563" s="83" t="n"/>
      <c r="I563" s="97">
        <f>SUM(I558:I562)</f>
        <v/>
      </c>
    </row>
    <row r="564" ht="16.5" customHeight="1" thickBot="1" thickTop="1"/>
    <row r="565" ht="20.25" customHeight="1" thickBot="1" thickTop="1">
      <c r="A565" s="12" t="inlineStr">
        <is>
          <t>NAME</t>
        </is>
      </c>
      <c r="B565" s="12" t="inlineStr">
        <is>
          <t>PUNAMJI</t>
        </is>
      </c>
      <c r="C565" s="12" t="inlineStr">
        <is>
          <t>BADURPLY</t>
        </is>
      </c>
      <c r="D565" s="9" t="n">
        <v>45935</v>
      </c>
      <c r="F565" s="12" t="inlineStr">
        <is>
          <t>NAME</t>
        </is>
      </c>
      <c r="G565" s="12" t="inlineStr">
        <is>
          <t>NARAYANJI</t>
        </is>
      </c>
      <c r="H565" s="12" t="inlineStr">
        <is>
          <t>KOTLAPUR</t>
        </is>
      </c>
      <c r="I565" s="9" t="n">
        <v>45935</v>
      </c>
    </row>
    <row r="566" ht="20.25" customHeight="1" thickBot="1" thickTop="1">
      <c r="A566" s="97" t="inlineStr">
        <is>
          <t>Month</t>
        </is>
      </c>
      <c r="B566" s="97" t="inlineStr">
        <is>
          <t>Plan</t>
        </is>
      </c>
      <c r="C566" s="97" t="inlineStr">
        <is>
          <t>Commission</t>
        </is>
      </c>
      <c r="D566" s="97" t="inlineStr">
        <is>
          <t>Amount</t>
        </is>
      </c>
      <c r="F566" s="97" t="inlineStr">
        <is>
          <t>Month</t>
        </is>
      </c>
      <c r="G566" s="97" t="inlineStr">
        <is>
          <t>Plan</t>
        </is>
      </c>
      <c r="H566" s="97" t="inlineStr">
        <is>
          <t>Commission</t>
        </is>
      </c>
      <c r="I566" s="97" t="inlineStr">
        <is>
          <t>Amount</t>
        </is>
      </c>
    </row>
    <row r="567" ht="20.25" customHeight="1" thickBot="1" thickTop="1">
      <c r="A567" s="97" t="n">
        <v>2</v>
      </c>
      <c r="B567" s="97" t="n">
        <v>500000</v>
      </c>
      <c r="C567" s="97">
        <f>VLOOKUP(A567&amp;"|"&amp;B567,$O$3:$P$17,2,FALSE)</f>
        <v/>
      </c>
      <c r="D567" s="97">
        <f>VLOOKUP(A567&amp;"|"&amp;B567,$Q$3:$R$17,2,FALSE)</f>
        <v/>
      </c>
      <c r="F567" s="97" t="n">
        <v>2</v>
      </c>
      <c r="G567" s="97" t="n">
        <v>500000</v>
      </c>
      <c r="H567" s="97">
        <f>VLOOKUP(F567&amp;"|"&amp;G567,$O$3:$P$17,2,FALSE)</f>
        <v/>
      </c>
      <c r="I567" s="97">
        <f>VLOOKUP(F567&amp;"|"&amp;G567,$Q$3:$R$17,2,FALSE)</f>
        <v/>
      </c>
    </row>
    <row r="568" ht="20.25" customHeight="1" thickBot="1" thickTop="1">
      <c r="A568" s="97" t="n"/>
      <c r="B568" s="97" t="n"/>
      <c r="C568" s="97" t="n"/>
      <c r="D568" s="97" t="n"/>
      <c r="F568" s="97" t="n"/>
      <c r="G568" s="97" t="n"/>
      <c r="H568" s="97" t="n"/>
      <c r="I568" s="97" t="n"/>
    </row>
    <row r="569" ht="20.25" customHeight="1" thickBot="1" thickTop="1">
      <c r="A569" s="97" t="n"/>
      <c r="B569" s="97" t="n"/>
      <c r="C569" s="97" t="n"/>
      <c r="D569" s="97" t="n"/>
      <c r="F569" s="97" t="n"/>
      <c r="G569" s="97" t="n"/>
      <c r="H569" s="97" t="n"/>
      <c r="I569" s="97" t="n"/>
    </row>
    <row r="570" ht="20.25" customHeight="1" thickBot="1" thickTop="1">
      <c r="A570" s="97" t="n"/>
      <c r="B570" s="97" t="n"/>
      <c r="C570" s="97" t="n"/>
      <c r="D570" s="97" t="n"/>
      <c r="F570" s="97" t="n"/>
      <c r="G570" s="97" t="n"/>
      <c r="H570" s="97" t="n"/>
      <c r="I570" s="97" t="n"/>
    </row>
    <row r="571" ht="20.25" customHeight="1" thickBot="1" thickTop="1">
      <c r="A571" s="97" t="n"/>
      <c r="B571" s="97" t="n"/>
      <c r="C571" s="97" t="n"/>
      <c r="D571" s="97" t="n"/>
      <c r="F571" s="97" t="n"/>
      <c r="G571" s="97" t="n"/>
      <c r="H571" s="97" t="n"/>
      <c r="I571" s="97" t="n"/>
    </row>
    <row r="572" ht="20.25" customHeight="1" thickBot="1" thickTop="1">
      <c r="A572" s="81" t="inlineStr">
        <is>
          <t>TOTAL PAYABLE</t>
        </is>
      </c>
      <c r="B572" s="82" t="n"/>
      <c r="C572" s="83" t="n"/>
      <c r="D572" s="97">
        <f>SUM(D567:D571)</f>
        <v/>
      </c>
      <c r="F572" s="81" t="inlineStr">
        <is>
          <t>TOTAL PAYABLE</t>
        </is>
      </c>
      <c r="G572" s="82" t="n"/>
      <c r="H572" s="83" t="n"/>
      <c r="I572" s="97">
        <f>SUM(I567:I571)</f>
        <v/>
      </c>
    </row>
    <row r="573" ht="16.5" customHeight="1" thickBot="1" thickTop="1"/>
    <row r="574" ht="20.25" customHeight="1" thickBot="1" thickTop="1">
      <c r="A574" s="12" t="inlineStr">
        <is>
          <t>NAME</t>
        </is>
      </c>
      <c r="B574" s="12" t="inlineStr">
        <is>
          <t>MANGILALJI</t>
        </is>
      </c>
      <c r="C574" s="12" t="inlineStr">
        <is>
          <t>RAMARAM</t>
        </is>
      </c>
      <c r="D574" s="9" t="n">
        <v>45935</v>
      </c>
    </row>
    <row r="575" ht="20.25" customHeight="1" thickBot="1" thickTop="1">
      <c r="A575" s="97" t="inlineStr">
        <is>
          <t>Month</t>
        </is>
      </c>
      <c r="B575" s="97" t="inlineStr">
        <is>
          <t>Plan</t>
        </is>
      </c>
      <c r="C575" s="97" t="inlineStr">
        <is>
          <t>Commission</t>
        </is>
      </c>
      <c r="D575" s="97" t="inlineStr">
        <is>
          <t>Amount</t>
        </is>
      </c>
    </row>
    <row r="576" ht="20.25" customHeight="1" thickBot="1" thickTop="1">
      <c r="A576" s="97" t="n">
        <v>2</v>
      </c>
      <c r="B576" s="97" t="n">
        <v>500000</v>
      </c>
      <c r="C576" s="97">
        <f>VLOOKUP(A576&amp;"|"&amp;B576,$O$3:$P$17,2,FALSE)</f>
        <v/>
      </c>
      <c r="D576" s="97">
        <f>VLOOKUP(A576&amp;"|"&amp;B576,$Q$3:$R$17,2,FALSE)</f>
        <v/>
      </c>
    </row>
    <row r="577" ht="20.25" customHeight="1" thickBot="1" thickTop="1">
      <c r="A577" s="97" t="n"/>
      <c r="B577" s="97" t="n"/>
      <c r="C577" s="97" t="n"/>
      <c r="D577" s="97" t="n"/>
    </row>
    <row r="578" ht="20.25" customHeight="1" thickBot="1" thickTop="1">
      <c r="A578" s="97" t="n"/>
      <c r="B578" s="97" t="n"/>
      <c r="C578" s="97" t="n"/>
      <c r="D578" s="97" t="n"/>
    </row>
    <row r="579" ht="20.25" customHeight="1" thickBot="1" thickTop="1">
      <c r="A579" s="97" t="n"/>
      <c r="B579" s="97" t="n"/>
      <c r="C579" s="97" t="n"/>
      <c r="D579" s="97" t="n"/>
    </row>
    <row r="580" ht="20.25" customHeight="1" thickBot="1" thickTop="1">
      <c r="A580" s="97" t="n"/>
      <c r="B580" s="97" t="n"/>
      <c r="C580" s="97" t="n"/>
      <c r="D580" s="97" t="n"/>
    </row>
    <row r="581" ht="20.25" customHeight="1" thickBot="1" thickTop="1">
      <c r="A581" s="81" t="inlineStr">
        <is>
          <t>TOTAL PAYABLE</t>
        </is>
      </c>
      <c r="B581" s="82" t="n"/>
      <c r="C581" s="83" t="n"/>
      <c r="D581" s="97">
        <f>SUM(D576:D580)</f>
        <v/>
      </c>
    </row>
    <row r="582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XFD1048576"/>
    </sheetView>
  </sheetViews>
  <sheetFormatPr baseColWidth="8" defaultRowHeight="15"/>
  <cols>
    <col width="22.42578125" customWidth="1" min="2" max="2"/>
    <col width="18.28515625" customWidth="1" min="3" max="3"/>
    <col width="13.140625" customWidth="1" min="4" max="4"/>
    <col width="2" customWidth="1" min="5" max="5"/>
    <col width="10" customWidth="1" min="6" max="6"/>
    <col width="22.42578125" customWidth="1" min="7" max="7"/>
    <col width="17.140625" customWidth="1" min="8" max="8"/>
    <col width="14.7109375" customWidth="1" min="9" max="9"/>
    <col width="1.7109375" customWidth="1" min="10" max="10"/>
    <col width="2" customWidth="1" min="11" max="11"/>
    <col width="7.5703125" customWidth="1" min="12" max="12"/>
    <col width="13.5703125" customWidth="1" min="13" max="13"/>
    <col width="13.7109375" customWidth="1" min="14" max="14"/>
    <col width="17.42578125" customWidth="1" min="15" max="15"/>
    <col width="14.42578125" customWidth="1" min="18" max="18"/>
    <col width="2.7109375" customWidth="1" min="19" max="19"/>
    <col width="10" customWidth="1" min="20" max="20"/>
    <col width="10.140625" customWidth="1" min="23" max="23"/>
    <col width="10.42578125" customWidth="1" min="24" max="24"/>
  </cols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45935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45935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4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17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17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11</v>
      </c>
      <c r="M3" s="103" t="n">
        <v>500000</v>
      </c>
      <c r="N3" s="102" t="n">
        <v>32000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6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11</v>
      </c>
      <c r="M4" s="103" t="n">
        <v>250000</v>
      </c>
      <c r="N4" s="106" t="n">
        <v>16000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6</v>
      </c>
      <c r="M5" s="1" t="n">
        <v>2000000</v>
      </c>
      <c r="N5" s="1" t="n">
        <v>190000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6</v>
      </c>
      <c r="M6" s="106" t="n">
        <v>500000</v>
      </c>
      <c r="N6" s="106" t="n">
        <v>52000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17.1</v>
      </c>
      <c r="M7" s="106" t="n">
        <v>500000</v>
      </c>
      <c r="N7" s="106" t="n">
        <v>3000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17</v>
      </c>
      <c r="M8" s="106" t="n">
        <v>1000000</v>
      </c>
      <c r="N8" s="106" t="n">
        <v>7000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17.1</v>
      </c>
      <c r="M9" s="106" t="n">
        <v>1000000</v>
      </c>
      <c r="N9" s="106" t="n">
        <v>12000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45935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45935</v>
      </c>
      <c r="J10" s="112" t="n"/>
      <c r="K10" s="1" t="n"/>
      <c r="L10" s="48" t="n">
        <v>14</v>
      </c>
      <c r="M10" s="106" t="n">
        <v>500000</v>
      </c>
      <c r="N10" s="106" t="n">
        <v>20000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1</v>
      </c>
      <c r="M11" s="106" t="n">
        <v>500000</v>
      </c>
      <c r="N11" s="106" t="n">
        <v>80000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17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17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1</v>
      </c>
      <c r="M12" s="106" t="n">
        <v>1000000</v>
      </c>
      <c r="N12" s="106" t="n">
        <v>160000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1.1</v>
      </c>
      <c r="M13" s="1" t="n">
        <v>1000000</v>
      </c>
      <c r="N13" s="1" t="n">
        <v>171000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6</v>
      </c>
      <c r="M14" s="106" t="n">
        <v>1000000</v>
      </c>
      <c r="N14" s="106" t="n">
        <v>106000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17</v>
      </c>
      <c r="M15" s="106" t="n">
        <v>500000</v>
      </c>
      <c r="N15" s="106" t="n">
        <v>6000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6.1</v>
      </c>
      <c r="M16" s="102" t="n">
        <v>1000000</v>
      </c>
      <c r="N16" s="106" t="n">
        <v>95000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SUM(I12:I13)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17</v>
      </c>
      <c r="M18" s="1" t="n">
        <v>250000</v>
      </c>
      <c r="N18" s="1" t="n">
        <v>3000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45935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45935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17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17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6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17.1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17.1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45935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45935</v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17.1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6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14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14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17.1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45935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45935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11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17.1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17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6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45935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45935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17.1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14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45935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45935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17.1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1.1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1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6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37">
        <f>D545</f>
        <v/>
      </c>
      <c r="U62" s="105">
        <f>B538</f>
        <v/>
      </c>
      <c r="V62" s="1">
        <f>C538</f>
        <v/>
      </c>
      <c r="W62" s="105" t="n"/>
      <c r="X62" s="105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37">
        <f>D554</f>
        <v/>
      </c>
      <c r="U63" s="1">
        <f>B547</f>
        <v/>
      </c>
      <c r="V63" s="1">
        <f>C547</f>
        <v/>
      </c>
      <c r="W63" s="1" t="n"/>
      <c r="X63" s="137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45935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45935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05">
        <f>D563</f>
        <v/>
      </c>
      <c r="U64">
        <f>B556</f>
        <v/>
      </c>
      <c r="V64" s="1">
        <f>C556</f>
        <v/>
      </c>
      <c r="W64" s="1" t="n"/>
      <c r="X64" s="105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05">
        <f>D572</f>
        <v/>
      </c>
      <c r="U65" s="1">
        <f>B565</f>
        <v/>
      </c>
      <c r="V65" s="1">
        <f>C565</f>
        <v/>
      </c>
      <c r="W65" s="1" t="n"/>
      <c r="X65" s="105">
        <f>I572</f>
        <v/>
      </c>
      <c r="Y65" s="1">
        <f>G565</f>
        <v/>
      </c>
      <c r="Z65" s="1">
        <f>H565</f>
        <v/>
      </c>
    </row>
    <row r="66" ht="20.25" customHeight="1" thickBot="1" thickTop="1">
      <c r="A66" s="97" t="n">
        <v>17.1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17.1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05">
        <f>D581</f>
        <v/>
      </c>
      <c r="U66" s="1">
        <f>B574</f>
        <v/>
      </c>
      <c r="V66">
        <f>C574</f>
        <v/>
      </c>
      <c r="X66" s="105" t="n"/>
      <c r="Y66" s="1" t="n"/>
      <c r="Z66" s="1" t="n"/>
    </row>
    <row r="67" ht="20.25" customHeight="1" thickBot="1" thickTop="1">
      <c r="A67" s="97" t="n">
        <v>6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6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37" t="n"/>
      <c r="U67" s="1" t="n"/>
      <c r="V67" s="1" t="n"/>
      <c r="W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05">
        <f>SUM(T3:T67)</f>
        <v/>
      </c>
      <c r="U69" s="1" t="n"/>
      <c r="V69" s="1" t="n"/>
      <c r="W69" s="1" t="n"/>
      <c r="X69" s="105">
        <f>SUM(X3:X66)</f>
        <v/>
      </c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130">
        <f>SUM(T69,X69)</f>
        <v/>
      </c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45935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45935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17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1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17.1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1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1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1.1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1.1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1.1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6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11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17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17.1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17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17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17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>
        <v>6</v>
      </c>
      <c r="B83" s="97" t="n">
        <v>2000000</v>
      </c>
      <c r="C83" s="97">
        <f>VLOOKUP(A83&amp;"|"&amp;B83,$O$3:$P$18,2,FALSE)</f>
        <v/>
      </c>
      <c r="D83" s="97">
        <f>VLOOKUP(A83&amp;"|"&amp;B83,$Q$3:$R$18,2,FALSE)</f>
        <v/>
      </c>
      <c r="E83" s="2" t="n"/>
      <c r="F83" s="97" t="n">
        <v>17.1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>
        <v>6</v>
      </c>
      <c r="G84" s="97" t="n">
        <v>1000000</v>
      </c>
      <c r="H84" s="97">
        <f>VLOOKUP(F84&amp;"|"&amp;G84,$O$3:$P$16,2,FALSE)</f>
        <v/>
      </c>
      <c r="I84" s="97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45935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45935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17.1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17.1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1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6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6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45935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45935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17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17</v>
      </c>
      <c r="G98" s="97" t="n">
        <v>1000000</v>
      </c>
      <c r="H98" s="97" t="n">
        <v>700</v>
      </c>
      <c r="I98" s="97" t="n">
        <v>49200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6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17.1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1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45935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45935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17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17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17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6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45935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45935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17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17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1.1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6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11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11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45935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45935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17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17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6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11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11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1.1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>
        <v>1</v>
      </c>
      <c r="G129" s="97" t="n">
        <v>500000</v>
      </c>
      <c r="H129" s="97">
        <f>VLOOKUP(F129&amp;"|"&amp;G129,$O$3:$P$16,2,FALSE)</f>
        <v/>
      </c>
      <c r="I129" s="97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45935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45935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17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17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1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45935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45935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17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1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11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1.1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14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1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45935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45935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1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17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14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1</v>
      </c>
      <c r="G154" s="97" t="n">
        <v>1000000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45935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45935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17.1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17.1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45935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45935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17.1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17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6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11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>
        <v>6</v>
      </c>
      <c r="B172" s="97" t="n">
        <v>1000000</v>
      </c>
      <c r="C172" s="97">
        <f>VLOOKUP(A172&amp;"|"&amp;B172,$O$3:$P$16,2,FALSE)</f>
        <v/>
      </c>
      <c r="D172" s="97">
        <f>VLOOKUP(A172&amp;"|"&amp;B172,$Q$3:$R$16,2,FALSE)</f>
        <v/>
      </c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45935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45935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6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17.1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14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45935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45935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1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17.1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17.1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45935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45935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17.1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17</v>
      </c>
      <c r="G197" s="97" t="n">
        <v>1000000</v>
      </c>
      <c r="H197" s="97" t="n">
        <v>700</v>
      </c>
      <c r="I197" s="97" t="n">
        <v>49200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6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45935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45935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Commission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17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1.1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17.1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6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45935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45935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1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1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14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45935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45935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11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11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45935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45935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6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6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RAMESHJI</t>
        </is>
      </c>
      <c r="C240" s="97" t="inlineStr">
        <is>
          <t>KONDAPUR</t>
        </is>
      </c>
      <c r="D240" s="9" t="n">
        <v>45935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45935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1</v>
      </c>
      <c r="B242" s="97" t="n">
        <v>500000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1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>
        <v>1</v>
      </c>
      <c r="B243" s="97" t="n">
        <v>500000</v>
      </c>
      <c r="C243" s="97">
        <f>VLOOKUP(A243&amp;"|"&amp;B243,$O$3:$P$19,2,FALSE)</f>
        <v/>
      </c>
      <c r="D243" s="97">
        <f>VLOOKUP(A243&amp;"|"&amp;B243,$Q$3:$R$19,2,FALSE)</f>
        <v/>
      </c>
      <c r="E243" s="2" t="n"/>
      <c r="F243" s="97" t="n">
        <v>6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14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14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>
        <v>1.1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45935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45935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1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11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1.1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45935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45935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17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1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6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>
        <v>1</v>
      </c>
      <c r="G261" s="97" t="n">
        <v>500000</v>
      </c>
      <c r="H261" s="97">
        <f>VLOOKUP(F261&amp;"|"&amp;G261,$O$3:$P$16,2,FALSE)</f>
        <v/>
      </c>
      <c r="I261" s="97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45935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45935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6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6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45935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45935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6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6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1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1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14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14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6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11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45935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45935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6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6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6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11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/>
      <c r="B290" s="97" t="n"/>
      <c r="C290" s="97" t="n"/>
      <c r="D290" s="97" t="n"/>
      <c r="E290" s="2" t="n"/>
      <c r="F290" s="97" t="n">
        <v>14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14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45935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45935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6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6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14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6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17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45935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45935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6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6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1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45935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45935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6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17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11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45935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45935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1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11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45935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45935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11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11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14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45935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45935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14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1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45935</v>
      </c>
      <c r="E349" s="2" t="n"/>
      <c r="F349" s="97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45935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17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>
        <v>1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45935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45935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6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14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>
        <v>1.1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45935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45935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6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14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1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45935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45935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6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6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45935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45935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17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11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17.1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45935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45935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17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6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45935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45935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17.1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17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1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45935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45935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6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1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/>
      <c r="G415" s="97" t="n"/>
      <c r="H415" s="97" t="n"/>
      <c r="I415" s="9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45935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45935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6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6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45935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45935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6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6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45935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45935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1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6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45935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45935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1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1.1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45935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45935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17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6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6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45935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45935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17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17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1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45935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45935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17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45935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45935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14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6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14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45935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45935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11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11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11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6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1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45935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45935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6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6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45935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45935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6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6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45935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45935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17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6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6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45935</v>
      </c>
      <c r="F529" s="12" t="inlineStr">
        <is>
          <t>NAME</t>
        </is>
      </c>
      <c r="G529" s="12" t="inlineStr">
        <is>
          <t>PUNJI</t>
        </is>
      </c>
      <c r="H529" s="12" t="inlineStr">
        <is>
          <t>R ROAD</t>
        </is>
      </c>
      <c r="I529" s="9" t="n">
        <v>45935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97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97" t="n">
        <v>1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97" t="n">
        <v>6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97" t="n">
        <v>1.1</v>
      </c>
      <c r="B532" s="97" t="n">
        <v>1000000</v>
      </c>
      <c r="C532" s="97">
        <f>VLOOKUP(A532&amp;"|"&amp;B532,$O$3:$P$17,2,FALSE)</f>
        <v/>
      </c>
      <c r="D532" s="97">
        <f>VLOOKUP(A532&amp;"|"&amp;B532,$Q$3:$R$17,2,FALSE)</f>
        <v/>
      </c>
      <c r="F532" s="97" t="n"/>
      <c r="G532" s="97" t="n"/>
      <c r="H532" s="97" t="n"/>
      <c r="I532" s="97" t="n"/>
    </row>
    <row r="533" ht="20.25" customHeight="1" thickBot="1" thickTop="1">
      <c r="A533" s="97" t="n"/>
      <c r="B533" s="97" t="n"/>
      <c r="C533" s="97" t="n"/>
      <c r="D533" s="97" t="n"/>
      <c r="F533" s="97" t="n"/>
      <c r="G533" s="97" t="n"/>
      <c r="H533" s="97" t="n"/>
      <c r="I533" s="97" t="n"/>
    </row>
    <row r="534" ht="20.25" customHeight="1" thickBot="1" thickTop="1">
      <c r="A534" s="97" t="n"/>
      <c r="B534" s="97" t="n"/>
      <c r="C534" s="97" t="n"/>
      <c r="D534" s="97" t="n"/>
      <c r="F534" s="97" t="n"/>
      <c r="G534" s="97" t="n"/>
      <c r="H534" s="97" t="n"/>
      <c r="I534" s="97" t="n"/>
    </row>
    <row r="535" ht="20.25" customHeight="1" thickBot="1" thickTop="1">
      <c r="A535" s="97" t="n"/>
      <c r="B535" s="97" t="n"/>
      <c r="C535" s="97" t="n"/>
      <c r="D535" s="97" t="n"/>
      <c r="F535" s="97" t="n"/>
      <c r="G535" s="97" t="n"/>
      <c r="H535" s="97" t="n"/>
      <c r="I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  <c r="F536" s="81" t="inlineStr">
        <is>
          <t>TOTAL PAYABLE</t>
        </is>
      </c>
      <c r="G536" s="82" t="n"/>
      <c r="H536" s="83" t="n"/>
      <c r="I536" s="97">
        <f>SUM(I531:I535)</f>
        <v/>
      </c>
    </row>
    <row r="537" ht="16.5" customHeight="1" thickBot="1" thickTop="1"/>
    <row r="538" ht="20.25" customHeight="1" thickBot="1" thickTop="1">
      <c r="A538" s="12" t="inlineStr">
        <is>
          <t>NAME</t>
        </is>
      </c>
      <c r="B538" s="12" t="inlineStr">
        <is>
          <t xml:space="preserve">GOTAMJI </t>
        </is>
      </c>
      <c r="C538" s="12" t="inlineStr">
        <is>
          <t>RR ROAD</t>
        </is>
      </c>
      <c r="D538" s="9" t="n">
        <v>45935</v>
      </c>
      <c r="F538" s="12" t="inlineStr">
        <is>
          <t>NAME</t>
        </is>
      </c>
      <c r="G538" s="12" t="inlineStr">
        <is>
          <t>SOHANJI</t>
        </is>
      </c>
      <c r="H538" s="12" t="inlineStr">
        <is>
          <t>RR ROAD</t>
        </is>
      </c>
      <c r="I538" s="9" t="n">
        <v>45935</v>
      </c>
    </row>
    <row r="539" ht="20.25" customHeight="1" thickBot="1" thickTop="1">
      <c r="A539" s="97" t="inlineStr">
        <is>
          <t>Month</t>
        </is>
      </c>
      <c r="B539" s="97" t="inlineStr">
        <is>
          <t>Plan</t>
        </is>
      </c>
      <c r="C539" s="97" t="inlineStr">
        <is>
          <t>Commission</t>
        </is>
      </c>
      <c r="D539" s="97" t="inlineStr">
        <is>
          <t>Amount</t>
        </is>
      </c>
      <c r="F539" s="97" t="inlineStr">
        <is>
          <t>Month</t>
        </is>
      </c>
      <c r="G539" s="97" t="inlineStr">
        <is>
          <t>Plan</t>
        </is>
      </c>
      <c r="H539" s="97" t="inlineStr">
        <is>
          <t>Commission</t>
        </is>
      </c>
      <c r="I539" s="97" t="inlineStr">
        <is>
          <t>Amount</t>
        </is>
      </c>
    </row>
    <row r="540" ht="20.25" customHeight="1" thickBot="1" thickTop="1">
      <c r="A540" s="97" t="n">
        <v>1.1</v>
      </c>
      <c r="B540" s="97" t="n">
        <v>1000000</v>
      </c>
      <c r="C540" s="97">
        <f>VLOOKUP(A540&amp;"|"&amp;B540,$O$3:$P$17,2,FALSE)</f>
        <v/>
      </c>
      <c r="D540" s="97">
        <f>VLOOKUP(A540&amp;"|"&amp;B540,$Q$3:$R$17,2,FALSE)</f>
        <v/>
      </c>
      <c r="F540" s="97" t="n">
        <v>1</v>
      </c>
      <c r="G540" s="97" t="n">
        <v>1000000</v>
      </c>
      <c r="H540" s="97">
        <f>VLOOKUP(F540&amp;"|"&amp;G540,$O$3:$P$17,2,FALSE)</f>
        <v/>
      </c>
      <c r="I540" s="97">
        <f>VLOOKUP(F540&amp;"|"&amp;G540,$Q$3:$R$17,2,FALSE)</f>
        <v/>
      </c>
    </row>
    <row r="541" ht="20.25" customHeight="1" thickBot="1" thickTop="1">
      <c r="A541" s="97" t="n"/>
      <c r="B541" s="97" t="n"/>
      <c r="C541" s="97" t="n"/>
      <c r="D541" s="97" t="n"/>
      <c r="F541" s="97" t="n">
        <v>1.1</v>
      </c>
      <c r="G541" s="97" t="n">
        <v>1000000</v>
      </c>
      <c r="H541" s="97">
        <f>VLOOKUP(F541&amp;"|"&amp;G541,$O$3:$P$17,2,FALSE)</f>
        <v/>
      </c>
      <c r="I541" s="97">
        <f>VLOOKUP(F541&amp;"|"&amp;G541,$Q$3:$R$17,2,FALSE)</f>
        <v/>
      </c>
    </row>
    <row r="542" ht="20.25" customHeight="1" thickBot="1" thickTop="1">
      <c r="A542" s="97" t="n"/>
      <c r="B542" s="97" t="n"/>
      <c r="C542" s="97" t="n"/>
      <c r="D542" s="97" t="n"/>
      <c r="F542" s="97" t="n"/>
      <c r="G542" s="97" t="n"/>
      <c r="H542" s="97" t="n"/>
      <c r="I542" s="97" t="n"/>
    </row>
    <row r="543" ht="20.25" customHeight="1" thickBot="1" thickTop="1">
      <c r="A543" s="97" t="n"/>
      <c r="B543" s="97" t="n"/>
      <c r="C543" s="97" t="n"/>
      <c r="D543" s="97" t="n"/>
      <c r="F543" s="97" t="n"/>
      <c r="G543" s="97" t="n"/>
      <c r="H543" s="97" t="n"/>
      <c r="I543" s="97" t="n"/>
    </row>
    <row r="544" ht="20.25" customHeight="1" thickBot="1" thickTop="1">
      <c r="A544" s="97" t="n"/>
      <c r="B544" s="97" t="n"/>
      <c r="C544" s="97" t="n"/>
      <c r="D544" s="97" t="n"/>
      <c r="F544" s="97" t="n"/>
      <c r="G544" s="97" t="n"/>
      <c r="H544" s="97" t="n"/>
      <c r="I544" s="97" t="n"/>
    </row>
    <row r="545" ht="20.25" customHeight="1" thickBot="1" thickTop="1">
      <c r="A545" s="81" t="inlineStr">
        <is>
          <t>TOTAL PAYABLE</t>
        </is>
      </c>
      <c r="B545" s="82" t="n"/>
      <c r="C545" s="83" t="n"/>
      <c r="D545" s="97">
        <f>SUM(D540:D544)</f>
        <v/>
      </c>
      <c r="F545" s="81" t="inlineStr">
        <is>
          <t>TOTAL PAYABLE</t>
        </is>
      </c>
      <c r="G545" s="82" t="n"/>
      <c r="H545" s="83" t="n"/>
      <c r="I545" s="97">
        <f>SUM(I540:I544)</f>
        <v/>
      </c>
    </row>
    <row r="546" ht="16.5" customHeight="1" thickBot="1" thickTop="1"/>
    <row r="547" ht="20.25" customHeight="1" thickBot="1" thickTop="1">
      <c r="A547" s="12" t="inlineStr">
        <is>
          <t>NAME</t>
        </is>
      </c>
      <c r="B547" s="12" t="inlineStr">
        <is>
          <t>TEJAJAMJI</t>
        </is>
      </c>
      <c r="C547" s="12" t="inlineStr">
        <is>
          <t>YELMBNDA</t>
        </is>
      </c>
      <c r="D547" s="9" t="n">
        <v>45935</v>
      </c>
      <c r="F547" s="12" t="inlineStr">
        <is>
          <t>NAME</t>
        </is>
      </c>
      <c r="G547" s="12" t="inlineStr">
        <is>
          <t>MOHANJI</t>
        </is>
      </c>
      <c r="H547" s="12" t="inlineStr">
        <is>
          <t>CHINTAL</t>
        </is>
      </c>
      <c r="I547" s="9" t="n">
        <v>45935</v>
      </c>
    </row>
    <row r="548" ht="20.25" customHeight="1" thickBot="1" thickTop="1">
      <c r="A548" s="97" t="inlineStr">
        <is>
          <t>Month</t>
        </is>
      </c>
      <c r="B548" s="97" t="inlineStr">
        <is>
          <t>Plan</t>
        </is>
      </c>
      <c r="C548" s="97" t="inlineStr">
        <is>
          <t>Commission</t>
        </is>
      </c>
      <c r="D548" s="97" t="inlineStr">
        <is>
          <t>Amount</t>
        </is>
      </c>
      <c r="F548" s="97" t="inlineStr">
        <is>
          <t>Month</t>
        </is>
      </c>
      <c r="G548" s="97" t="inlineStr">
        <is>
          <t>Plan</t>
        </is>
      </c>
      <c r="H548" s="97" t="inlineStr">
        <is>
          <t>Commission</t>
        </is>
      </c>
      <c r="I548" s="97" t="inlineStr">
        <is>
          <t>Amount</t>
        </is>
      </c>
    </row>
    <row r="549" ht="20.25" customHeight="1" thickBot="1" thickTop="1">
      <c r="A549" s="97" t="n">
        <v>1.1</v>
      </c>
      <c r="B549" s="97" t="n">
        <v>1000000</v>
      </c>
      <c r="C549" s="97">
        <f>VLOOKUP(A549&amp;"|"&amp;B549,$O$3:$P$17,2,FALSE)</f>
        <v/>
      </c>
      <c r="D549" s="97">
        <f>VLOOKUP(A549&amp;"|"&amp;B549,$Q$3:$R$17,2,FALSE)</f>
        <v/>
      </c>
      <c r="F549" s="97" t="n">
        <v>1.1</v>
      </c>
      <c r="G549" s="97" t="n">
        <v>1000000</v>
      </c>
      <c r="H549" s="97">
        <f>VLOOKUP(F549&amp;"|"&amp;G549,$O$3:$P$17,2,FALSE)</f>
        <v/>
      </c>
      <c r="I549" s="97">
        <f>VLOOKUP(F549&amp;"|"&amp;G549,$Q$3:$R$17,2,FALSE)</f>
        <v/>
      </c>
    </row>
    <row r="550" ht="20.25" customHeight="1" thickBot="1" thickTop="1">
      <c r="A550" s="97" t="n"/>
      <c r="B550" s="97" t="n"/>
      <c r="C550" s="97" t="n"/>
      <c r="D550" s="97" t="n"/>
      <c r="F550" s="97" t="n"/>
      <c r="G550" s="97" t="n"/>
      <c r="H550" s="97" t="n"/>
      <c r="I550" s="97" t="n"/>
    </row>
    <row r="551" ht="20.25" customHeight="1" thickBot="1" thickTop="1">
      <c r="A551" s="97" t="n"/>
      <c r="B551" s="97" t="n"/>
      <c r="C551" s="97" t="n"/>
      <c r="D551" s="97" t="n"/>
      <c r="F551" s="97" t="n"/>
      <c r="G551" s="97" t="n"/>
      <c r="H551" s="97" t="n"/>
      <c r="I551" s="97" t="n"/>
    </row>
    <row r="552" ht="20.25" customHeight="1" thickBot="1" thickTop="1">
      <c r="A552" s="97" t="n"/>
      <c r="B552" s="97" t="n"/>
      <c r="C552" s="97" t="n"/>
      <c r="D552" s="97" t="n"/>
      <c r="F552" s="97" t="n"/>
      <c r="G552" s="97" t="n"/>
      <c r="H552" s="97" t="n"/>
      <c r="I552" s="97" t="n"/>
    </row>
    <row r="553" ht="20.25" customHeight="1" thickBot="1" thickTop="1">
      <c r="A553" s="97" t="n"/>
      <c r="B553" s="97" t="n"/>
      <c r="C553" s="97" t="n"/>
      <c r="D553" s="97" t="n"/>
      <c r="F553" s="97" t="n"/>
      <c r="G553" s="97" t="n"/>
      <c r="H553" s="97" t="n"/>
      <c r="I553" s="97" t="n"/>
    </row>
    <row r="554" ht="20.25" customHeight="1" thickBot="1" thickTop="1">
      <c r="A554" s="81" t="inlineStr">
        <is>
          <t>TOTAL PAYABLE</t>
        </is>
      </c>
      <c r="B554" s="82" t="n"/>
      <c r="C554" s="83" t="n"/>
      <c r="D554" s="97">
        <f>SUM(D549:D553)</f>
        <v/>
      </c>
      <c r="F554" s="81" t="inlineStr">
        <is>
          <t>TOTAL PAYABLE</t>
        </is>
      </c>
      <c r="G554" s="82" t="n"/>
      <c r="H554" s="83" t="n"/>
      <c r="I554" s="97">
        <f>SUM(I549:I553)</f>
        <v/>
      </c>
    </row>
    <row r="555" ht="16.5" customHeight="1" thickBot="1" thickTop="1"/>
    <row r="556" ht="20.25" customHeight="1" thickBot="1" thickTop="1">
      <c r="A556" s="12" t="inlineStr">
        <is>
          <t>NAME</t>
        </is>
      </c>
      <c r="B556" s="12" t="inlineStr">
        <is>
          <t>BABULALJI</t>
        </is>
      </c>
      <c r="C556" s="12" t="inlineStr">
        <is>
          <t>RAMARAM</t>
        </is>
      </c>
      <c r="D556" s="9" t="n">
        <v>45935</v>
      </c>
      <c r="F556" s="12" t="inlineStr">
        <is>
          <t>NAME</t>
        </is>
      </c>
      <c r="G556" s="12" t="inlineStr">
        <is>
          <t>MOHANJI</t>
        </is>
      </c>
      <c r="H556" s="12" t="inlineStr">
        <is>
          <t>AMINPUR</t>
        </is>
      </c>
      <c r="I556" s="9" t="n">
        <v>45935</v>
      </c>
    </row>
    <row r="557" ht="20.25" customHeight="1" thickBot="1" thickTop="1">
      <c r="A557" s="97" t="inlineStr">
        <is>
          <t>Month</t>
        </is>
      </c>
      <c r="B557" s="97" t="inlineStr">
        <is>
          <t>Plan</t>
        </is>
      </c>
      <c r="C557" s="97" t="inlineStr">
        <is>
          <t>Commission</t>
        </is>
      </c>
      <c r="D557" s="97" t="inlineStr">
        <is>
          <t>Amount</t>
        </is>
      </c>
      <c r="F557" s="97" t="inlineStr">
        <is>
          <t>Month</t>
        </is>
      </c>
      <c r="G557" s="97" t="inlineStr">
        <is>
          <t>Plan</t>
        </is>
      </c>
      <c r="H557" s="97" t="inlineStr">
        <is>
          <t>Commission</t>
        </is>
      </c>
      <c r="I557" s="97" t="inlineStr">
        <is>
          <t>Amount</t>
        </is>
      </c>
    </row>
    <row r="558" ht="20.25" customHeight="1" thickBot="1" thickTop="1">
      <c r="A558" s="97" t="n">
        <v>1.1</v>
      </c>
      <c r="B558" s="97" t="n">
        <v>1000000</v>
      </c>
      <c r="C558" s="97">
        <f>VLOOKUP(A558&amp;"|"&amp;B558,$O$3:$P$17,2,FALSE)</f>
        <v/>
      </c>
      <c r="D558" s="97">
        <f>VLOOKUP(A558&amp;"|"&amp;B558,$Q$3:$R$17,2,FALSE)</f>
        <v/>
      </c>
      <c r="F558" s="97" t="n">
        <v>1</v>
      </c>
      <c r="G558" s="97" t="n">
        <v>500000</v>
      </c>
      <c r="H558" s="97">
        <f>VLOOKUP(F558&amp;"|"&amp;G558,$O$3:$P$17,2,FALSE)</f>
        <v/>
      </c>
      <c r="I558" s="97">
        <f>VLOOKUP(F558&amp;"|"&amp;G558,$Q$3:$R$17,2,FALSE)</f>
        <v/>
      </c>
    </row>
    <row r="559" ht="20.25" customHeight="1" thickBot="1" thickTop="1">
      <c r="A559" s="97" t="n"/>
      <c r="B559" s="97" t="n"/>
      <c r="C559" s="97" t="n"/>
      <c r="D559" s="97" t="n"/>
      <c r="F559" s="97" t="n"/>
      <c r="G559" s="97" t="n"/>
      <c r="H559" s="97" t="n"/>
      <c r="I559" s="97" t="n"/>
    </row>
    <row r="560" ht="20.25" customHeight="1" thickBot="1" thickTop="1">
      <c r="A560" s="97" t="n"/>
      <c r="B560" s="97" t="n"/>
      <c r="C560" s="97" t="n"/>
      <c r="D560" s="97" t="n"/>
      <c r="F560" s="97" t="n"/>
      <c r="G560" s="97" t="n"/>
      <c r="H560" s="97" t="n"/>
      <c r="I560" s="97" t="n"/>
    </row>
    <row r="561" ht="20.25" customHeight="1" thickBot="1" thickTop="1">
      <c r="A561" s="97" t="n"/>
      <c r="B561" s="97" t="n"/>
      <c r="C561" s="97" t="n"/>
      <c r="D561" s="97" t="n"/>
      <c r="F561" s="97" t="n"/>
      <c r="G561" s="97" t="n"/>
      <c r="H561" s="97" t="n"/>
      <c r="I561" s="97" t="n"/>
    </row>
    <row r="562" ht="20.25" customHeight="1" thickBot="1" thickTop="1">
      <c r="A562" s="97" t="n"/>
      <c r="B562" s="97" t="n"/>
      <c r="C562" s="97" t="n"/>
      <c r="D562" s="97" t="n"/>
      <c r="F562" s="97" t="n"/>
      <c r="G562" s="97" t="n"/>
      <c r="H562" s="97" t="n"/>
      <c r="I562" s="97" t="n"/>
    </row>
    <row r="563" ht="20.25" customHeight="1" thickBot="1" thickTop="1">
      <c r="A563" s="81" t="inlineStr">
        <is>
          <t>TOTAL PAYABLE</t>
        </is>
      </c>
      <c r="B563" s="82" t="n"/>
      <c r="C563" s="83" t="n"/>
      <c r="D563" s="97">
        <f>SUM(D558:D562)</f>
        <v/>
      </c>
      <c r="F563" s="81" t="inlineStr">
        <is>
          <t>TOTAL PAYABLE</t>
        </is>
      </c>
      <c r="G563" s="82" t="n"/>
      <c r="H563" s="83" t="n"/>
      <c r="I563" s="97">
        <f>SUM(I558:I562)</f>
        <v/>
      </c>
    </row>
    <row r="564" ht="16.5" customHeight="1" thickBot="1" thickTop="1"/>
    <row r="565" ht="20.25" customHeight="1" thickBot="1" thickTop="1">
      <c r="A565" s="12" t="inlineStr">
        <is>
          <t>NAME</t>
        </is>
      </c>
      <c r="B565" s="12" t="inlineStr">
        <is>
          <t>PUNAMJI</t>
        </is>
      </c>
      <c r="C565" s="12" t="inlineStr">
        <is>
          <t>BADURPLY</t>
        </is>
      </c>
      <c r="D565" s="9" t="n">
        <v>45935</v>
      </c>
      <c r="F565" s="12" t="inlineStr">
        <is>
          <t>NAME</t>
        </is>
      </c>
      <c r="G565" s="12" t="inlineStr">
        <is>
          <t>NARAYANJI</t>
        </is>
      </c>
      <c r="H565" s="12" t="inlineStr">
        <is>
          <t>KOTLAPUR</t>
        </is>
      </c>
      <c r="I565" s="9" t="n">
        <v>45935</v>
      </c>
    </row>
    <row r="566" ht="20.25" customHeight="1" thickBot="1" thickTop="1">
      <c r="A566" s="97" t="inlineStr">
        <is>
          <t>Month</t>
        </is>
      </c>
      <c r="B566" s="97" t="inlineStr">
        <is>
          <t>Plan</t>
        </is>
      </c>
      <c r="C566" s="97" t="inlineStr">
        <is>
          <t>Commission</t>
        </is>
      </c>
      <c r="D566" s="97" t="inlineStr">
        <is>
          <t>Amount</t>
        </is>
      </c>
      <c r="F566" s="97" t="inlineStr">
        <is>
          <t>Month</t>
        </is>
      </c>
      <c r="G566" s="97" t="inlineStr">
        <is>
          <t>Plan</t>
        </is>
      </c>
      <c r="H566" s="97" t="inlineStr">
        <is>
          <t>Commission</t>
        </is>
      </c>
      <c r="I566" s="97" t="inlineStr">
        <is>
          <t>Amount</t>
        </is>
      </c>
    </row>
    <row r="567" ht="20.25" customHeight="1" thickBot="1" thickTop="1">
      <c r="A567" s="97" t="n">
        <v>1</v>
      </c>
      <c r="B567" s="97" t="n">
        <v>500000</v>
      </c>
      <c r="C567" s="97">
        <f>VLOOKUP(A567&amp;"|"&amp;B567,$O$3:$P$17,2,FALSE)</f>
        <v/>
      </c>
      <c r="D567" s="97">
        <f>VLOOKUP(A567&amp;"|"&amp;B567,$Q$3:$R$17,2,FALSE)</f>
        <v/>
      </c>
      <c r="F567" s="97" t="n">
        <v>1</v>
      </c>
      <c r="G567" s="97" t="n">
        <v>500000</v>
      </c>
      <c r="H567" s="97">
        <f>VLOOKUP(F567&amp;"|"&amp;G567,$O$3:$P$17,2,FALSE)</f>
        <v/>
      </c>
      <c r="I567" s="97">
        <f>VLOOKUP(F567&amp;"|"&amp;G567,$Q$3:$R$17,2,FALSE)</f>
        <v/>
      </c>
    </row>
    <row r="568" ht="20.25" customHeight="1" thickBot="1" thickTop="1">
      <c r="A568" s="97" t="n"/>
      <c r="B568" s="97" t="n"/>
      <c r="C568" s="97" t="n"/>
      <c r="D568" s="97" t="n"/>
      <c r="F568" s="97" t="n"/>
      <c r="G568" s="97" t="n"/>
      <c r="H568" s="97" t="n"/>
      <c r="I568" s="97" t="n"/>
    </row>
    <row r="569" ht="20.25" customHeight="1" thickBot="1" thickTop="1">
      <c r="A569" s="97" t="n"/>
      <c r="B569" s="97" t="n"/>
      <c r="C569" s="97" t="n"/>
      <c r="D569" s="97" t="n"/>
      <c r="F569" s="97" t="n"/>
      <c r="G569" s="97" t="n"/>
      <c r="H569" s="97" t="n"/>
      <c r="I569" s="97" t="n"/>
    </row>
    <row r="570" ht="20.25" customHeight="1" thickBot="1" thickTop="1">
      <c r="A570" s="97" t="n"/>
      <c r="B570" s="97" t="n"/>
      <c r="C570" s="97" t="n"/>
      <c r="D570" s="97" t="n"/>
      <c r="F570" s="97" t="n"/>
      <c r="G570" s="97" t="n"/>
      <c r="H570" s="97" t="n"/>
      <c r="I570" s="97" t="n"/>
    </row>
    <row r="571" ht="20.25" customHeight="1" thickBot="1" thickTop="1">
      <c r="A571" s="97" t="n"/>
      <c r="B571" s="97" t="n"/>
      <c r="C571" s="97" t="n"/>
      <c r="D571" s="97" t="n"/>
      <c r="F571" s="97" t="n"/>
      <c r="G571" s="97" t="n"/>
      <c r="H571" s="97" t="n"/>
      <c r="I571" s="97" t="n"/>
    </row>
    <row r="572" ht="20.25" customHeight="1" thickBot="1" thickTop="1">
      <c r="A572" s="81" t="inlineStr">
        <is>
          <t>TOTAL PAYABLE</t>
        </is>
      </c>
      <c r="B572" s="82" t="n"/>
      <c r="C572" s="83" t="n"/>
      <c r="D572" s="97">
        <f>SUM(D567:D571)</f>
        <v/>
      </c>
      <c r="F572" s="81" t="inlineStr">
        <is>
          <t>TOTAL PAYABLE</t>
        </is>
      </c>
      <c r="G572" s="82" t="n"/>
      <c r="H572" s="83" t="n"/>
      <c r="I572" s="97">
        <f>SUM(I567:I571)</f>
        <v/>
      </c>
    </row>
    <row r="573" ht="16.5" customHeight="1" thickBot="1" thickTop="1"/>
    <row r="574" ht="20.25" customHeight="1" thickBot="1" thickTop="1">
      <c r="A574" s="12" t="inlineStr">
        <is>
          <t>NAME</t>
        </is>
      </c>
      <c r="B574" s="12" t="inlineStr">
        <is>
          <t>MANGILALJI</t>
        </is>
      </c>
      <c r="C574" s="12" t="inlineStr">
        <is>
          <t>RAMARAM</t>
        </is>
      </c>
      <c r="D574" s="9" t="n">
        <v>45935</v>
      </c>
    </row>
    <row r="575" ht="20.25" customHeight="1" thickBot="1" thickTop="1">
      <c r="A575" s="97" t="inlineStr">
        <is>
          <t>Month</t>
        </is>
      </c>
      <c r="B575" s="97" t="inlineStr">
        <is>
          <t>Plan</t>
        </is>
      </c>
      <c r="C575" s="97" t="inlineStr">
        <is>
          <t>Commission</t>
        </is>
      </c>
      <c r="D575" s="97" t="inlineStr">
        <is>
          <t>Amount</t>
        </is>
      </c>
    </row>
    <row r="576" ht="20.25" customHeight="1" thickBot="1" thickTop="1">
      <c r="A576" s="97" t="n">
        <v>1</v>
      </c>
      <c r="B576" s="97" t="n">
        <v>500000</v>
      </c>
      <c r="C576" s="97">
        <f>VLOOKUP(A576&amp;"|"&amp;B576,$O$3:$P$17,2,FALSE)</f>
        <v/>
      </c>
      <c r="D576" s="97">
        <f>VLOOKUP(A576&amp;"|"&amp;B576,$Q$3:$R$17,2,FALSE)</f>
        <v/>
      </c>
    </row>
    <row r="577" ht="20.25" customHeight="1" thickBot="1" thickTop="1">
      <c r="A577" s="97" t="n"/>
      <c r="B577" s="97" t="n"/>
      <c r="C577" s="97" t="n"/>
      <c r="D577" s="97" t="n"/>
    </row>
    <row r="578" ht="20.25" customHeight="1" thickBot="1" thickTop="1">
      <c r="A578" s="97" t="n"/>
      <c r="B578" s="97" t="n"/>
      <c r="C578" s="97" t="n"/>
      <c r="D578" s="97" t="n"/>
    </row>
    <row r="579" ht="20.25" customHeight="1" thickBot="1" thickTop="1">
      <c r="A579" s="97" t="n"/>
      <c r="B579" s="97" t="n"/>
      <c r="C579" s="97" t="n"/>
      <c r="D579" s="97" t="n"/>
    </row>
    <row r="580" ht="20.25" customHeight="1" thickBot="1" thickTop="1">
      <c r="A580" s="97" t="n"/>
      <c r="B580" s="97" t="n"/>
      <c r="C580" s="97" t="n"/>
      <c r="D580" s="97" t="n"/>
    </row>
    <row r="581" ht="20.25" customHeight="1" thickBot="1" thickTop="1">
      <c r="A581" s="81" t="inlineStr">
        <is>
          <t>TOTAL PAYABLE</t>
        </is>
      </c>
      <c r="B581" s="82" t="n"/>
      <c r="C581" s="83" t="n"/>
      <c r="D581" s="97">
        <f>SUM(D576:D580)</f>
        <v/>
      </c>
    </row>
    <row r="582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:XFD1048576"/>
    </sheetView>
  </sheetViews>
  <sheetFormatPr baseColWidth="8" defaultColWidth="13.85546875" defaultRowHeight="15"/>
  <cols>
    <col width="23" customWidth="1" min="2" max="2"/>
    <col width="17.7109375" customWidth="1" min="3" max="3"/>
    <col width="2.140625" customWidth="1" min="5" max="5"/>
    <col width="22.5703125" customWidth="1" min="7" max="7"/>
    <col width="17" customWidth="1" min="8" max="8"/>
    <col width="1.85546875" customWidth="1" min="10" max="10"/>
    <col width="0.28515625" customWidth="1" min="11" max="11"/>
    <col width="7" customWidth="1" min="12" max="12"/>
    <col width="11.5703125" customWidth="1" min="13" max="13"/>
    <col width="12.140625" customWidth="1" min="14" max="14"/>
    <col width="12.7109375" customWidth="1" min="15" max="15"/>
    <col width="12.85546875" customWidth="1" min="16" max="16"/>
    <col width="12.140625" customWidth="1" min="17" max="17"/>
    <col width="12.85546875" customWidth="1" min="18" max="18"/>
    <col width="2.42578125" customWidth="1" min="19" max="19"/>
    <col width="23.85546875" customWidth="1" min="23" max="23"/>
  </cols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45935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45935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31.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17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17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11</v>
      </c>
      <c r="M3" s="103" t="n">
        <v>500000</v>
      </c>
      <c r="N3" s="102" t="n">
        <v>32000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6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11</v>
      </c>
      <c r="M4" s="103" t="n">
        <v>250000</v>
      </c>
      <c r="N4" s="106" t="n">
        <v>16000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6</v>
      </c>
      <c r="M5" s="1" t="n">
        <v>2000000</v>
      </c>
      <c r="N5" s="1" t="n">
        <v>190000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6</v>
      </c>
      <c r="M6" s="106" t="n">
        <v>500000</v>
      </c>
      <c r="N6" s="106" t="n">
        <v>52000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17.1</v>
      </c>
      <c r="M7" s="106" t="n">
        <v>500000</v>
      </c>
      <c r="N7" s="106" t="n">
        <v>3000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17</v>
      </c>
      <c r="M8" s="106" t="n">
        <v>1000000</v>
      </c>
      <c r="N8" s="106" t="n">
        <v>7000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17.1</v>
      </c>
      <c r="M9" s="106" t="n">
        <v>1000000</v>
      </c>
      <c r="N9" s="106" t="n">
        <v>12000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45935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45935</v>
      </c>
      <c r="J10" s="112" t="n"/>
      <c r="K10" s="1" t="n"/>
      <c r="L10" s="48" t="n">
        <v>14</v>
      </c>
      <c r="M10" s="106" t="n">
        <v>500000</v>
      </c>
      <c r="N10" s="106" t="n">
        <v>20000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1</v>
      </c>
      <c r="M11" s="106" t="n">
        <v>500000</v>
      </c>
      <c r="N11" s="106" t="n">
        <v>80000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17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17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1</v>
      </c>
      <c r="M12" s="106" t="n">
        <v>1000000</v>
      </c>
      <c r="N12" s="106" t="n">
        <v>160000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1.1</v>
      </c>
      <c r="M13" s="1" t="n">
        <v>1000000</v>
      </c>
      <c r="N13" s="1" t="n">
        <v>171000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6</v>
      </c>
      <c r="M14" s="106" t="n">
        <v>1000000</v>
      </c>
      <c r="N14" s="106" t="n">
        <v>106000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17</v>
      </c>
      <c r="M15" s="106" t="n">
        <v>500000</v>
      </c>
      <c r="N15" s="106" t="n">
        <v>6000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6.1</v>
      </c>
      <c r="M16" s="102" t="n">
        <v>1000000</v>
      </c>
      <c r="N16" s="106" t="n">
        <v>95000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SUM(I12:I13)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17</v>
      </c>
      <c r="M18" s="1" t="n">
        <v>250000</v>
      </c>
      <c r="N18" s="1" t="n">
        <v>3000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45935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45935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17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17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,D590)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581,I572,I563)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6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17.1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17.1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05">
        <f>SUM(O21,R21)</f>
        <v/>
      </c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05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45935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45935</v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17.1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6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14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14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17.1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45935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45935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11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17.1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17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6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45935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45935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17.1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14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45935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45935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17.1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1.1</v>
      </c>
      <c r="G57" s="97" t="n">
        <v>1000000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1</v>
      </c>
      <c r="B58" s="97" t="n">
        <v>1000000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6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37">
        <f>D545</f>
        <v/>
      </c>
      <c r="U62" s="105">
        <f>B538</f>
        <v/>
      </c>
      <c r="V62" s="1">
        <f>C538</f>
        <v/>
      </c>
      <c r="W62" s="105" t="n"/>
      <c r="X62" s="105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37">
        <f>D554</f>
        <v/>
      </c>
      <c r="U63" s="1">
        <f>B547</f>
        <v/>
      </c>
      <c r="V63" s="1">
        <f>C547</f>
        <v/>
      </c>
      <c r="W63" s="1" t="n"/>
      <c r="X63" s="137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45935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45935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05">
        <f>D563</f>
        <v/>
      </c>
      <c r="U64">
        <f>B556</f>
        <v/>
      </c>
      <c r="V64" s="1">
        <f>C556</f>
        <v/>
      </c>
      <c r="W64" s="1" t="n"/>
      <c r="X64" s="105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05">
        <f>D572</f>
        <v/>
      </c>
      <c r="U65" s="1">
        <f>B565</f>
        <v/>
      </c>
      <c r="V65" s="1">
        <f>C565</f>
        <v/>
      </c>
      <c r="W65" s="1" t="n"/>
      <c r="X65" s="105">
        <f>I572</f>
        <v/>
      </c>
      <c r="Y65" s="1">
        <f>G565</f>
        <v/>
      </c>
      <c r="Z65" s="1">
        <f>H565</f>
        <v/>
      </c>
    </row>
    <row r="66" ht="20.25" customHeight="1" thickBot="1" thickTop="1">
      <c r="A66" s="97" t="n">
        <v>17.1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17.1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05">
        <f>D581</f>
        <v/>
      </c>
      <c r="U66" s="1">
        <f>B574</f>
        <v/>
      </c>
      <c r="V66">
        <f>C574</f>
        <v/>
      </c>
      <c r="X66" s="105">
        <f>I581</f>
        <v/>
      </c>
      <c r="Y66" s="1">
        <f>G574</f>
        <v/>
      </c>
      <c r="Z66" s="1">
        <f>H574</f>
        <v/>
      </c>
    </row>
    <row r="67" ht="20.25" customHeight="1" thickBot="1" thickTop="1">
      <c r="A67" s="97" t="n">
        <v>6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6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37">
        <f>D590</f>
        <v/>
      </c>
      <c r="U67" s="1">
        <f>B583</f>
        <v/>
      </c>
      <c r="V67" s="1">
        <f>C583</f>
        <v/>
      </c>
      <c r="W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05">
        <f>SUM(T3:T67)</f>
        <v/>
      </c>
      <c r="U69" s="1" t="n"/>
      <c r="V69" s="1" t="n"/>
      <c r="W69" s="1" t="n"/>
      <c r="X69" s="105">
        <f>SUM(X3:X66)</f>
        <v/>
      </c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130">
        <f>SUM(T69,X69)</f>
        <v/>
      </c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45935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45935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17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1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17.1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1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1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1.1</v>
      </c>
      <c r="G77" s="97" t="n">
        <v>1000000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1.1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17.1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1.1</v>
      </c>
      <c r="B79" s="97" t="n">
        <v>1000000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6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11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17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13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17.1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17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17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17</v>
      </c>
      <c r="G82" s="97" t="n">
        <v>1000000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>
        <v>6</v>
      </c>
      <c r="B83" s="97" t="n">
        <v>2000000</v>
      </c>
      <c r="C83" s="97">
        <f>VLOOKUP(A83&amp;"|"&amp;B83,$O$3:$P$18,2,FALSE)</f>
        <v/>
      </c>
      <c r="D83" s="97">
        <f>VLOOKUP(A83&amp;"|"&amp;B83,$Q$3:$R$18,2,FALSE)</f>
        <v/>
      </c>
      <c r="E83" s="2" t="n"/>
      <c r="F83" s="97" t="n"/>
      <c r="G83" s="97" t="n"/>
      <c r="H83" s="97" t="n"/>
      <c r="I83" s="97" t="n"/>
      <c r="J83" s="1" t="n"/>
      <c r="K83" s="1" t="n"/>
      <c r="L83" s="112" t="n"/>
      <c r="M83" s="112" t="n"/>
      <c r="N83" s="112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45935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45935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17.1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17.1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1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6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6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45935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45935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17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17</v>
      </c>
      <c r="G98" s="97" t="n">
        <v>1000000</v>
      </c>
      <c r="H98" s="97" t="n">
        <v>700</v>
      </c>
      <c r="I98" s="97" t="n">
        <v>49200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6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17.1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1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45935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45935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17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17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17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6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45935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45935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17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17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1.1</v>
      </c>
      <c r="B117" s="97" t="n">
        <v>1000000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6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11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11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45935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45935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17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17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6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11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11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1.1</v>
      </c>
      <c r="G128" s="97" t="n">
        <v>1000000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/>
      <c r="G129" s="97" t="n"/>
      <c r="H129" s="97" t="n"/>
      <c r="I129" s="9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45935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45935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17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17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1</v>
      </c>
      <c r="B135" s="97" t="n">
        <v>1000000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45935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45935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17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1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11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1.1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14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1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45935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45935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1</v>
      </c>
      <c r="B152" s="97" t="n">
        <v>500000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17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14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1</v>
      </c>
      <c r="G154" s="97" t="n">
        <v>1000000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45935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45935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17.1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17.1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45935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45935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17.1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17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6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11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/>
      <c r="B172" s="97" t="n"/>
      <c r="C172" s="97" t="n"/>
      <c r="D172" s="97" t="n"/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45935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45935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6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17.1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14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45935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45935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1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17.1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17.1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45935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45935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17.1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17</v>
      </c>
      <c r="G197" s="97" t="n">
        <v>1000000</v>
      </c>
      <c r="H197" s="97" t="n">
        <v>700</v>
      </c>
      <c r="I197" s="97" t="n">
        <v>49200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6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45935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45935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 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17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1.1</v>
      </c>
      <c r="G206" s="97" t="n">
        <v>1000000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17.1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6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45935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45935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1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1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14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45935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45935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11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11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45935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45935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6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6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RUPARAMJI</t>
        </is>
      </c>
      <c r="C240" s="97" t="inlineStr">
        <is>
          <t>MIYAPUR</t>
        </is>
      </c>
      <c r="D240" s="9" t="n">
        <v>45935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45935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6</v>
      </c>
      <c r="B242" s="97" t="n">
        <v>1000000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1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/>
      <c r="B243" s="97" t="n"/>
      <c r="C243" s="97" t="n"/>
      <c r="D243" s="97" t="n"/>
      <c r="E243" s="2" t="n"/>
      <c r="F243" s="97" t="n">
        <v>6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14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14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>
        <v>1.1</v>
      </c>
      <c r="G246" s="97" t="n">
        <v>1000000</v>
      </c>
      <c r="H246" s="97">
        <f>VLOOKUP(F246&amp;"|"&amp;G246,$O$3:$P$16,2,FALSE)</f>
        <v/>
      </c>
      <c r="I246" s="97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45935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45935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1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11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1.1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45935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45935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17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1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6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/>
      <c r="G261" s="97" t="n"/>
      <c r="H261" s="97" t="n"/>
      <c r="I261" s="9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45935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45935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6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6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45935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45935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6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6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1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1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14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14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6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11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45935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45935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6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6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6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11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>
        <v>1</v>
      </c>
      <c r="B290" s="97" t="n">
        <v>1000000</v>
      </c>
      <c r="C290" s="97">
        <f>VLOOKUP(A290&amp;"|"&amp;B290,$O$3:$P$17,2,FALSE)</f>
        <v/>
      </c>
      <c r="D290" s="97">
        <f>VLOOKUP(A290&amp;"|"&amp;B290,$Q$3:$R$17,2,FALSE)</f>
        <v/>
      </c>
      <c r="E290" s="2" t="n"/>
      <c r="F290" s="97" t="n">
        <v>14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14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45935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45935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6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6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14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6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17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45935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45935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6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6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1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45935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45935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6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17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11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45935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45935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1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11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45935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45935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11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11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14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45935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45935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14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1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45935</v>
      </c>
      <c r="E349" s="2" t="n"/>
      <c r="F349" s="97" t="inlineStr">
        <is>
          <t>Name</t>
        </is>
      </c>
      <c r="G349" s="97" t="inlineStr">
        <is>
          <t>NEMJI</t>
        </is>
      </c>
      <c r="H349" s="97" t="inlineStr">
        <is>
          <t>SUCHITRA</t>
        </is>
      </c>
      <c r="I349" s="9" t="n">
        <v>45935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17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>
        <v>1</v>
      </c>
      <c r="G351" s="97" t="n">
        <v>500000</v>
      </c>
      <c r="H351" s="97">
        <f>VLOOKUP(F351&amp;"|"&amp;G351,$O$3:$P$16,2,FALSE)</f>
        <v/>
      </c>
      <c r="I351" s="97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45935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45935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6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14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>
        <v>1.1</v>
      </c>
      <c r="B361" s="97" t="n">
        <v>1000000</v>
      </c>
      <c r="C361" s="97">
        <f>VLOOKUP(A361&amp;"|"&amp;B361,$O$3:$P$16,2,FALSE)</f>
        <v/>
      </c>
      <c r="D361" s="97">
        <f>VLOOKUP(A361&amp;"|"&amp;B361,$Q$3:$R$16,2,FALSE)</f>
        <v/>
      </c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45935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45935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6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14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1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45935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45935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6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6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45935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45935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17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11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17.1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45935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45935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17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6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45935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45935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17.1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17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1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45935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45935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6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6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>
        <v>1</v>
      </c>
      <c r="G415" s="97" t="n">
        <v>500000</v>
      </c>
      <c r="H415" s="97">
        <f>VLOOKUP(F415&amp;"|"&amp;G415,$O$3:$P$16,2,FALSE)</f>
        <v/>
      </c>
      <c r="I415" s="97">
        <f>VLOOKUP(F415&amp;"|"&amp;G415,$Q$3:$R$16,2,FALSE)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45935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45935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6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6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45935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45935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6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6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45935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45935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1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6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45935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45935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1</v>
      </c>
      <c r="B450" s="97" t="n">
        <v>1000000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1.1</v>
      </c>
      <c r="G450" s="97" t="n">
        <v>1000000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45935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45935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17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6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6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45935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45935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17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17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1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45935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45935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17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45935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45935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14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6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14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45935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45935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11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11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11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6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1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45935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45935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6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6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45935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45935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6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6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45935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45935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17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6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6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45935</v>
      </c>
      <c r="F529" s="12" t="inlineStr">
        <is>
          <t>NAME</t>
        </is>
      </c>
      <c r="G529" s="12" t="inlineStr">
        <is>
          <t>KANJI</t>
        </is>
      </c>
      <c r="H529" s="12" t="inlineStr">
        <is>
          <t>SNG REDDY</t>
        </is>
      </c>
      <c r="I529" s="9" t="n">
        <v>45935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  <c r="F530" s="97" t="inlineStr">
        <is>
          <t>Month</t>
        </is>
      </c>
      <c r="G530" s="97" t="inlineStr">
        <is>
          <t>Plan</t>
        </is>
      </c>
      <c r="H530" s="97" t="inlineStr">
        <is>
          <t>Commission</t>
        </is>
      </c>
      <c r="I530" s="97" t="inlineStr">
        <is>
          <t>Amount</t>
        </is>
      </c>
    </row>
    <row r="531" ht="20.25" customHeight="1" thickBot="1" thickTop="1">
      <c r="A531" s="97" t="n">
        <v>1</v>
      </c>
      <c r="B531" s="97" t="n">
        <v>1000000</v>
      </c>
      <c r="C531" s="97">
        <f>VLOOKUP(A531&amp;"|"&amp;B531,$O$3:$P$17,2,FALSE)</f>
        <v/>
      </c>
      <c r="D531" s="97">
        <f>VLOOKUP(A531&amp;"|"&amp;B531,$Q$3:$R$17,2,FALSE)</f>
        <v/>
      </c>
      <c r="F531" s="97" t="n">
        <v>6</v>
      </c>
      <c r="G531" s="97" t="n">
        <v>2000000</v>
      </c>
      <c r="H531" s="97">
        <f>VLOOKUP(F531&amp;"|"&amp;G531,$O$3:$P$17,2,FALSE)</f>
        <v/>
      </c>
      <c r="I531" s="97">
        <f>VLOOKUP(F531&amp;"|"&amp;G531,$Q$3:$R$17,2,FALSE)</f>
        <v/>
      </c>
    </row>
    <row r="532" ht="20.25" customHeight="1" thickBot="1" thickTop="1">
      <c r="A532" s="97" t="n">
        <v>1</v>
      </c>
      <c r="B532" s="97" t="n">
        <v>1000000</v>
      </c>
      <c r="C532" s="97">
        <f>VLOOKUP(A532&amp;"|"&amp;B532,$O$3:$P$17,2,FALSE)</f>
        <v/>
      </c>
      <c r="D532" s="97">
        <f>VLOOKUP(A531&amp;"|"&amp;B531,$Q$3:$R$17,2,FALSE)</f>
        <v/>
      </c>
      <c r="F532" s="97" t="n"/>
      <c r="G532" s="97" t="n"/>
      <c r="H532" s="97" t="n"/>
      <c r="I532" s="97" t="n"/>
    </row>
    <row r="533" ht="20.25" customHeight="1" thickBot="1" thickTop="1">
      <c r="A533" s="97" t="n"/>
      <c r="B533" s="97" t="n"/>
      <c r="C533" s="97" t="n"/>
      <c r="D533" s="97" t="n"/>
      <c r="F533" s="97" t="n"/>
      <c r="G533" s="97" t="n"/>
      <c r="H533" s="97" t="n"/>
      <c r="I533" s="97" t="n"/>
    </row>
    <row r="534" ht="20.25" customHeight="1" thickBot="1" thickTop="1">
      <c r="A534" s="97" t="n"/>
      <c r="B534" s="97" t="n"/>
      <c r="C534" s="97" t="n"/>
      <c r="D534" s="97" t="n"/>
      <c r="F534" s="97" t="n"/>
      <c r="G534" s="97" t="n"/>
      <c r="H534" s="97" t="n"/>
      <c r="I534" s="97" t="n"/>
    </row>
    <row r="535" ht="20.25" customHeight="1" thickBot="1" thickTop="1">
      <c r="A535" s="97" t="n"/>
      <c r="B535" s="97" t="n"/>
      <c r="C535" s="97" t="n"/>
      <c r="D535" s="97" t="n"/>
      <c r="F535" s="97" t="n"/>
      <c r="G535" s="97" t="n"/>
      <c r="H535" s="97" t="n"/>
      <c r="I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  <c r="F536" s="81" t="inlineStr">
        <is>
          <t>TOTAL PAYABLE</t>
        </is>
      </c>
      <c r="G536" s="82" t="n"/>
      <c r="H536" s="83" t="n"/>
      <c r="I536" s="97">
        <f>SUM(I531:I535)</f>
        <v/>
      </c>
    </row>
    <row r="537" ht="16.5" customHeight="1" thickBot="1" thickTop="1"/>
    <row r="538" ht="20.25" customHeight="1" thickBot="1" thickTop="1">
      <c r="A538" s="12" t="inlineStr">
        <is>
          <t>NAME</t>
        </is>
      </c>
      <c r="B538" s="12" t="inlineStr">
        <is>
          <t xml:space="preserve">GOTAMJI </t>
        </is>
      </c>
      <c r="C538" s="12" t="inlineStr">
        <is>
          <t>RR ROAD</t>
        </is>
      </c>
      <c r="D538" s="9" t="n">
        <v>45935</v>
      </c>
      <c r="F538" s="12" t="inlineStr">
        <is>
          <t>NAME</t>
        </is>
      </c>
      <c r="G538" s="12" t="inlineStr">
        <is>
          <t>SOHANJI</t>
        </is>
      </c>
      <c r="H538" s="12" t="inlineStr">
        <is>
          <t>RR ROAD</t>
        </is>
      </c>
      <c r="I538" s="9" t="n">
        <v>45935</v>
      </c>
    </row>
    <row r="539" ht="20.25" customHeight="1" thickBot="1" thickTop="1">
      <c r="A539" s="97" t="inlineStr">
        <is>
          <t>Month</t>
        </is>
      </c>
      <c r="B539" s="97" t="inlineStr">
        <is>
          <t>Plan</t>
        </is>
      </c>
      <c r="C539" s="97" t="inlineStr">
        <is>
          <t>Commission</t>
        </is>
      </c>
      <c r="D539" s="97" t="inlineStr">
        <is>
          <t>Amount</t>
        </is>
      </c>
      <c r="F539" s="97" t="inlineStr">
        <is>
          <t>Month</t>
        </is>
      </c>
      <c r="G539" s="97" t="inlineStr">
        <is>
          <t>Plan</t>
        </is>
      </c>
      <c r="H539" s="97" t="inlineStr">
        <is>
          <t>Commission</t>
        </is>
      </c>
      <c r="I539" s="97" t="inlineStr">
        <is>
          <t>Amount</t>
        </is>
      </c>
    </row>
    <row r="540" ht="20.25" customHeight="1" thickBot="1" thickTop="1">
      <c r="A540" s="97" t="n">
        <v>1.1</v>
      </c>
      <c r="B540" s="97" t="n">
        <v>1000000</v>
      </c>
      <c r="C540" s="97">
        <f>VLOOKUP(A540&amp;"|"&amp;B540,$O$3:$P$17,2,FALSE)</f>
        <v/>
      </c>
      <c r="D540" s="97">
        <f>VLOOKUP(A540&amp;"|"&amp;B540,$Q$3:$R$17,2,FALSE)</f>
        <v/>
      </c>
      <c r="F540" s="97" t="n">
        <v>1</v>
      </c>
      <c r="G540" s="97" t="n">
        <v>1000000</v>
      </c>
      <c r="H540" s="97">
        <f>VLOOKUP(F540&amp;"|"&amp;G540,$O$3:$P$17,2,FALSE)</f>
        <v/>
      </c>
      <c r="I540" s="97">
        <f>VLOOKUP(F540&amp;"|"&amp;G540,$Q$3:$R$17,2,FALSE)</f>
        <v/>
      </c>
    </row>
    <row r="541" ht="20.25" customHeight="1" thickBot="1" thickTop="1">
      <c r="A541" s="97" t="n"/>
      <c r="B541" s="97" t="n"/>
      <c r="C541" s="97" t="n"/>
      <c r="D541" s="97" t="n"/>
      <c r="F541" s="97" t="n">
        <v>1.1</v>
      </c>
      <c r="G541" s="97" t="n">
        <v>1000000</v>
      </c>
      <c r="H541" s="97">
        <f>VLOOKUP(F541&amp;"|"&amp;G541,$O$3:$P$17,2,FALSE)</f>
        <v/>
      </c>
      <c r="I541" s="97" t="n"/>
    </row>
    <row r="542" ht="20.25" customHeight="1" thickBot="1" thickTop="1">
      <c r="A542" s="97" t="n"/>
      <c r="B542" s="97" t="n"/>
      <c r="C542" s="97" t="n"/>
      <c r="D542" s="97" t="n"/>
      <c r="F542" s="97" t="n"/>
      <c r="G542" s="97" t="n"/>
      <c r="H542" s="97" t="n"/>
      <c r="I542" s="97" t="n"/>
    </row>
    <row r="543" ht="20.25" customHeight="1" thickBot="1" thickTop="1">
      <c r="A543" s="97" t="n"/>
      <c r="B543" s="97" t="n"/>
      <c r="C543" s="97" t="n"/>
      <c r="D543" s="97" t="n"/>
      <c r="F543" s="97" t="n"/>
      <c r="G543" s="97" t="n"/>
      <c r="H543" s="97" t="n"/>
      <c r="I543" s="97" t="n"/>
    </row>
    <row r="544" ht="20.25" customHeight="1" thickBot="1" thickTop="1">
      <c r="A544" s="97" t="n"/>
      <c r="B544" s="97" t="n"/>
      <c r="C544" s="97" t="n"/>
      <c r="D544" s="97" t="n"/>
      <c r="F544" s="97" t="n"/>
      <c r="G544" s="97" t="n"/>
      <c r="H544" s="97" t="n"/>
      <c r="I544" s="97" t="n"/>
    </row>
    <row r="545" ht="20.25" customHeight="1" thickBot="1" thickTop="1">
      <c r="A545" s="81" t="inlineStr">
        <is>
          <t>TOTAL PAYABLE</t>
        </is>
      </c>
      <c r="B545" s="82" t="n"/>
      <c r="C545" s="83" t="n"/>
      <c r="D545" s="97">
        <f>SUM(D540:D544)</f>
        <v/>
      </c>
      <c r="F545" s="81" t="inlineStr">
        <is>
          <t>TOTAL PAYABLE</t>
        </is>
      </c>
      <c r="G545" s="82" t="n"/>
      <c r="H545" s="83" t="n"/>
      <c r="I545" s="97">
        <f>SUM(I540:I544)</f>
        <v/>
      </c>
    </row>
    <row r="546" ht="16.5" customHeight="1" thickBot="1" thickTop="1"/>
    <row r="547" ht="20.25" customHeight="1" thickBot="1" thickTop="1">
      <c r="A547" s="12" t="inlineStr">
        <is>
          <t>NAME</t>
        </is>
      </c>
      <c r="B547" s="12" t="inlineStr">
        <is>
          <t>TEJAJAMJI</t>
        </is>
      </c>
      <c r="C547" s="12" t="inlineStr">
        <is>
          <t>YELMBNDA</t>
        </is>
      </c>
      <c r="D547" s="9" t="n">
        <v>45935</v>
      </c>
      <c r="F547" s="12" t="inlineStr">
        <is>
          <t>NAME</t>
        </is>
      </c>
      <c r="G547" s="12" t="n"/>
      <c r="H547" s="12" t="n"/>
      <c r="I547" s="9" t="n">
        <v>45935</v>
      </c>
    </row>
    <row r="548" ht="20.25" customHeight="1" thickBot="1" thickTop="1">
      <c r="A548" s="97" t="inlineStr">
        <is>
          <t>Month</t>
        </is>
      </c>
      <c r="B548" s="97" t="inlineStr">
        <is>
          <t>Plan</t>
        </is>
      </c>
      <c r="C548" s="97" t="inlineStr">
        <is>
          <t>Commission</t>
        </is>
      </c>
      <c r="D548" s="97" t="inlineStr">
        <is>
          <t>Amount</t>
        </is>
      </c>
      <c r="F548" s="97" t="inlineStr">
        <is>
          <t>Month</t>
        </is>
      </c>
      <c r="G548" s="97" t="inlineStr">
        <is>
          <t>Plan</t>
        </is>
      </c>
      <c r="H548" s="97" t="inlineStr">
        <is>
          <t>Commission</t>
        </is>
      </c>
      <c r="I548" s="97" t="inlineStr">
        <is>
          <t>Amount</t>
        </is>
      </c>
    </row>
    <row r="549" ht="20.25" customHeight="1" thickBot="1" thickTop="1">
      <c r="A549" s="97" t="n">
        <v>1.1</v>
      </c>
      <c r="B549" s="97" t="n">
        <v>1000000</v>
      </c>
      <c r="C549" s="97">
        <f>VLOOKUP(A549&amp;"|"&amp;B549,$O$3:$P$17,2,FALSE)</f>
        <v/>
      </c>
      <c r="D549" s="97">
        <f>VLOOKUP(A549&amp;"|"&amp;B549,$Q$3:$R$17,2,FALSE)</f>
        <v/>
      </c>
      <c r="F549" s="97" t="n">
        <v>1.1</v>
      </c>
      <c r="G549" s="97" t="n">
        <v>1000000</v>
      </c>
      <c r="H549" s="97">
        <f>VLOOKUP(F549&amp;"|"&amp;G549,$O$3:$P$17,2,FALSE)</f>
        <v/>
      </c>
      <c r="I549" s="97">
        <f>VLOOKUP(F549&amp;"|"&amp;G549,$Q$3:$R$17,2,FALSE)</f>
        <v/>
      </c>
    </row>
    <row r="550" ht="20.25" customHeight="1" thickBot="1" thickTop="1">
      <c r="A550" s="97" t="n"/>
      <c r="B550" s="97" t="n"/>
      <c r="C550" s="97" t="n"/>
      <c r="D550" s="97" t="n"/>
      <c r="F550" s="97" t="n"/>
      <c r="G550" s="97" t="n"/>
      <c r="H550" s="97" t="n"/>
      <c r="I550" s="97" t="n"/>
    </row>
    <row r="551" ht="20.25" customHeight="1" thickBot="1" thickTop="1">
      <c r="A551" s="97" t="n"/>
      <c r="B551" s="97" t="n"/>
      <c r="C551" s="97" t="n"/>
      <c r="D551" s="97" t="n"/>
      <c r="F551" s="97" t="n"/>
      <c r="G551" s="97" t="n"/>
      <c r="H551" s="97" t="n"/>
      <c r="I551" s="97" t="n"/>
    </row>
    <row r="552" ht="20.25" customHeight="1" thickBot="1" thickTop="1">
      <c r="A552" s="97" t="n"/>
      <c r="B552" s="97" t="n"/>
      <c r="C552" s="97" t="n"/>
      <c r="D552" s="97" t="n"/>
      <c r="F552" s="97" t="n"/>
      <c r="G552" s="97" t="n"/>
      <c r="H552" s="97" t="n"/>
      <c r="I552" s="97" t="n"/>
    </row>
    <row r="553" ht="20.25" customHeight="1" thickBot="1" thickTop="1">
      <c r="A553" s="97" t="n"/>
      <c r="B553" s="97" t="n"/>
      <c r="C553" s="97" t="n"/>
      <c r="D553" s="97" t="n"/>
      <c r="F553" s="97" t="n"/>
      <c r="G553" s="97" t="n"/>
      <c r="H553" s="97" t="n"/>
      <c r="I553" s="97" t="n"/>
    </row>
    <row r="554" ht="20.25" customHeight="1" thickBot="1" thickTop="1">
      <c r="A554" s="81" t="inlineStr">
        <is>
          <t>TOTAL PAYABLE</t>
        </is>
      </c>
      <c r="B554" s="82" t="n"/>
      <c r="C554" s="83" t="n"/>
      <c r="D554" s="97">
        <f>SUM(D549:D553)</f>
        <v/>
      </c>
      <c r="F554" s="81" t="inlineStr">
        <is>
          <t>TOTAL PAYABLE</t>
        </is>
      </c>
      <c r="G554" s="82" t="n"/>
      <c r="H554" s="83" t="n"/>
      <c r="I554" s="97">
        <f>SUM(I549:I553)</f>
        <v/>
      </c>
    </row>
    <row r="555" ht="16.5" customHeight="1" thickBot="1" thickTop="1"/>
    <row r="556" ht="20.25" customHeight="1" thickBot="1" thickTop="1">
      <c r="A556" s="12" t="inlineStr">
        <is>
          <t>NAME</t>
        </is>
      </c>
      <c r="B556" s="12" t="inlineStr">
        <is>
          <t>MOHANJI</t>
        </is>
      </c>
      <c r="C556" s="12" t="inlineStr">
        <is>
          <t>CHINTAL</t>
        </is>
      </c>
      <c r="D556" s="9" t="n">
        <v>45935</v>
      </c>
      <c r="F556" s="12" t="inlineStr">
        <is>
          <t>NAME</t>
        </is>
      </c>
      <c r="G556" s="12" t="n"/>
      <c r="H556" s="12" t="n"/>
      <c r="I556" s="9" t="n">
        <v>45935</v>
      </c>
    </row>
    <row r="557" ht="20.25" customHeight="1" thickBot="1" thickTop="1">
      <c r="A557" s="97" t="inlineStr">
        <is>
          <t>Month</t>
        </is>
      </c>
      <c r="B557" s="97" t="inlineStr">
        <is>
          <t>Plan</t>
        </is>
      </c>
      <c r="C557" s="97" t="inlineStr">
        <is>
          <t>Commission</t>
        </is>
      </c>
      <c r="D557" s="97" t="inlineStr">
        <is>
          <t>Amount</t>
        </is>
      </c>
      <c r="F557" s="97" t="inlineStr">
        <is>
          <t>Month</t>
        </is>
      </c>
      <c r="G557" s="97" t="inlineStr">
        <is>
          <t>Plan</t>
        </is>
      </c>
      <c r="H557" s="97" t="inlineStr">
        <is>
          <t>Commission</t>
        </is>
      </c>
      <c r="I557" s="97" t="inlineStr">
        <is>
          <t>Amount</t>
        </is>
      </c>
    </row>
    <row r="558" ht="20.25" customHeight="1" thickBot="1" thickTop="1">
      <c r="A558" s="97" t="n">
        <v>1.1</v>
      </c>
      <c r="B558" s="97" t="n">
        <v>1000000</v>
      </c>
      <c r="C558" s="97">
        <f>VLOOKUP(A558&amp;"|"&amp;B558,$O$3:$P$17,2,FALSE)</f>
        <v/>
      </c>
      <c r="D558" s="97">
        <f>VLOOKUP(A558&amp;"|"&amp;B558,$Q$3:$R$17,2,FALSE)</f>
        <v/>
      </c>
      <c r="F558" s="97" t="n">
        <v>1.1</v>
      </c>
      <c r="G558" s="97" t="n">
        <v>1000000</v>
      </c>
      <c r="H558" s="97">
        <f>VLOOKUP(F558&amp;"|"&amp;G558,$O$3:$P$17,2,FALSE)</f>
        <v/>
      </c>
      <c r="I558" s="97">
        <f>VLOOKUP(F558&amp;"|"&amp;G558,$Q$3:$R$17,2,FALSE)</f>
        <v/>
      </c>
    </row>
    <row r="559" ht="20.25" customHeight="1" thickBot="1" thickTop="1">
      <c r="A559" s="97" t="n"/>
      <c r="B559" s="97" t="n"/>
      <c r="C559" s="97" t="n"/>
      <c r="D559" s="97" t="n"/>
      <c r="F559" s="97" t="n"/>
      <c r="G559" s="97" t="n"/>
      <c r="H559" s="97" t="n"/>
      <c r="I559" s="97" t="n"/>
    </row>
    <row r="560" ht="20.25" customHeight="1" thickBot="1" thickTop="1">
      <c r="A560" s="97" t="n"/>
      <c r="B560" s="97" t="n"/>
      <c r="C560" s="97" t="n"/>
      <c r="D560" s="97" t="n"/>
      <c r="F560" s="97" t="n"/>
      <c r="G560" s="97" t="n"/>
      <c r="H560" s="97" t="n"/>
      <c r="I560" s="97" t="n"/>
    </row>
    <row r="561" ht="20.25" customHeight="1" thickBot="1" thickTop="1">
      <c r="A561" s="97" t="n"/>
      <c r="B561" s="97" t="n"/>
      <c r="C561" s="97" t="n"/>
      <c r="D561" s="97" t="n"/>
      <c r="F561" s="97" t="n"/>
      <c r="G561" s="97" t="n"/>
      <c r="H561" s="97" t="n"/>
      <c r="I561" s="97" t="n"/>
    </row>
    <row r="562" ht="20.25" customHeight="1" thickBot="1" thickTop="1">
      <c r="A562" s="97" t="n"/>
      <c r="B562" s="97" t="n"/>
      <c r="C562" s="97" t="n"/>
      <c r="D562" s="97" t="n"/>
      <c r="F562" s="97" t="n"/>
      <c r="G562" s="97" t="n"/>
      <c r="H562" s="97" t="n"/>
      <c r="I562" s="97" t="n"/>
    </row>
    <row r="563" ht="20.25" customHeight="1" thickBot="1" thickTop="1">
      <c r="A563" s="81" t="inlineStr">
        <is>
          <t>TOTAL PAYABLE</t>
        </is>
      </c>
      <c r="B563" s="82" t="n"/>
      <c r="C563" s="83" t="n"/>
      <c r="D563" s="97">
        <f>SUM(D558:D562)</f>
        <v/>
      </c>
      <c r="F563" s="81" t="inlineStr">
        <is>
          <t>TOTAL PAYABLE</t>
        </is>
      </c>
      <c r="G563" s="82" t="n"/>
      <c r="H563" s="83" t="n"/>
      <c r="I563" s="97">
        <f>SUM(I558:I562)</f>
        <v/>
      </c>
    </row>
    <row r="564" ht="16.5" customHeight="1" thickBot="1" thickTop="1"/>
    <row r="565" ht="20.25" customHeight="1" thickBot="1" thickTop="1">
      <c r="A565" s="12" t="inlineStr">
        <is>
          <t>NAME</t>
        </is>
      </c>
      <c r="B565" s="12" t="n"/>
      <c r="C565" s="12" t="n"/>
      <c r="D565" s="9" t="n">
        <v>45935</v>
      </c>
      <c r="F565" s="12" t="inlineStr">
        <is>
          <t>NAME</t>
        </is>
      </c>
      <c r="G565" s="12" t="inlineStr">
        <is>
          <t>MOHANJI</t>
        </is>
      </c>
      <c r="H565" s="12" t="inlineStr">
        <is>
          <t>AMINPUR</t>
        </is>
      </c>
      <c r="I565" s="9" t="n">
        <v>45935</v>
      </c>
    </row>
    <row r="566" ht="20.25" customHeight="1" thickBot="1" thickTop="1">
      <c r="A566" s="97" t="inlineStr">
        <is>
          <t>Month</t>
        </is>
      </c>
      <c r="B566" s="97" t="inlineStr">
        <is>
          <t>Plan</t>
        </is>
      </c>
      <c r="C566" s="97" t="inlineStr">
        <is>
          <t>Commission</t>
        </is>
      </c>
      <c r="D566" s="97" t="inlineStr">
        <is>
          <t>Amount</t>
        </is>
      </c>
      <c r="F566" s="97" t="inlineStr">
        <is>
          <t>Month</t>
        </is>
      </c>
      <c r="G566" s="97" t="inlineStr">
        <is>
          <t>Plan</t>
        </is>
      </c>
      <c r="H566" s="97" t="inlineStr">
        <is>
          <t>Commission</t>
        </is>
      </c>
      <c r="I566" s="97" t="inlineStr">
        <is>
          <t>Amount</t>
        </is>
      </c>
    </row>
    <row r="567" ht="20.25" customHeight="1" thickBot="1" thickTop="1">
      <c r="A567" s="97" t="n">
        <v>1</v>
      </c>
      <c r="B567" s="97" t="n">
        <v>1000000</v>
      </c>
      <c r="C567" s="97">
        <f>VLOOKUP(A567&amp;"|"&amp;B567,$O$3:$P$17,2,FALSE)</f>
        <v/>
      </c>
      <c r="D567" s="97">
        <f>VLOOKUP(A567&amp;"|"&amp;B567,$Q$3:$R$17,2,FALSE)</f>
        <v/>
      </c>
      <c r="F567" s="97" t="n">
        <v>1</v>
      </c>
      <c r="G567" s="97" t="n">
        <v>500000</v>
      </c>
      <c r="H567" s="97">
        <f>VLOOKUP(F567&amp;"|"&amp;G567,$O$3:$P$17,2,FALSE)</f>
        <v/>
      </c>
      <c r="I567" s="97">
        <f>VLOOKUP(F567&amp;"|"&amp;G567,$Q$3:$R$17,2,FALSE)</f>
        <v/>
      </c>
    </row>
    <row r="568" ht="20.25" customHeight="1" thickBot="1" thickTop="1">
      <c r="A568" s="97" t="n"/>
      <c r="B568" s="97" t="n"/>
      <c r="C568" s="97" t="n"/>
      <c r="D568" s="97" t="n"/>
      <c r="F568" s="97" t="n"/>
      <c r="G568" s="97" t="n"/>
      <c r="H568" s="97" t="n"/>
      <c r="I568" s="97" t="n"/>
    </row>
    <row r="569" ht="20.25" customHeight="1" thickBot="1" thickTop="1">
      <c r="A569" s="97" t="n"/>
      <c r="B569" s="97" t="n"/>
      <c r="C569" s="97" t="n"/>
      <c r="D569" s="97" t="n"/>
      <c r="F569" s="97" t="n"/>
      <c r="G569" s="97" t="n"/>
      <c r="H569" s="97" t="n"/>
      <c r="I569" s="97" t="n"/>
    </row>
    <row r="570" ht="20.25" customHeight="1" thickBot="1" thickTop="1">
      <c r="A570" s="97" t="n"/>
      <c r="B570" s="97" t="n"/>
      <c r="C570" s="97" t="n"/>
      <c r="D570" s="97" t="n"/>
      <c r="F570" s="97" t="n"/>
      <c r="G570" s="97" t="n"/>
      <c r="H570" s="97" t="n"/>
      <c r="I570" s="97" t="n"/>
    </row>
    <row r="571" ht="20.25" customHeight="1" thickBot="1" thickTop="1">
      <c r="A571" s="97" t="n"/>
      <c r="B571" s="97" t="n"/>
      <c r="C571" s="97" t="n"/>
      <c r="D571" s="97" t="n"/>
      <c r="F571" s="97" t="n"/>
      <c r="G571" s="97" t="n"/>
      <c r="H571" s="97" t="n"/>
      <c r="I571" s="97" t="n"/>
    </row>
    <row r="572" ht="20.25" customHeight="1" thickBot="1" thickTop="1">
      <c r="A572" s="81" t="inlineStr">
        <is>
          <t>TOTAL PAYABLE</t>
        </is>
      </c>
      <c r="B572" s="82" t="n"/>
      <c r="C572" s="83" t="n"/>
      <c r="D572" s="97">
        <f>SUM(D567:D571)</f>
        <v/>
      </c>
      <c r="F572" s="81" t="inlineStr">
        <is>
          <t>TOTAL PAYABLE</t>
        </is>
      </c>
      <c r="G572" s="82" t="n"/>
      <c r="H572" s="83" t="n"/>
      <c r="I572" s="97">
        <f>SUM(I567:I571)</f>
        <v/>
      </c>
    </row>
    <row r="573" ht="16.5" customHeight="1" thickBot="1" thickTop="1"/>
    <row r="574" ht="20.25" customHeight="1" thickBot="1" thickTop="1">
      <c r="A574" s="12" t="inlineStr">
        <is>
          <t>NAME</t>
        </is>
      </c>
      <c r="B574" s="12" t="inlineStr">
        <is>
          <t>PUNAMJI</t>
        </is>
      </c>
      <c r="C574" s="12" t="inlineStr">
        <is>
          <t>BADURPLY</t>
        </is>
      </c>
      <c r="D574" s="9" t="n">
        <v>45935</v>
      </c>
      <c r="F574" s="12" t="inlineStr">
        <is>
          <t>NAME</t>
        </is>
      </c>
      <c r="G574" s="12" t="n"/>
      <c r="H574" s="12" t="n"/>
      <c r="I574" s="9" t="n">
        <v>45935</v>
      </c>
    </row>
    <row r="575" ht="20.25" customHeight="1" thickBot="1" thickTop="1">
      <c r="A575" s="97" t="inlineStr">
        <is>
          <t>Month</t>
        </is>
      </c>
      <c r="B575" s="97" t="inlineStr">
        <is>
          <t>Plan</t>
        </is>
      </c>
      <c r="C575" s="97" t="inlineStr">
        <is>
          <t>Commission</t>
        </is>
      </c>
      <c r="D575" s="97" t="inlineStr">
        <is>
          <t>Amount</t>
        </is>
      </c>
      <c r="F575" s="97" t="inlineStr">
        <is>
          <t>Month</t>
        </is>
      </c>
      <c r="G575" s="97" t="inlineStr">
        <is>
          <t>Plan</t>
        </is>
      </c>
      <c r="H575" s="97" t="inlineStr">
        <is>
          <t>Commission</t>
        </is>
      </c>
      <c r="I575" s="97" t="inlineStr">
        <is>
          <t>Amount</t>
        </is>
      </c>
    </row>
    <row r="576" ht="20.25" customHeight="1" thickBot="1" thickTop="1">
      <c r="A576" s="97" t="n">
        <v>1</v>
      </c>
      <c r="B576" s="97" t="n">
        <v>500000</v>
      </c>
      <c r="C576" s="97">
        <f>VLOOKUP(A576&amp;"|"&amp;B576,$O$3:$P$17,2,FALSE)</f>
        <v/>
      </c>
      <c r="D576" s="97">
        <f>VLOOKUP(A576&amp;"|"&amp;B576,$Q$3:$R$17,2,FALSE)</f>
        <v/>
      </c>
      <c r="F576" s="97" t="n">
        <v>1</v>
      </c>
      <c r="G576" s="97" t="n">
        <v>500000</v>
      </c>
      <c r="H576" s="97">
        <f>VLOOKUP(F576&amp;"|"&amp;G576,$O$3:$P$17,2,FALSE)</f>
        <v/>
      </c>
      <c r="I576" s="97">
        <f>VLOOKUP(F576&amp;"|"&amp;G576,$Q$3:$R$17,2,FALSE)</f>
        <v/>
      </c>
    </row>
    <row r="577" ht="20.25" customHeight="1" thickBot="1" thickTop="1">
      <c r="A577" s="97" t="n"/>
      <c r="B577" s="97" t="n"/>
      <c r="C577" s="97" t="n"/>
      <c r="D577" s="97" t="n"/>
      <c r="F577" s="97" t="n"/>
      <c r="G577" s="97" t="n"/>
      <c r="H577" s="97" t="n"/>
      <c r="I577" s="97" t="n"/>
    </row>
    <row r="578" ht="20.25" customHeight="1" thickBot="1" thickTop="1">
      <c r="A578" s="97" t="n"/>
      <c r="B578" s="97" t="n"/>
      <c r="C578" s="97" t="n"/>
      <c r="D578" s="97" t="n"/>
      <c r="F578" s="97" t="n"/>
      <c r="G578" s="97" t="n"/>
      <c r="H578" s="97" t="n"/>
      <c r="I578" s="97" t="n"/>
    </row>
    <row r="579" ht="20.25" customHeight="1" thickBot="1" thickTop="1">
      <c r="A579" s="97" t="n"/>
      <c r="B579" s="97" t="n"/>
      <c r="C579" s="97" t="n"/>
      <c r="D579" s="97" t="n"/>
      <c r="F579" s="97" t="n"/>
      <c r="G579" s="97" t="n"/>
      <c r="H579" s="97" t="n"/>
      <c r="I579" s="97" t="n"/>
    </row>
    <row r="580" ht="20.25" customHeight="1" thickBot="1" thickTop="1">
      <c r="A580" s="97" t="n"/>
      <c r="B580" s="97" t="n"/>
      <c r="C580" s="97" t="n"/>
      <c r="D580" s="97" t="n"/>
      <c r="F580" s="97" t="n"/>
      <c r="G580" s="97" t="n"/>
      <c r="H580" s="97" t="n"/>
      <c r="I580" s="97" t="n"/>
    </row>
    <row r="581" ht="20.25" customHeight="1" thickBot="1" thickTop="1">
      <c r="A581" s="81" t="inlineStr">
        <is>
          <t>TOTAL PAYABLE</t>
        </is>
      </c>
      <c r="B581" s="82" t="n"/>
      <c r="C581" s="83" t="n"/>
      <c r="D581" s="97">
        <f>SUM(D576:D580)</f>
        <v/>
      </c>
      <c r="F581" s="81" t="inlineStr">
        <is>
          <t>TOTAL PAYABLE</t>
        </is>
      </c>
      <c r="G581" s="82" t="n"/>
      <c r="H581" s="83" t="n"/>
      <c r="I581" s="97">
        <f>SUM(I576:I580)</f>
        <v/>
      </c>
    </row>
    <row r="582" ht="16.5" customHeight="1" thickBot="1" thickTop="1"/>
    <row r="583" ht="20.25" customHeight="1" thickBot="1" thickTop="1">
      <c r="A583" s="12" t="inlineStr">
        <is>
          <t>NAME</t>
        </is>
      </c>
      <c r="B583" s="12" t="inlineStr">
        <is>
          <t>MANGILALJI</t>
        </is>
      </c>
      <c r="C583" s="12" t="inlineStr">
        <is>
          <t>RAMARAM</t>
        </is>
      </c>
      <c r="D583" s="9" t="n">
        <v>45935</v>
      </c>
    </row>
    <row r="584" ht="20.25" customHeight="1" thickBot="1" thickTop="1">
      <c r="A584" s="97" t="inlineStr">
        <is>
          <t>Month</t>
        </is>
      </c>
      <c r="B584" s="97" t="inlineStr">
        <is>
          <t>Plan</t>
        </is>
      </c>
      <c r="C584" s="97" t="inlineStr">
        <is>
          <t>Commission</t>
        </is>
      </c>
      <c r="D584" s="97" t="inlineStr">
        <is>
          <t>Amount</t>
        </is>
      </c>
    </row>
    <row r="585" ht="20.25" customHeight="1" thickBot="1" thickTop="1">
      <c r="A585" s="97" t="n">
        <v>1</v>
      </c>
      <c r="B585" s="97" t="n">
        <v>500000</v>
      </c>
      <c r="C585" s="97">
        <f>VLOOKUP(A585&amp;"|"&amp;B585,$O$3:$P$17,2,FALSE)</f>
        <v/>
      </c>
      <c r="D585" s="97">
        <f>VLOOKUP(A585&amp;"|"&amp;B585,$Q$3:$R$17,2,FALSE)</f>
        <v/>
      </c>
    </row>
    <row r="586" ht="20.25" customHeight="1" thickBot="1" thickTop="1">
      <c r="A586" s="97" t="n"/>
      <c r="B586" s="97" t="n"/>
      <c r="C586" s="97" t="n"/>
      <c r="D586" s="97" t="n"/>
    </row>
    <row r="587" ht="20.25" customHeight="1" thickBot="1" thickTop="1">
      <c r="A587" s="97" t="n"/>
      <c r="B587" s="97" t="n"/>
      <c r="C587" s="97" t="n"/>
      <c r="D587" s="97" t="n"/>
    </row>
    <row r="588" ht="20.25" customHeight="1" thickBot="1" thickTop="1">
      <c r="A588" s="97" t="n"/>
      <c r="B588" s="97" t="n"/>
      <c r="C588" s="97" t="n"/>
      <c r="D588" s="97" t="n"/>
    </row>
    <row r="589" ht="20.25" customHeight="1" thickBot="1" thickTop="1">
      <c r="A589" s="97" t="n"/>
      <c r="B589" s="97" t="n"/>
      <c r="C589" s="97" t="n"/>
      <c r="D589" s="97" t="n"/>
    </row>
    <row r="590" ht="20.25" customHeight="1" thickBot="1" thickTop="1">
      <c r="A590" s="81" t="inlineStr">
        <is>
          <t>TOTAL PAYABLE</t>
        </is>
      </c>
      <c r="B590" s="82" t="n"/>
      <c r="C590" s="83" t="n"/>
      <c r="D590" s="97">
        <f>SUM(D585:D589)</f>
        <v/>
      </c>
    </row>
    <row r="591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:XFD1048576"/>
    </sheetView>
  </sheetViews>
  <sheetFormatPr baseColWidth="8" defaultRowHeight="15"/>
  <cols>
    <col width="20.28515625" customWidth="1" min="2" max="2"/>
    <col width="16.42578125" customWidth="1" min="3" max="3"/>
    <col width="12.28515625" customWidth="1" min="4" max="4"/>
    <col width="1.85546875" customWidth="1" min="5" max="5"/>
    <col width="18.85546875" customWidth="1" min="7" max="7"/>
    <col width="17.42578125" customWidth="1" min="8" max="8"/>
    <col width="14.28515625" customWidth="1" min="9" max="9"/>
    <col width="0.5703125" customWidth="1" min="10" max="10"/>
    <col width="1.42578125" customWidth="1" min="11" max="11"/>
    <col width="10.7109375" customWidth="1" min="13" max="13"/>
    <col width="11.7109375" customWidth="1" min="15" max="15"/>
    <col width="10.7109375" customWidth="1" min="17" max="17"/>
    <col width="11.7109375" customWidth="1" min="18" max="18"/>
    <col width="3" customWidth="1" min="19" max="19"/>
    <col width="9.7109375" customWidth="1" min="20" max="20"/>
    <col width="10" customWidth="1" min="23" max="23"/>
    <col width="10.28515625" customWidth="1" min="24" max="24"/>
  </cols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45907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45907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46.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16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16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10</v>
      </c>
      <c r="M3" s="103" t="n">
        <v>500000</v>
      </c>
      <c r="N3" s="102" t="n">
        <v>36000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5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10</v>
      </c>
      <c r="M4" s="103" t="n">
        <v>250000</v>
      </c>
      <c r="N4" s="106" t="n">
        <v>18000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5</v>
      </c>
      <c r="M5" s="1" t="n">
        <v>2000000</v>
      </c>
      <c r="N5" s="1" t="n">
        <v>220000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5</v>
      </c>
      <c r="M6" s="106" t="n">
        <v>500000</v>
      </c>
      <c r="N6" s="106" t="n">
        <v>60000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16.1</v>
      </c>
      <c r="M7" s="106" t="n">
        <v>500000</v>
      </c>
      <c r="N7" s="106" t="n">
        <v>8000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16</v>
      </c>
      <c r="M8" s="106" t="n">
        <v>1000000</v>
      </c>
      <c r="N8" s="106" t="n">
        <v>15000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16.1</v>
      </c>
      <c r="M9" s="106" t="n">
        <v>1000000</v>
      </c>
      <c r="N9" s="106" t="n">
        <v>15000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45907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45907</v>
      </c>
      <c r="J10" s="112" t="n"/>
      <c r="K10" s="1" t="n"/>
      <c r="L10" s="48" t="n">
        <v>13</v>
      </c>
      <c r="M10" s="106" t="n">
        <v>500000</v>
      </c>
      <c r="N10" s="106" t="n">
        <v>23000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20</v>
      </c>
      <c r="M11" s="106" t="n">
        <v>500000</v>
      </c>
      <c r="N11" s="106" t="n">
        <v>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16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16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20</v>
      </c>
      <c r="M12" s="106" t="n">
        <v>1000000</v>
      </c>
      <c r="N12" s="106" t="n">
        <v>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20.1</v>
      </c>
      <c r="M13" s="1" t="n">
        <v>500000</v>
      </c>
      <c r="N13" s="1" t="n">
        <v>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5</v>
      </c>
      <c r="M14" s="106" t="n">
        <v>1000000</v>
      </c>
      <c r="N14" s="106" t="n">
        <v>111000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16</v>
      </c>
      <c r="M15" s="106" t="n">
        <v>500000</v>
      </c>
      <c r="N15" s="106" t="n">
        <v>9000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5.1</v>
      </c>
      <c r="M16" s="102" t="n">
        <v>1000000</v>
      </c>
      <c r="N16" s="106" t="n">
        <v>110000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SUM(I12:I13)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16</v>
      </c>
      <c r="M18" s="1" t="n">
        <v>250000</v>
      </c>
      <c r="N18" s="1" t="n">
        <v>4000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45907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45907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16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16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5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16.1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76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16.1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05">
        <f>SUM(O21,R21)</f>
        <v/>
      </c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05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45907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45907</v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16.1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5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13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13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16.1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45907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45907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10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16.1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16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5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45907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45907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16.1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13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45907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45907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16.1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20.1</v>
      </c>
      <c r="G57" s="97" t="n">
        <v>500000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20</v>
      </c>
      <c r="B58" s="97" t="n">
        <v>500000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5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 t="n"/>
      <c r="Y61" s="1" t="n"/>
      <c r="Z61" s="1" t="n"/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05" t="n"/>
      <c r="U62" s="1" t="n"/>
      <c r="V62" s="1" t="n"/>
      <c r="W62" s="105" t="n"/>
      <c r="X62" s="1" t="n"/>
      <c r="Y62" s="1" t="n"/>
      <c r="Z62" s="1" t="n"/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05">
        <f>SUM(T3:T62)</f>
        <v/>
      </c>
      <c r="U63" s="1" t="n"/>
      <c r="V63" s="1" t="n"/>
      <c r="W63" s="1" t="n"/>
      <c r="X63" s="105">
        <f>SUM(X3:X62)</f>
        <v/>
      </c>
      <c r="Y63" s="1" t="n"/>
      <c r="Z63" s="1" t="n"/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45907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45907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thickBot="1" thickTop="1">
      <c r="A66" s="97" t="n">
        <v>16.1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16.1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inlineStr">
        <is>
          <t>TOTAL</t>
        </is>
      </c>
      <c r="W66" s="105">
        <f>SUM(T63,X63)</f>
        <v/>
      </c>
      <c r="X66" s="1" t="n"/>
      <c r="Y66" s="1" t="n"/>
      <c r="Z66" s="1" t="n"/>
    </row>
    <row r="67" ht="20.25" customHeight="1" thickBot="1" thickTop="1">
      <c r="A67" s="97" t="n">
        <v>5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5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45907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45907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16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20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16.1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20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20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20</v>
      </c>
      <c r="G77" s="97" t="n">
        <v>500000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20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16.1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5</v>
      </c>
      <c r="B79" s="97" t="n">
        <v>2000000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5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10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16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16.1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20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16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16</v>
      </c>
      <c r="G82" s="97" t="n">
        <v>500000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/>
      <c r="B83" s="97" t="n"/>
      <c r="C83" s="97" t="n"/>
      <c r="D83" s="97" t="n"/>
      <c r="E83" s="2" t="n"/>
      <c r="F83" s="97" t="n">
        <v>16.1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12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45907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45907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16.1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16.1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20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5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5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45907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45907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16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16</v>
      </c>
      <c r="G98" s="97" t="n">
        <v>1000000</v>
      </c>
      <c r="H98" s="97" t="n">
        <v>700</v>
      </c>
      <c r="I98" s="97" t="n">
        <v>49200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5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16.1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20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45907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45907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16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16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16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5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45907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45907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16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16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20</v>
      </c>
      <c r="B117" s="97" t="n">
        <v>500000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5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10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10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45907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45907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16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16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5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10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10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20</v>
      </c>
      <c r="G128" s="97" t="n">
        <v>500000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/>
      <c r="G129" s="97" t="n"/>
      <c r="H129" s="97" t="n"/>
      <c r="I129" s="9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45907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45907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16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16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20</v>
      </c>
      <c r="B135" s="97" t="n">
        <v>500000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45907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45907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16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20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10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20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13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20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45907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45907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20</v>
      </c>
      <c r="B152" s="97" t="n">
        <v>1000000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16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13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20</v>
      </c>
      <c r="G154" s="97" t="n">
        <v>500000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45907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45907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16.1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16.1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45907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45907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16.1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16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5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10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/>
      <c r="B172" s="97" t="n"/>
      <c r="C172" s="97" t="n"/>
      <c r="D172" s="97" t="n"/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45907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45907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5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16.1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13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45907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45907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20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16.1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16.1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45907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45907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16.1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16</v>
      </c>
      <c r="G197" s="97" t="n">
        <v>1000000</v>
      </c>
      <c r="H197" s="97" t="n">
        <v>700</v>
      </c>
      <c r="I197" s="97" t="n">
        <v>49200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5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45907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45907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 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16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20</v>
      </c>
      <c r="G206" s="97" t="n">
        <v>500000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16.1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5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45907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45907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20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20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13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45907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45907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10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10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45907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45907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5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5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RUPARAMJI</t>
        </is>
      </c>
      <c r="C240" s="97" t="inlineStr">
        <is>
          <t>MIYAPUR</t>
        </is>
      </c>
      <c r="D240" s="9" t="n">
        <v>45907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45907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5</v>
      </c>
      <c r="B242" s="97" t="n">
        <v>1000000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20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/>
      <c r="B243" s="97" t="n"/>
      <c r="C243" s="97" t="n"/>
      <c r="D243" s="97" t="n"/>
      <c r="E243" s="2" t="n"/>
      <c r="F243" s="97" t="n">
        <v>5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13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13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/>
      <c r="G246" s="97" t="n"/>
      <c r="H246" s="97" t="n"/>
      <c r="I246" s="97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45907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45907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20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10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20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45907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45907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16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20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5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/>
      <c r="G261" s="97" t="n"/>
      <c r="H261" s="97" t="n"/>
      <c r="I261" s="9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45907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45907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5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5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45907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45907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5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5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20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20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13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13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5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10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45907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45907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5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5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5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10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>
        <v>20</v>
      </c>
      <c r="B290" s="97" t="n">
        <v>1000000</v>
      </c>
      <c r="C290" s="97">
        <f>VLOOKUP(A290&amp;"|"&amp;B290,$O$3:$P$17,2,FALSE)</f>
        <v/>
      </c>
      <c r="D290" s="97">
        <f>VLOOKUP(A290&amp;"|"&amp;B290,$Q$3:$R$17,2,FALSE)</f>
        <v/>
      </c>
      <c r="E290" s="2" t="n"/>
      <c r="F290" s="97" t="n">
        <v>13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13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45907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45907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5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5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13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5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16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45907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45907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5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5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20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45907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45907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5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16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10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45907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45907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20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10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45907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45907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10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10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13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45907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45907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13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20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45907</v>
      </c>
      <c r="E349" s="2" t="n"/>
      <c r="F349" s="97" t="inlineStr">
        <is>
          <t>Name</t>
        </is>
      </c>
      <c r="G349" s="97" t="n"/>
      <c r="H349" s="97" t="n"/>
      <c r="I349" s="9" t="n">
        <v>45907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16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/>
      <c r="G351" s="97" t="n"/>
      <c r="H351" s="97" t="n"/>
      <c r="I351" s="97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45907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45907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5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13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/>
      <c r="B361" s="97" t="n"/>
      <c r="C361" s="97" t="n"/>
      <c r="D361" s="97" t="n"/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45907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45907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5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13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20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45907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45907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5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5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45907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45907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16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10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16.1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45907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45907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16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5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45907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45907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16.1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16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20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45907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45907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5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5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>
        <v>20</v>
      </c>
      <c r="G415" s="97" t="n">
        <v>500000</v>
      </c>
      <c r="H415" s="97">
        <f>VLOOKUP(F415&amp;"|"&amp;G415,$O$3:$P$16,2,FALSE)</f>
        <v/>
      </c>
      <c r="I415" s="97">
        <f>VLOOKUP(F415&amp;"|"&amp;G415,$Q$3:$R$16,2,FALSE)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45907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45907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5.1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5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45907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45907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5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5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45907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45907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20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5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45907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45907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20</v>
      </c>
      <c r="B450" s="97" t="n">
        <v>500000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20</v>
      </c>
      <c r="G450" s="97" t="n">
        <v>500000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45907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45907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16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5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5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45907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45907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16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16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20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45907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45907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16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20.1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45907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45907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13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5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13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45907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45907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10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10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10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5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20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45907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45907</v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5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5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45907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45907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5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5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45907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45907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16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5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5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45907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</row>
    <row r="531" ht="20.25" customHeight="1" thickBot="1" thickTop="1">
      <c r="A531" s="97" t="n">
        <v>5</v>
      </c>
      <c r="B531" s="97" t="n">
        <v>2000000</v>
      </c>
      <c r="C531" s="97">
        <f>VLOOKUP(A531&amp;"|"&amp;B531,$O$3:$P$17,2,FALSE)</f>
        <v/>
      </c>
      <c r="D531" s="97">
        <f>VLOOKUP(A531&amp;"|"&amp;B531,$Q$3:$R$17,2,FALSE)</f>
        <v/>
      </c>
    </row>
    <row r="532" ht="20.25" customHeight="1" thickBot="1" thickTop="1">
      <c r="A532" s="97" t="n"/>
      <c r="B532" s="97" t="n"/>
      <c r="C532" s="97" t="n"/>
      <c r="D532" s="97" t="n"/>
    </row>
    <row r="533" ht="20.25" customHeight="1" thickBot="1" thickTop="1">
      <c r="A533" s="97" t="n"/>
      <c r="B533" s="97" t="n"/>
      <c r="C533" s="97" t="n"/>
      <c r="D533" s="97" t="n"/>
    </row>
    <row r="534" ht="20.25" customHeight="1" thickBot="1" thickTop="1">
      <c r="A534" s="97" t="n"/>
      <c r="B534" s="97" t="n"/>
      <c r="C534" s="97" t="n"/>
      <c r="D534" s="97" t="n"/>
    </row>
    <row r="535" ht="20.25" customHeight="1" thickBot="1" thickTop="1">
      <c r="A535" s="97" t="n"/>
      <c r="B535" s="97" t="n"/>
      <c r="C535" s="97" t="n"/>
      <c r="D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</row>
    <row r="537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:XFD1048576"/>
    </sheetView>
  </sheetViews>
  <sheetFormatPr baseColWidth="8" defaultRowHeight="15"/>
  <cols>
    <col width="21.28515625" customWidth="1" min="2" max="2"/>
    <col width="18.5703125" customWidth="1" min="3" max="3"/>
    <col width="16" customWidth="1" min="4" max="4"/>
    <col width="1.5703125" customWidth="1" min="5" max="5"/>
    <col width="21.28515625" customWidth="1" min="7" max="7"/>
    <col width="16.42578125" customWidth="1" min="8" max="8"/>
    <col width="16.5703125" customWidth="1" min="9" max="9"/>
    <col width="1.5703125" customWidth="1" min="10" max="10"/>
    <col hidden="1" width="8.85546875" customWidth="1" min="11" max="11"/>
    <col width="6.42578125" customWidth="1" min="12" max="12"/>
    <col width="12.28515625" customWidth="1" min="13" max="13"/>
    <col width="11.5703125" customWidth="1" min="14" max="14"/>
    <col width="14.140625" customWidth="1" min="15" max="15"/>
    <col width="11.5703125" bestFit="1" customWidth="1" min="16" max="16"/>
    <col width="10.85546875" customWidth="1" min="17" max="17"/>
    <col width="13.42578125" customWidth="1" min="18" max="18"/>
    <col width="4.85546875" customWidth="1" min="19" max="19"/>
    <col width="9.85546875" customWidth="1" min="20" max="20"/>
    <col width="12.85546875" customWidth="1" min="21" max="21"/>
    <col width="10.42578125" customWidth="1" min="23" max="24"/>
    <col width="12.5703125" customWidth="1" min="25" max="25"/>
  </cols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45872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45872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4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15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15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9</v>
      </c>
      <c r="M3" s="103" t="n">
        <v>500000</v>
      </c>
      <c r="N3" s="102" t="n">
        <v>42000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4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9</v>
      </c>
      <c r="M4" s="103" t="n">
        <v>250000</v>
      </c>
      <c r="N4" s="106" t="n">
        <v>21000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4</v>
      </c>
      <c r="M5" s="1" t="n">
        <v>2000000</v>
      </c>
      <c r="N5" s="1" t="n">
        <v>240000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4</v>
      </c>
      <c r="M6" s="106" t="n">
        <v>500000</v>
      </c>
      <c r="N6" s="106" t="n">
        <v>68000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15.1</v>
      </c>
      <c r="M7" s="106" t="n">
        <v>500000</v>
      </c>
      <c r="N7" s="106" t="n">
        <v>12500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15</v>
      </c>
      <c r="M8" s="106" t="n">
        <v>1000000</v>
      </c>
      <c r="N8" s="106" t="n">
        <v>25000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15.1</v>
      </c>
      <c r="M9" s="106" t="n">
        <v>1000000</v>
      </c>
      <c r="N9" s="106" t="n">
        <v>25000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45872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45872</v>
      </c>
      <c r="J10" s="112" t="n"/>
      <c r="K10" s="1" t="n"/>
      <c r="L10" s="48" t="n">
        <v>12</v>
      </c>
      <c r="M10" s="106" t="n">
        <v>500000</v>
      </c>
      <c r="N10" s="106" t="n">
        <v>26000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19</v>
      </c>
      <c r="M11" s="106" t="n">
        <v>500000</v>
      </c>
      <c r="N11" s="106" t="n">
        <v>1500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15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15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19</v>
      </c>
      <c r="M12" s="106" t="n">
        <v>1000000</v>
      </c>
      <c r="N12" s="106" t="n">
        <v>3000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19.1</v>
      </c>
      <c r="M13" s="1" t="n">
        <v>500000</v>
      </c>
      <c r="N13" s="1" t="n">
        <v>1500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4</v>
      </c>
      <c r="M14" s="106" t="n">
        <v>1000000</v>
      </c>
      <c r="N14" s="106" t="n">
        <v>110000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15</v>
      </c>
      <c r="M15" s="106" t="n">
        <v>500000</v>
      </c>
      <c r="N15" s="106" t="n">
        <v>14000</v>
      </c>
      <c r="O15" s="106">
        <f>M20=L15&amp;"|"&amp;M15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4.1</v>
      </c>
      <c r="M16" s="102" t="n">
        <v>1000000</v>
      </c>
      <c r="N16" s="106" t="n">
        <v>120000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SUM(I12:I13)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15</v>
      </c>
      <c r="M18" s="1" t="n">
        <v>250000</v>
      </c>
      <c r="N18" s="1" t="n">
        <v>7000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45872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45872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15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15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4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15.1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76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15.1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05">
        <f>SUM(O21,R21)</f>
        <v/>
      </c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05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45872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45872</v>
      </c>
      <c r="J28" s="1" t="n"/>
      <c r="K28" s="1" t="n"/>
      <c r="L28" s="1" t="n"/>
      <c r="M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15.1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4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05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12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12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15.1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45872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45872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9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15.1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15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4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45872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45872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15.1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12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45872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45872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15.1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19.1</v>
      </c>
      <c r="G57" s="97" t="n">
        <v>500000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19</v>
      </c>
      <c r="B58" s="97" t="n">
        <v>500000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4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 t="n"/>
      <c r="Y61" s="1" t="n"/>
      <c r="Z61" s="1" t="n"/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05" t="n"/>
      <c r="U62" s="1" t="n"/>
      <c r="V62" s="1" t="n"/>
      <c r="W62" s="105" t="n"/>
      <c r="X62" s="1" t="n"/>
      <c r="Y62" s="1" t="n"/>
      <c r="Z62" s="1" t="n"/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05">
        <f>SUM(T3:T62)</f>
        <v/>
      </c>
      <c r="U63" s="1" t="n"/>
      <c r="V63" s="1" t="n"/>
      <c r="W63" s="1" t="n"/>
      <c r="X63" s="105">
        <f>SUM(X3:X62)</f>
        <v/>
      </c>
      <c r="Y63" s="1" t="n"/>
      <c r="Z63" s="1" t="n"/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45872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45872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thickBot="1" thickTop="1">
      <c r="A66" s="97" t="n">
        <v>15.1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15.1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inlineStr">
        <is>
          <t>TOTAL</t>
        </is>
      </c>
      <c r="W66" s="105">
        <f>SUM(T63,X63)</f>
        <v/>
      </c>
      <c r="X66" s="1" t="n"/>
      <c r="Y66" s="1" t="n"/>
      <c r="Z66" s="1" t="n"/>
    </row>
    <row r="67" ht="20.25" customHeight="1" thickBot="1" thickTop="1">
      <c r="A67" s="97" t="n">
        <v>4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4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45872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45872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15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19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15.1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19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19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19</v>
      </c>
      <c r="G77" s="97" t="n">
        <v>500000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19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15.1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4</v>
      </c>
      <c r="B79" s="97" t="n">
        <v>2000000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4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9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15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15.1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19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15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15</v>
      </c>
      <c r="G82" s="97" t="n">
        <v>500000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/>
      <c r="B83" s="97" t="n"/>
      <c r="C83" s="97" t="n"/>
      <c r="D83" s="97" t="n"/>
      <c r="E83" s="2" t="n"/>
      <c r="F83" s="97" t="n">
        <v>15.1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12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45872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45872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15.1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15.1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19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4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4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45872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45872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15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15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4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15.1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19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45872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45872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15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15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15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4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45872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45872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15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15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19</v>
      </c>
      <c r="B117" s="97" t="n">
        <v>500000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4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9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9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45872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45872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15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15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4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9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9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19</v>
      </c>
      <c r="G128" s="97" t="n">
        <v>500000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/>
      <c r="G129" s="97" t="n"/>
      <c r="H129" s="97" t="n"/>
      <c r="I129" s="9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45872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45872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15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15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19</v>
      </c>
      <c r="B135" s="97" t="n">
        <v>500000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45872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45872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15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19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9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19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12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19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45872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45872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19</v>
      </c>
      <c r="B152" s="97" t="n">
        <v>1000000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15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12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19</v>
      </c>
      <c r="G154" s="97" t="n">
        <v>500000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45872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45872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15.1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15.1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45872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45872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15.1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15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4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9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/>
      <c r="B172" s="97" t="n"/>
      <c r="C172" s="97" t="n"/>
      <c r="D172" s="97" t="n"/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45872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45872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4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15.1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12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45872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45872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19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15.1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15.1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45872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45872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15.1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15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4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45872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45872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 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15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19</v>
      </c>
      <c r="G206" s="97" t="n">
        <v>500000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15.1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4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45872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45872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19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19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12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45872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45872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9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9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45872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45872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4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4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RUPARAMJI</t>
        </is>
      </c>
      <c r="C240" s="97" t="inlineStr">
        <is>
          <t>MIYAPUR</t>
        </is>
      </c>
      <c r="D240" s="9" t="n">
        <v>45872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45872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4</v>
      </c>
      <c r="B242" s="97" t="n">
        <v>1000000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19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/>
      <c r="B243" s="97" t="n"/>
      <c r="C243" s="97" t="n"/>
      <c r="D243" s="97" t="n"/>
      <c r="E243" s="2" t="n"/>
      <c r="F243" s="97" t="n">
        <v>4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12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12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/>
      <c r="G246" s="97" t="n"/>
      <c r="H246" s="97" t="n"/>
      <c r="I246" s="97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45872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45872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19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9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19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45872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45872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15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19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4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/>
      <c r="G261" s="97" t="n"/>
      <c r="H261" s="97" t="n"/>
      <c r="I261" s="9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45872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45872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4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4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45872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45872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4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4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19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19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12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12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4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9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45872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45872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4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4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4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9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>
        <v>19</v>
      </c>
      <c r="B290" s="97" t="n">
        <v>1000000</v>
      </c>
      <c r="C290" s="97">
        <f>VLOOKUP(A290&amp;"|"&amp;B290,$O$3:$P$17,2,FALSE)</f>
        <v/>
      </c>
      <c r="D290" s="97">
        <f>VLOOKUP(A290&amp;"|"&amp;B290,$Q$3:$R$17,2,FALSE)</f>
        <v/>
      </c>
      <c r="E290" s="2" t="n"/>
      <c r="F290" s="97" t="n">
        <v>12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12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45872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45872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4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4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12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4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15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45872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45872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4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4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19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45872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45872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4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15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9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45872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45872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19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9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45872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45872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9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9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12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45872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45872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12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19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45872</v>
      </c>
      <c r="E349" s="2" t="n"/>
      <c r="F349" s="97" t="inlineStr">
        <is>
          <t>Name</t>
        </is>
      </c>
      <c r="G349" s="97" t="n"/>
      <c r="H349" s="97" t="n"/>
      <c r="I349" s="9" t="n">
        <v>45872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15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/>
      <c r="G351" s="97" t="n"/>
      <c r="H351" s="97" t="n"/>
      <c r="I351" s="97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45872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45872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4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12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/>
      <c r="B361" s="97" t="n"/>
      <c r="C361" s="97" t="n"/>
      <c r="D361" s="97" t="n"/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45872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45872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4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12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19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45872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45872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4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4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45872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45872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15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9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15.1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45872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45872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15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4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45872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45872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15.1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15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19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45872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45872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4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4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>
        <v>19</v>
      </c>
      <c r="G415" s="97" t="n">
        <v>500000</v>
      </c>
      <c r="H415" s="97">
        <f>VLOOKUP(F415&amp;"|"&amp;G415,$O$3:$P$16,2,FALSE)</f>
        <v/>
      </c>
      <c r="I415" s="97">
        <f>VLOOKUP(F415&amp;"|"&amp;G415,$Q$3:$R$16,2,FALSE)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45872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45872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4.1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4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45872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45872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4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4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45872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45872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19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4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45872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45872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19</v>
      </c>
      <c r="B450" s="97" t="n">
        <v>500000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19</v>
      </c>
      <c r="G450" s="97" t="n">
        <v>500000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45872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45872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15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4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4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45872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45872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15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15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19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45872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45872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15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19.1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45872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45872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12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4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12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45872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45872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9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9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9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4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19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45872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CO</t>
        </is>
      </c>
      <c r="I502" s="9" t="n">
        <v>45872</v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4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4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45872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AMEENPUR</t>
        </is>
      </c>
      <c r="I511" s="9" t="n">
        <v>45872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4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4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45872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45872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15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4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4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45872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</row>
    <row r="531" ht="20.25" customHeight="1" thickBot="1" thickTop="1">
      <c r="A531" s="97" t="n">
        <v>4</v>
      </c>
      <c r="B531" s="97" t="n">
        <v>2000000</v>
      </c>
      <c r="C531" s="97">
        <f>VLOOKUP(A531&amp;"|"&amp;B531,$O$3:$P$17,2,FALSE)</f>
        <v/>
      </c>
      <c r="D531" s="97">
        <f>VLOOKUP(A531&amp;"|"&amp;B531,$Q$3:$R$17,2,FALSE)</f>
        <v/>
      </c>
    </row>
    <row r="532" ht="20.25" customHeight="1" thickBot="1" thickTop="1">
      <c r="A532" s="97" t="n"/>
      <c r="B532" s="97" t="n"/>
      <c r="C532" s="97" t="n"/>
      <c r="D532" s="97" t="n"/>
    </row>
    <row r="533" ht="20.25" customHeight="1" thickBot="1" thickTop="1">
      <c r="A533" s="97" t="n"/>
      <c r="B533" s="97" t="n"/>
      <c r="C533" s="97" t="n"/>
      <c r="D533" s="97" t="n"/>
    </row>
    <row r="534" ht="20.25" customHeight="1" thickBot="1" thickTop="1">
      <c r="A534" s="97" t="n"/>
      <c r="B534" s="97" t="n"/>
      <c r="C534" s="97" t="n"/>
      <c r="D534" s="97" t="n"/>
    </row>
    <row r="535" ht="20.25" customHeight="1" thickBot="1" thickTop="1">
      <c r="A535" s="97" t="n"/>
      <c r="B535" s="97" t="n"/>
      <c r="C535" s="97" t="n"/>
      <c r="D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</row>
    <row r="537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36"/>
  <sheetViews>
    <sheetView tabSelected="1" workbookViewId="0">
      <selection activeCell="A1" sqref="A1:Z536"/>
    </sheetView>
  </sheetViews>
  <sheetFormatPr baseColWidth="8" defaultRowHeight="15"/>
  <sheetData>
    <row r="1" ht="20.25" customHeight="1" thickBot="1" thickTop="1">
      <c r="A1" s="90" t="inlineStr">
        <is>
          <t>Name</t>
        </is>
      </c>
      <c r="B1" s="90" t="inlineStr">
        <is>
          <t>SOHANJI</t>
        </is>
      </c>
      <c r="C1" s="90" t="inlineStr">
        <is>
          <t>ALWN.CO</t>
        </is>
      </c>
      <c r="D1" s="9" t="n">
        <v>45844</v>
      </c>
      <c r="E1" s="91" t="n"/>
      <c r="F1" s="12" t="inlineStr">
        <is>
          <t>NAME</t>
        </is>
      </c>
      <c r="G1" s="12" t="inlineStr">
        <is>
          <t>SURESH</t>
        </is>
      </c>
      <c r="H1" s="12" t="inlineStr">
        <is>
          <t>JODHPUR</t>
        </is>
      </c>
      <c r="I1" s="9" t="n">
        <v>45844</v>
      </c>
      <c r="J1" s="92" t="n"/>
      <c r="L1" s="1" t="n"/>
      <c r="M1" s="1" t="n"/>
      <c r="N1" s="93" t="n"/>
      <c r="O1" s="94" t="n"/>
      <c r="P1" s="95" t="n"/>
      <c r="Q1" s="94" t="n"/>
      <c r="R1" s="96" t="n"/>
      <c r="S1" s="1" t="n"/>
      <c r="U1" s="1" t="n"/>
      <c r="V1" s="1" t="n"/>
      <c r="W1" s="1" t="n"/>
      <c r="X1" s="1" t="n"/>
      <c r="Y1" s="1" t="n"/>
      <c r="Z1" s="1" t="n"/>
    </row>
    <row r="2" ht="46.5" customHeight="1" thickBot="1" thickTop="1">
      <c r="A2" s="90" t="inlineStr">
        <is>
          <t>Month</t>
        </is>
      </c>
      <c r="B2" s="90" t="inlineStr">
        <is>
          <t>Plan</t>
        </is>
      </c>
      <c r="C2" s="90" t="inlineStr">
        <is>
          <t>Commission</t>
        </is>
      </c>
      <c r="D2" s="90" t="inlineStr">
        <is>
          <t>Amount</t>
        </is>
      </c>
      <c r="E2" s="91" t="n"/>
      <c r="F2" s="97" t="inlineStr">
        <is>
          <t>Month</t>
        </is>
      </c>
      <c r="G2" s="97" t="inlineStr">
        <is>
          <t>Plan</t>
        </is>
      </c>
      <c r="H2" s="97" t="inlineStr">
        <is>
          <t>Commission</t>
        </is>
      </c>
      <c r="I2" s="97" t="inlineStr">
        <is>
          <t>Amount</t>
        </is>
      </c>
      <c r="K2" s="1" t="n"/>
      <c r="L2" s="98" t="inlineStr">
        <is>
          <t>Month</t>
        </is>
      </c>
      <c r="M2" s="93" t="inlineStr">
        <is>
          <t>Plan Amt</t>
        </is>
      </c>
      <c r="N2" s="99" t="inlineStr">
        <is>
          <t>Total Commission</t>
        </is>
      </c>
      <c r="O2" s="94" t="n"/>
      <c r="P2" s="100" t="inlineStr">
        <is>
          <t>Commission</t>
        </is>
      </c>
      <c r="Q2" s="94" t="inlineStr">
        <is>
          <t>Month|Plan</t>
        </is>
      </c>
      <c r="R2" s="96" t="inlineStr">
        <is>
          <t>Amount</t>
        </is>
      </c>
      <c r="S2" s="1" t="n"/>
      <c r="T2" s="101" t="inlineStr">
        <is>
          <t>AMOUNT</t>
        </is>
      </c>
      <c r="U2" s="101" t="inlineStr">
        <is>
          <t xml:space="preserve"> NAME</t>
        </is>
      </c>
      <c r="V2" s="101" t="inlineStr">
        <is>
          <t>AREA</t>
        </is>
      </c>
      <c r="W2" s="1" t="n"/>
      <c r="X2" s="101" t="inlineStr">
        <is>
          <t>AMOUNT</t>
        </is>
      </c>
      <c r="Y2" s="101" t="inlineStr">
        <is>
          <t>NAME</t>
        </is>
      </c>
      <c r="Z2" s="101" t="inlineStr">
        <is>
          <t>AREA</t>
        </is>
      </c>
    </row>
    <row r="3" ht="20.25" customHeight="1" thickBot="1" thickTop="1">
      <c r="A3" s="90" t="n">
        <v>14</v>
      </c>
      <c r="B3" s="90" t="n">
        <v>1000000</v>
      </c>
      <c r="C3" s="90">
        <f>VLOOKUP(A3&amp;"|"&amp;B3,$O$3:$P$16,2,FALSE)</f>
        <v/>
      </c>
      <c r="D3" s="90">
        <f>VLOOKUP(A3&amp;"|"&amp;B3,$Q$3:$R$16,2,FALSE)</f>
        <v/>
      </c>
      <c r="E3" s="91" t="n"/>
      <c r="F3" s="97" t="n">
        <v>14</v>
      </c>
      <c r="G3" s="97" t="n">
        <v>500000</v>
      </c>
      <c r="H3" s="97">
        <f>VLOOKUP(F3&amp;"|"&amp;G3,$O$3:$P$19,2,FALSE)</f>
        <v/>
      </c>
      <c r="I3" s="97">
        <f>VLOOKUP(F3&amp;"|"&amp;G3,$Q$3:$R$19,2,FALSE)</f>
        <v/>
      </c>
      <c r="J3" s="92" t="n"/>
      <c r="K3" s="1" t="n"/>
      <c r="L3" s="102" t="n">
        <v>8</v>
      </c>
      <c r="M3" s="103" t="n">
        <v>500000</v>
      </c>
      <c r="N3" s="102" t="n">
        <v>50000</v>
      </c>
      <c r="O3" s="102">
        <f>L3&amp;"|"&amp;M3</f>
        <v/>
      </c>
      <c r="P3" s="102">
        <f>N3/20</f>
        <v/>
      </c>
      <c r="Q3" s="102">
        <f>L3&amp;"|"&amp;M3</f>
        <v/>
      </c>
      <c r="R3" s="104">
        <f>(M3-N3)/20</f>
        <v/>
      </c>
      <c r="S3" s="1" t="n"/>
      <c r="T3" s="105">
        <f>D8</f>
        <v/>
      </c>
      <c r="U3" s="105">
        <f>B1</f>
        <v/>
      </c>
      <c r="V3" s="105">
        <f>C1</f>
        <v/>
      </c>
      <c r="W3" s="1" t="n"/>
      <c r="X3" s="105">
        <f>I8</f>
        <v/>
      </c>
      <c r="Y3" s="105">
        <f>G1</f>
        <v/>
      </c>
      <c r="Z3" s="105">
        <f>H1</f>
        <v/>
      </c>
    </row>
    <row r="4" ht="20.25" customHeight="1" thickBot="1" thickTop="1">
      <c r="A4" s="90" t="n">
        <v>3</v>
      </c>
      <c r="B4" s="90" t="n">
        <v>500000</v>
      </c>
      <c r="C4" s="90">
        <f>VLOOKUP(A4&amp;"|"&amp;B4,$O$3:$P$16,2,FALSE)</f>
        <v/>
      </c>
      <c r="D4" s="90">
        <f>VLOOKUP(A4&amp;"|"&amp;B4,$Q$3:$R$16,2,FALSE)</f>
        <v/>
      </c>
      <c r="E4" s="91" t="n"/>
      <c r="F4" s="97" t="n"/>
      <c r="G4" s="97" t="n"/>
      <c r="H4" s="97" t="n"/>
      <c r="I4" s="97" t="n"/>
      <c r="J4" s="92" t="n"/>
      <c r="K4" s="1" t="n"/>
      <c r="L4" s="102" t="n">
        <v>8</v>
      </c>
      <c r="M4" s="103" t="n">
        <v>250000</v>
      </c>
      <c r="N4" s="106" t="n">
        <v>25000</v>
      </c>
      <c r="O4" s="102">
        <f>L4&amp;"|"&amp;M4</f>
        <v/>
      </c>
      <c r="P4" s="102">
        <f>N4/20</f>
        <v/>
      </c>
      <c r="Q4" s="102">
        <f>L4&amp;"|"&amp;M4</f>
        <v/>
      </c>
      <c r="R4" s="104">
        <f>(M4-N4)/20</f>
        <v/>
      </c>
      <c r="S4" s="1" t="n"/>
      <c r="T4" s="105">
        <f>D17</f>
        <v/>
      </c>
      <c r="U4" s="105">
        <f>B10</f>
        <v/>
      </c>
      <c r="V4" s="105">
        <f>C10</f>
        <v/>
      </c>
      <c r="W4" s="1" t="n"/>
      <c r="X4" s="105">
        <f>I17</f>
        <v/>
      </c>
      <c r="Y4" s="105">
        <f>G10</f>
        <v/>
      </c>
      <c r="Z4" s="105">
        <f>H10</f>
        <v/>
      </c>
    </row>
    <row r="5" ht="20.25" customHeight="1" thickBot="1" thickTop="1">
      <c r="A5" s="90" t="n"/>
      <c r="B5" s="90" t="n"/>
      <c r="C5" s="90" t="n"/>
      <c r="D5" s="90" t="n"/>
      <c r="E5" s="91" t="n"/>
      <c r="F5" s="97" t="n"/>
      <c r="G5" s="97" t="n"/>
      <c r="H5" s="97" t="n"/>
      <c r="I5" s="97" t="n"/>
      <c r="J5" s="92" t="n"/>
      <c r="K5" s="1" t="n"/>
      <c r="L5" s="1" t="n">
        <v>3</v>
      </c>
      <c r="M5" s="1" t="n">
        <v>2000000</v>
      </c>
      <c r="N5" s="1" t="n">
        <v>270000</v>
      </c>
      <c r="O5" s="106">
        <f>L5&amp;"|"&amp;M5</f>
        <v/>
      </c>
      <c r="P5" s="102">
        <f>N5/20</f>
        <v/>
      </c>
      <c r="Q5" s="106">
        <f>L5&amp;"|"&amp;M5</f>
        <v/>
      </c>
      <c r="R5" s="104">
        <f>(M5-N5)/20</f>
        <v/>
      </c>
      <c r="S5" s="1" t="n"/>
      <c r="T5" s="105">
        <f>D26</f>
        <v/>
      </c>
      <c r="U5" s="105">
        <f>B19</f>
        <v/>
      </c>
      <c r="V5" s="105">
        <f>C19</f>
        <v/>
      </c>
      <c r="W5" s="1" t="n"/>
      <c r="X5" s="105">
        <f>I26</f>
        <v/>
      </c>
      <c r="Y5" s="105">
        <f>G19</f>
        <v/>
      </c>
      <c r="Z5" s="105">
        <f>H19</f>
        <v/>
      </c>
    </row>
    <row r="6" ht="20.25" customHeight="1" thickBot="1" thickTop="1">
      <c r="A6" s="90" t="n"/>
      <c r="B6" s="90" t="n"/>
      <c r="C6" s="90" t="n"/>
      <c r="D6" s="90" t="n"/>
      <c r="E6" s="91" t="n"/>
      <c r="F6" s="97" t="n"/>
      <c r="G6" s="97" t="n"/>
      <c r="H6" s="97" t="n"/>
      <c r="I6" s="97" t="n"/>
      <c r="J6" s="92" t="n"/>
      <c r="K6" s="1" t="n"/>
      <c r="L6" s="48" t="n">
        <v>3</v>
      </c>
      <c r="M6" s="106" t="n">
        <v>500000</v>
      </c>
      <c r="N6" s="106" t="n">
        <v>72000</v>
      </c>
      <c r="O6" s="106">
        <f>L6&amp;"|"&amp;M6</f>
        <v/>
      </c>
      <c r="P6" s="102">
        <f>N6/20</f>
        <v/>
      </c>
      <c r="Q6" s="106">
        <f>L6&amp;"|"&amp;M6</f>
        <v/>
      </c>
      <c r="R6" s="104">
        <f>(M6-N6)/20</f>
        <v/>
      </c>
      <c r="S6" s="1" t="n"/>
      <c r="T6" s="105">
        <f>D35</f>
        <v/>
      </c>
      <c r="U6" s="105">
        <f>B28</f>
        <v/>
      </c>
      <c r="V6" s="105">
        <f>C28</f>
        <v/>
      </c>
      <c r="W6" s="1" t="n"/>
      <c r="X6" s="105">
        <f>I35</f>
        <v/>
      </c>
      <c r="Y6" s="105">
        <f>G28</f>
        <v/>
      </c>
      <c r="Z6" s="105">
        <f>H28</f>
        <v/>
      </c>
    </row>
    <row r="7" ht="20.25" customHeight="1" thickBot="1" thickTop="1">
      <c r="A7" s="90" t="n"/>
      <c r="B7" s="90" t="n"/>
      <c r="C7" s="90" t="n"/>
      <c r="D7" s="90" t="n"/>
      <c r="E7" s="91" t="n"/>
      <c r="F7" s="97" t="n"/>
      <c r="G7" s="97" t="n"/>
      <c r="H7" s="97" t="n"/>
      <c r="I7" s="97" t="n"/>
      <c r="J7" s="92" t="n"/>
      <c r="K7" s="1" t="n"/>
      <c r="L7" s="48" t="n">
        <v>14.1</v>
      </c>
      <c r="M7" s="106" t="n">
        <v>500000</v>
      </c>
      <c r="N7" s="106" t="n">
        <v>19000</v>
      </c>
      <c r="O7" s="106">
        <f>L7&amp;"|"&amp;M7</f>
        <v/>
      </c>
      <c r="P7" s="102">
        <f>N7/20</f>
        <v/>
      </c>
      <c r="Q7" s="102">
        <f>L7&amp;"|"&amp;M7</f>
        <v/>
      </c>
      <c r="R7" s="104">
        <f>(M7-N7)/20</f>
        <v/>
      </c>
      <c r="S7" s="1" t="n"/>
      <c r="T7" s="105">
        <f>D44</f>
        <v/>
      </c>
      <c r="U7" s="105">
        <f>B37</f>
        <v/>
      </c>
      <c r="V7" s="105">
        <f>C37</f>
        <v/>
      </c>
      <c r="W7" s="1" t="n"/>
      <c r="X7" s="105">
        <f>I44</f>
        <v/>
      </c>
      <c r="Y7" s="105">
        <f>G37</f>
        <v/>
      </c>
      <c r="Z7" s="105">
        <f>H37</f>
        <v/>
      </c>
    </row>
    <row r="8" ht="20.25" customHeight="1" thickBot="1" thickTop="1">
      <c r="A8" s="90" t="inlineStr">
        <is>
          <t>Total Payable</t>
        </is>
      </c>
      <c r="B8" s="107" t="n"/>
      <c r="C8" s="108" t="n"/>
      <c r="D8" s="90">
        <f>SUM(D3:D7)</f>
        <v/>
      </c>
      <c r="E8" s="91" t="n"/>
      <c r="F8" s="97" t="inlineStr">
        <is>
          <t>Total Payable</t>
        </is>
      </c>
      <c r="G8" s="107" t="n"/>
      <c r="H8" s="108" t="n"/>
      <c r="I8" s="97">
        <f>SUM(I3:I7)</f>
        <v/>
      </c>
      <c r="J8" s="92" t="n"/>
      <c r="K8" s="1" t="n"/>
      <c r="L8" s="48" t="n">
        <v>14</v>
      </c>
      <c r="M8" s="106" t="n">
        <v>1000000</v>
      </c>
      <c r="N8" s="106" t="n">
        <v>38000</v>
      </c>
      <c r="O8" s="106">
        <f>L8&amp;"|"&amp;M8</f>
        <v/>
      </c>
      <c r="P8" s="102">
        <f>N8/20</f>
        <v/>
      </c>
      <c r="Q8" s="106">
        <f>L8&amp;"|"&amp;M8</f>
        <v/>
      </c>
      <c r="R8" s="104">
        <f>(M8-N8)/20</f>
        <v/>
      </c>
      <c r="S8" s="1" t="n"/>
      <c r="T8" s="105">
        <f>D53</f>
        <v/>
      </c>
      <c r="U8" s="105">
        <f>B46</f>
        <v/>
      </c>
      <c r="V8" s="105">
        <f>C46</f>
        <v/>
      </c>
      <c r="W8" s="1" t="n"/>
      <c r="X8" s="105">
        <f>I53</f>
        <v/>
      </c>
      <c r="Y8" s="105">
        <f>G46</f>
        <v/>
      </c>
      <c r="Z8" s="105">
        <f>H46</f>
        <v/>
      </c>
    </row>
    <row r="9" ht="20.25" customHeight="1" thickBot="1" thickTop="1">
      <c r="A9" s="109" t="n"/>
      <c r="B9" s="110" t="n"/>
      <c r="C9" s="109" t="n"/>
      <c r="D9" s="109" t="n"/>
      <c r="E9" s="111" t="n"/>
      <c r="F9" s="111" t="n"/>
      <c r="G9" s="111" t="n"/>
      <c r="H9" s="111" t="n"/>
      <c r="I9" s="111" t="n"/>
      <c r="J9" s="92" t="n"/>
      <c r="K9" s="1" t="n"/>
      <c r="L9" s="48" t="n">
        <v>14.1</v>
      </c>
      <c r="M9" s="106" t="n">
        <v>1000000</v>
      </c>
      <c r="N9" s="106" t="n">
        <v>37000</v>
      </c>
      <c r="O9" s="106">
        <f>L9&amp;"|"&amp;M9</f>
        <v/>
      </c>
      <c r="P9" s="102">
        <f>N9/20</f>
        <v/>
      </c>
      <c r="Q9" s="106">
        <f>L9&amp;"|"&amp;M9</f>
        <v/>
      </c>
      <c r="R9" s="104">
        <f>(M9-N9)/20</f>
        <v/>
      </c>
      <c r="S9" s="1" t="n"/>
      <c r="T9" s="105">
        <f>D62</f>
        <v/>
      </c>
      <c r="U9" s="105">
        <f>B55</f>
        <v/>
      </c>
      <c r="V9" s="105">
        <f>C55</f>
        <v/>
      </c>
      <c r="W9" s="1" t="n"/>
      <c r="X9" s="105">
        <f>I62</f>
        <v/>
      </c>
      <c r="Y9" s="105">
        <f>G55</f>
        <v/>
      </c>
      <c r="Z9" s="105">
        <f>H55</f>
        <v/>
      </c>
    </row>
    <row r="10" ht="20.25" customHeight="1" thickBot="1" thickTop="1">
      <c r="A10" s="97" t="inlineStr">
        <is>
          <t>Name</t>
        </is>
      </c>
      <c r="B10" s="97" t="inlineStr">
        <is>
          <t>JIVARAMJI</t>
        </is>
      </c>
      <c r="C10" s="97" t="inlineStr">
        <is>
          <t>YAMJAL</t>
        </is>
      </c>
      <c r="D10" s="9" t="n">
        <v>45844</v>
      </c>
      <c r="E10" s="91" t="n"/>
      <c r="F10" s="97" t="inlineStr">
        <is>
          <t>Name</t>
        </is>
      </c>
      <c r="G10" s="97" t="inlineStr">
        <is>
          <t>BHAWARJI</t>
        </is>
      </c>
      <c r="H10" s="97" t="inlineStr">
        <is>
          <t>BAJPLY</t>
        </is>
      </c>
      <c r="I10" s="9" t="n">
        <v>45844</v>
      </c>
      <c r="J10" s="112" t="n"/>
      <c r="K10" s="1" t="n"/>
      <c r="L10" s="48" t="n">
        <v>11</v>
      </c>
      <c r="M10" s="106" t="n">
        <v>500000</v>
      </c>
      <c r="N10" s="106" t="n">
        <v>33000</v>
      </c>
      <c r="O10" s="106">
        <f>L10&amp;"|"&amp;M10</f>
        <v/>
      </c>
      <c r="P10" s="102">
        <f>N10/20</f>
        <v/>
      </c>
      <c r="Q10" s="106">
        <f>L10&amp;"|"&amp;M10</f>
        <v/>
      </c>
      <c r="R10" s="104">
        <f>(M10-N10)/20</f>
        <v/>
      </c>
      <c r="S10" s="1" t="n"/>
      <c r="T10" s="105">
        <f>D71</f>
        <v/>
      </c>
      <c r="U10" s="105">
        <f>B64</f>
        <v/>
      </c>
      <c r="V10" s="105">
        <f>C64</f>
        <v/>
      </c>
      <c r="W10" s="1" t="n"/>
      <c r="X10" s="105">
        <f>I71</f>
        <v/>
      </c>
      <c r="Y10" s="105">
        <f>G64</f>
        <v/>
      </c>
      <c r="Z10" s="105">
        <f>H64</f>
        <v/>
      </c>
    </row>
    <row r="11" ht="20.25" customHeight="1" thickBot="1" thickTop="1">
      <c r="A11" s="97" t="inlineStr">
        <is>
          <t>Month</t>
        </is>
      </c>
      <c r="B11" s="97" t="inlineStr">
        <is>
          <t>Plan</t>
        </is>
      </c>
      <c r="C11" s="97" t="inlineStr">
        <is>
          <t>Commission</t>
        </is>
      </c>
      <c r="D11" s="97" t="inlineStr">
        <is>
          <t>Amount</t>
        </is>
      </c>
      <c r="E11" s="91" t="n"/>
      <c r="F11" s="97" t="inlineStr">
        <is>
          <t>Month</t>
        </is>
      </c>
      <c r="G11" s="97" t="inlineStr">
        <is>
          <t>Plan</t>
        </is>
      </c>
      <c r="H11" s="97" t="inlineStr">
        <is>
          <t>Commission</t>
        </is>
      </c>
      <c r="I11" s="97" t="inlineStr">
        <is>
          <t>Amount</t>
        </is>
      </c>
      <c r="J11" s="92" t="n"/>
      <c r="K11" s="1" t="n"/>
      <c r="L11" s="48" t="n">
        <v>18</v>
      </c>
      <c r="M11" s="106" t="n">
        <v>500000</v>
      </c>
      <c r="N11" s="106" t="n">
        <v>3000</v>
      </c>
      <c r="O11" s="106">
        <f>L11&amp;"|"&amp;M11</f>
        <v/>
      </c>
      <c r="P11" s="102">
        <f>N11/20</f>
        <v/>
      </c>
      <c r="Q11" s="106">
        <f>L11&amp;"|"&amp;M11</f>
        <v/>
      </c>
      <c r="R11" s="104">
        <f>(M11-N11)/20</f>
        <v/>
      </c>
      <c r="S11" s="1" t="n"/>
      <c r="T11" s="105">
        <f>D85</f>
        <v/>
      </c>
      <c r="U11" s="105">
        <f>B73</f>
        <v/>
      </c>
      <c r="V11" s="105">
        <f>C73</f>
        <v/>
      </c>
      <c r="W11" s="1" t="n"/>
      <c r="X11" s="105">
        <f>I85</f>
        <v/>
      </c>
      <c r="Y11" s="105">
        <f>G73</f>
        <v/>
      </c>
      <c r="Z11" s="105">
        <f>H73</f>
        <v/>
      </c>
    </row>
    <row r="12" ht="20.25" customHeight="1" thickBot="1" thickTop="1">
      <c r="A12" s="97" t="n">
        <v>14</v>
      </c>
      <c r="B12" s="97" t="n">
        <v>500000</v>
      </c>
      <c r="C12" s="97">
        <f>VLOOKUP(A12&amp;"|"&amp;B12,$O$3:$P$16,2,FALSE)</f>
        <v/>
      </c>
      <c r="D12" s="97">
        <f>VLOOKUP(A12&amp;"|"&amp;B12,$Q$3:$R$16,2,FALSE)</f>
        <v/>
      </c>
      <c r="E12" s="91" t="n"/>
      <c r="F12" s="97" t="n">
        <v>14</v>
      </c>
      <c r="G12" s="97" t="n">
        <v>500000</v>
      </c>
      <c r="H12" s="97">
        <f>VLOOKUP(F12&amp;"|"&amp;G12,$O$3:$P$16,2,FALSE)</f>
        <v/>
      </c>
      <c r="I12" s="97">
        <f>VLOOKUP(F12&amp;"|"&amp;G12,$Q$3:$R$16,2,FALSE)</f>
        <v/>
      </c>
      <c r="J12" s="92" t="n"/>
      <c r="K12" s="1" t="n"/>
      <c r="L12" s="48" t="n">
        <v>18</v>
      </c>
      <c r="M12" s="106" t="n">
        <v>1000000</v>
      </c>
      <c r="N12" s="106" t="n">
        <v>6000</v>
      </c>
      <c r="O12" s="106">
        <f>L12&amp;"|"&amp;M12</f>
        <v/>
      </c>
      <c r="P12" s="102">
        <f>N12/20</f>
        <v/>
      </c>
      <c r="Q12" s="106">
        <f>L12&amp;"|"&amp;M12</f>
        <v/>
      </c>
      <c r="R12" s="104">
        <f>(M12-N12)/20</f>
        <v/>
      </c>
      <c r="S12" s="1" t="n"/>
      <c r="T12" s="105">
        <f>D94</f>
        <v/>
      </c>
      <c r="U12" s="105">
        <f>B87</f>
        <v/>
      </c>
      <c r="V12" s="105">
        <f>C87</f>
        <v/>
      </c>
      <c r="W12" s="1" t="n"/>
      <c r="X12" s="105">
        <f>I94</f>
        <v/>
      </c>
      <c r="Y12" s="105">
        <f>G87</f>
        <v/>
      </c>
      <c r="Z12" s="105">
        <f>H87</f>
        <v/>
      </c>
    </row>
    <row r="13" ht="20.25" customHeight="1" thickBot="1" thickTop="1">
      <c r="A13" s="97" t="n"/>
      <c r="B13" s="97" t="n"/>
      <c r="C13" s="97" t="n"/>
      <c r="D13" s="97" t="n"/>
      <c r="E13" s="91" t="n"/>
      <c r="F13" s="97" t="n"/>
      <c r="G13" s="97" t="n"/>
      <c r="H13" s="97" t="n"/>
      <c r="I13" s="97" t="n"/>
      <c r="J13" s="92" t="n"/>
      <c r="K13" s="1" t="n"/>
      <c r="L13" s="48" t="n">
        <v>18.1</v>
      </c>
      <c r="M13" s="1" t="n">
        <v>500000</v>
      </c>
      <c r="N13" s="1" t="n">
        <v>3000</v>
      </c>
      <c r="O13" s="106">
        <f>L13&amp;"|"&amp;M13</f>
        <v/>
      </c>
      <c r="P13" s="102">
        <f>N13/20</f>
        <v/>
      </c>
      <c r="Q13" s="106">
        <f>L13&amp;"|"&amp;M13</f>
        <v/>
      </c>
      <c r="R13" s="104">
        <f>(M13-N13)/20</f>
        <v/>
      </c>
      <c r="S13" s="1" t="n"/>
      <c r="T13" s="105">
        <f>D103</f>
        <v/>
      </c>
      <c r="U13" s="105">
        <f>B96</f>
        <v/>
      </c>
      <c r="V13" s="105">
        <f>C96</f>
        <v/>
      </c>
      <c r="W13" s="1" t="n"/>
      <c r="X13" s="105">
        <f>I103</f>
        <v/>
      </c>
      <c r="Y13" s="105">
        <f>G96</f>
        <v/>
      </c>
      <c r="Z13" s="105">
        <f>H96</f>
        <v/>
      </c>
    </row>
    <row r="14" ht="20.25" customHeight="1" thickBot="1" thickTop="1">
      <c r="A14" s="97" t="n"/>
      <c r="B14" s="97" t="n"/>
      <c r="C14" s="97" t="n"/>
      <c r="D14" s="97" t="n"/>
      <c r="E14" s="91" t="n"/>
      <c r="F14" s="97" t="n"/>
      <c r="G14" s="97" t="n"/>
      <c r="H14" s="97" t="n"/>
      <c r="I14" s="97" t="n"/>
      <c r="J14" s="92" t="inlineStr">
        <is>
          <t> </t>
        </is>
      </c>
      <c r="K14" s="1" t="n"/>
      <c r="L14" s="48" t="n">
        <v>3</v>
      </c>
      <c r="M14" s="106" t="n">
        <v>1000000</v>
      </c>
      <c r="N14" s="106" t="n">
        <v>130000</v>
      </c>
      <c r="O14" s="106">
        <f>L14&amp;"|"&amp;M14</f>
        <v/>
      </c>
      <c r="P14" s="102">
        <f>N14/20</f>
        <v/>
      </c>
      <c r="Q14" s="106">
        <f>L14&amp;"|"&amp;M14</f>
        <v/>
      </c>
      <c r="R14" s="104">
        <f>(M14-N14)/20</f>
        <v/>
      </c>
      <c r="S14" s="1" t="n"/>
      <c r="T14" s="105">
        <f>D112</f>
        <v/>
      </c>
      <c r="U14" s="105">
        <f>B105</f>
        <v/>
      </c>
      <c r="V14" s="105">
        <f>C105</f>
        <v/>
      </c>
      <c r="W14" s="1" t="n"/>
      <c r="X14" s="105">
        <f>I112</f>
        <v/>
      </c>
      <c r="Y14" s="105">
        <f>G105</f>
        <v/>
      </c>
      <c r="Z14" s="105">
        <f>H105</f>
        <v/>
      </c>
    </row>
    <row r="15" ht="20.25" customHeight="1" thickBot="1" thickTop="1">
      <c r="A15" s="97" t="n"/>
      <c r="B15" s="97" t="n"/>
      <c r="C15" s="97" t="n"/>
      <c r="D15" s="97" t="n"/>
      <c r="E15" s="91" t="n"/>
      <c r="F15" s="97" t="n"/>
      <c r="G15" s="97" t="n"/>
      <c r="H15" s="97" t="n"/>
      <c r="I15" s="97" t="n"/>
      <c r="J15" s="92" t="n"/>
      <c r="K15" s="1" t="n"/>
      <c r="L15" s="75" t="n">
        <v>14</v>
      </c>
      <c r="M15" s="106" t="n">
        <v>500000</v>
      </c>
      <c r="N15" s="106" t="n">
        <v>20000</v>
      </c>
      <c r="O15" s="106">
        <f>L15&amp;"|"&amp;M15</f>
        <v/>
      </c>
      <c r="P15" s="102">
        <f>N15/20</f>
        <v/>
      </c>
      <c r="Q15" s="106">
        <f>L15&amp;"|"&amp;M15</f>
        <v/>
      </c>
      <c r="R15" s="104">
        <f>(M15-N15)/20</f>
        <v/>
      </c>
      <c r="S15" s="1" t="n"/>
      <c r="T15" s="105">
        <f>D121</f>
        <v/>
      </c>
      <c r="U15" s="105">
        <f>B114</f>
        <v/>
      </c>
      <c r="V15" s="105">
        <f>C114</f>
        <v/>
      </c>
      <c r="W15" s="1" t="n"/>
      <c r="X15" s="105">
        <f>I121</f>
        <v/>
      </c>
      <c r="Y15" s="105">
        <f>G114</f>
        <v/>
      </c>
      <c r="Z15" s="105">
        <f>H114</f>
        <v/>
      </c>
    </row>
    <row r="16" ht="20.25" customHeight="1" thickBot="1" thickTop="1">
      <c r="A16" s="97" t="n"/>
      <c r="B16" s="97" t="n"/>
      <c r="C16" s="97" t="n"/>
      <c r="D16" s="97" t="n"/>
      <c r="E16" s="2" t="n"/>
      <c r="F16" s="97" t="n"/>
      <c r="G16" s="97" t="n"/>
      <c r="H16" s="97" t="n"/>
      <c r="I16" s="97" t="n"/>
      <c r="J16" s="92" t="n"/>
      <c r="K16" s="1" t="n"/>
      <c r="L16" s="106" t="n">
        <v>3.1</v>
      </c>
      <c r="M16" s="102" t="n">
        <v>1000000</v>
      </c>
      <c r="N16" s="106" t="n">
        <v>135000</v>
      </c>
      <c r="O16" s="106">
        <f>L16&amp;"|"&amp;M16</f>
        <v/>
      </c>
      <c r="P16" s="102">
        <f>N16/20</f>
        <v/>
      </c>
      <c r="Q16" s="106">
        <f>L16&amp;"|"&amp;M16</f>
        <v/>
      </c>
      <c r="R16" s="104">
        <f>(M16-N16)/20</f>
        <v/>
      </c>
      <c r="S16" s="1" t="n"/>
      <c r="T16" s="105">
        <f>D130</f>
        <v/>
      </c>
      <c r="U16" s="105">
        <f>B123</f>
        <v/>
      </c>
      <c r="V16" s="105">
        <f>C123</f>
        <v/>
      </c>
      <c r="W16" s="1" t="n"/>
      <c r="X16" s="105">
        <f>I130</f>
        <v/>
      </c>
      <c r="Y16" s="105">
        <f>G123</f>
        <v/>
      </c>
      <c r="Z16" s="105">
        <f>H123</f>
        <v/>
      </c>
    </row>
    <row r="17" ht="20.25" customHeight="1" thickBot="1" thickTop="1">
      <c r="A17" s="97" t="inlineStr">
        <is>
          <t>Total Payable</t>
        </is>
      </c>
      <c r="B17" s="107" t="n"/>
      <c r="C17" s="108" t="n"/>
      <c r="D17" s="90">
        <f>SUM(D12:D16)</f>
        <v/>
      </c>
      <c r="E17" s="2" t="n"/>
      <c r="F17" s="97" t="inlineStr">
        <is>
          <t>Total Payable</t>
        </is>
      </c>
      <c r="G17" s="107" t="n"/>
      <c r="H17" s="108" t="n"/>
      <c r="I17" s="97">
        <f>SUM(I12:I13)</f>
        <v/>
      </c>
      <c r="J17" s="92" t="n"/>
      <c r="K17" s="1" t="n"/>
      <c r="L17" s="48" t="n"/>
      <c r="M17" s="1" t="n"/>
      <c r="N17" s="1" t="n"/>
      <c r="O17" s="106" t="n"/>
      <c r="P17" s="102" t="n"/>
      <c r="Q17" s="106" t="n"/>
      <c r="R17" s="104" t="n"/>
      <c r="S17" s="1" t="n"/>
      <c r="T17" s="105">
        <f>D139</f>
        <v/>
      </c>
      <c r="U17" s="105">
        <f>B132</f>
        <v/>
      </c>
      <c r="V17" s="105">
        <f>C132</f>
        <v/>
      </c>
      <c r="W17" s="1" t="n"/>
      <c r="X17" s="105">
        <f>I139</f>
        <v/>
      </c>
      <c r="Y17" s="105">
        <f>G132</f>
        <v/>
      </c>
      <c r="Z17" s="105">
        <f>H132</f>
        <v/>
      </c>
    </row>
    <row r="18" ht="20.25" customHeight="1" thickBot="1" thickTop="1">
      <c r="A18" s="3" t="n"/>
      <c r="B18" s="3" t="n"/>
      <c r="C18" s="3" t="n"/>
      <c r="D18" s="3" t="n"/>
      <c r="E18" s="3" t="n"/>
      <c r="F18" s="111" t="n"/>
      <c r="G18" s="111" t="n"/>
      <c r="H18" s="111" t="n"/>
      <c r="I18" s="111" t="n"/>
      <c r="J18" s="92" t="n"/>
      <c r="K18" s="1" t="n"/>
      <c r="L18" s="48" t="n">
        <v>14</v>
      </c>
      <c r="M18" s="1" t="n">
        <v>250000</v>
      </c>
      <c r="N18" s="1" t="n">
        <v>10000</v>
      </c>
      <c r="O18" s="106">
        <f>L18&amp;"|"&amp;M18</f>
        <v/>
      </c>
      <c r="P18" s="102">
        <f>N18/20</f>
        <v/>
      </c>
      <c r="Q18" s="106">
        <f>L18&amp;"|"&amp;M18</f>
        <v/>
      </c>
      <c r="R18" s="104">
        <f>(M18-N18)/20</f>
        <v/>
      </c>
      <c r="S18" s="1" t="n"/>
      <c r="T18" s="105">
        <f>D148</f>
        <v/>
      </c>
      <c r="U18" s="105">
        <f>B141</f>
        <v/>
      </c>
      <c r="V18" s="105">
        <f>C141</f>
        <v/>
      </c>
      <c r="W18" s="1" t="n"/>
      <c r="X18" s="105">
        <f>I148</f>
        <v/>
      </c>
      <c r="Y18" s="105">
        <f>G141</f>
        <v/>
      </c>
      <c r="Z18" s="105">
        <f>H141</f>
        <v/>
      </c>
    </row>
    <row r="19" ht="20.25" customHeight="1" thickBot="1" thickTop="1">
      <c r="A19" s="97" t="inlineStr">
        <is>
          <t>Name</t>
        </is>
      </c>
      <c r="B19" s="97" t="inlineStr">
        <is>
          <t>MANGILALJI</t>
        </is>
      </c>
      <c r="C19" s="97" t="inlineStr">
        <is>
          <t>BOLARAM</t>
        </is>
      </c>
      <c r="D19" s="9" t="n">
        <v>45844</v>
      </c>
      <c r="E19" s="2" t="n"/>
      <c r="F19" s="97" t="inlineStr">
        <is>
          <t>Name</t>
        </is>
      </c>
      <c r="G19" s="97" t="inlineStr">
        <is>
          <t>NETHIRAMJI</t>
        </is>
      </c>
      <c r="H19" s="97" t="inlineStr">
        <is>
          <t>RAMARAM</t>
        </is>
      </c>
      <c r="I19" s="9" t="n">
        <v>45844</v>
      </c>
      <c r="J19" s="92" t="n"/>
      <c r="K19" s="1" t="n"/>
      <c r="L19" s="48" t="n"/>
      <c r="M19" s="1" t="n"/>
      <c r="N19" s="1" t="n"/>
      <c r="O19" s="106" t="n"/>
      <c r="P19" s="102" t="n"/>
      <c r="Q19" s="106" t="n"/>
      <c r="R19" s="104" t="n"/>
      <c r="S19" s="1" t="n"/>
      <c r="T19" s="105">
        <f>D157</f>
        <v/>
      </c>
      <c r="U19" s="105">
        <f>B150</f>
        <v/>
      </c>
      <c r="V19" s="105">
        <f>C150</f>
        <v/>
      </c>
      <c r="W19" s="1" t="n"/>
      <c r="X19" s="105">
        <f>I157</f>
        <v/>
      </c>
      <c r="Y19" s="105">
        <f>G150</f>
        <v/>
      </c>
      <c r="Z19" s="105">
        <f>H150</f>
        <v/>
      </c>
    </row>
    <row r="20" ht="20.25" customHeight="1" thickBot="1" thickTop="1">
      <c r="A20" s="97" t="inlineStr">
        <is>
          <t>Month</t>
        </is>
      </c>
      <c r="B20" s="97" t="inlineStr">
        <is>
          <t>Plan</t>
        </is>
      </c>
      <c r="C20" s="97" t="inlineStr">
        <is>
          <t>Commission</t>
        </is>
      </c>
      <c r="D20" s="97" t="inlineStr">
        <is>
          <t>Amount</t>
        </is>
      </c>
      <c r="E20" s="2" t="n"/>
      <c r="F20" s="97" t="inlineStr">
        <is>
          <t>Month</t>
        </is>
      </c>
      <c r="G20" s="97" t="inlineStr">
        <is>
          <t>Plan</t>
        </is>
      </c>
      <c r="H20" s="97" t="inlineStr">
        <is>
          <t>Commission</t>
        </is>
      </c>
      <c r="I20" s="97" t="inlineStr">
        <is>
          <t>Amount</t>
        </is>
      </c>
      <c r="J20" s="92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05">
        <f>D166</f>
        <v/>
      </c>
      <c r="U20" s="105">
        <f>B159</f>
        <v/>
      </c>
      <c r="V20" s="105">
        <f>C159</f>
        <v/>
      </c>
      <c r="W20" s="1" t="n"/>
      <c r="X20" s="105">
        <f>I166</f>
        <v/>
      </c>
      <c r="Y20" s="105">
        <f>G159</f>
        <v/>
      </c>
      <c r="Z20" s="105">
        <f>H159</f>
        <v/>
      </c>
    </row>
    <row r="21" ht="20.25" customHeight="1" thickBot="1" thickTop="1">
      <c r="A21" s="97" t="n">
        <v>14</v>
      </c>
      <c r="B21" s="97" t="n">
        <v>1000000</v>
      </c>
      <c r="C21" s="97">
        <f>VLOOKUP(A21&amp;"|"&amp;B21,$O$3:$P$16,2,FALSE)</f>
        <v/>
      </c>
      <c r="D21" s="97">
        <f>VLOOKUP(A21&amp;"|"&amp;B21,$Q$3:$R$16,2,FALSE)</f>
        <v/>
      </c>
      <c r="E21" s="2" t="n"/>
      <c r="F21" s="97" t="n">
        <v>14</v>
      </c>
      <c r="G21" s="97" t="n">
        <v>1000000</v>
      </c>
      <c r="H21" s="97">
        <f>VLOOKUP(F21&amp;"|"&amp;G21,$O$3:$P$16,2,FALSE)</f>
        <v/>
      </c>
      <c r="I21" s="97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105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536)</f>
        <v/>
      </c>
      <c r="P21" s="1" t="n"/>
      <c r="Q21" s="1" t="inlineStr">
        <is>
          <t>TOTAL</t>
        </is>
      </c>
      <c r="R21" s="105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527,)</f>
        <v/>
      </c>
      <c r="S21" s="1" t="n"/>
      <c r="T21" s="105">
        <f>D175</f>
        <v/>
      </c>
      <c r="U21" s="105">
        <f>B168</f>
        <v/>
      </c>
      <c r="V21" s="105">
        <f>C168</f>
        <v/>
      </c>
      <c r="W21" s="1" t="n"/>
      <c r="X21" s="105">
        <f>I175</f>
        <v/>
      </c>
      <c r="Y21" s="105">
        <f>G168</f>
        <v/>
      </c>
      <c r="Z21" s="105">
        <f>H168</f>
        <v/>
      </c>
    </row>
    <row r="22" ht="20.25" customHeight="1" thickBot="1" thickTop="1">
      <c r="A22" s="97" t="n">
        <v>3</v>
      </c>
      <c r="B22" s="97" t="n">
        <v>2000000</v>
      </c>
      <c r="C22" s="97">
        <f>VLOOKUP(A22&amp;"|"&amp;B22,$O$3:$P$17,2,FALSE)</f>
        <v/>
      </c>
      <c r="D22" s="97">
        <f>VLOOKUP(A22&amp;"|"&amp;B22,$Q$3:$R$17,2,FALSE)</f>
        <v/>
      </c>
      <c r="E22" s="2" t="n"/>
      <c r="F22" s="97" t="n">
        <v>14.1</v>
      </c>
      <c r="G22" s="97" t="n">
        <v>1000000</v>
      </c>
      <c r="H22" s="97">
        <f>VLOOKUP(F22&amp;"|"&amp;G22,$O$3:$P$16,2,FALSE)</f>
        <v/>
      </c>
      <c r="I22" s="97">
        <f>VLOOKUP(F22&amp;"|"&amp;G22,$Q$3:$R$16,2,FALSE)</f>
        <v/>
      </c>
      <c r="J22" s="1" t="n"/>
      <c r="K22" s="1" t="n"/>
      <c r="L22" s="1" t="n"/>
      <c r="M22" s="1" t="n"/>
      <c r="N22" s="1" t="n"/>
      <c r="O22" s="76" t="n"/>
      <c r="P22" s="1" t="n"/>
      <c r="Q22" s="1" t="n"/>
      <c r="R22" s="1" t="n"/>
      <c r="S22" s="1" t="n"/>
      <c r="T22" s="105">
        <f>D184</f>
        <v/>
      </c>
      <c r="U22" s="105">
        <f>B177</f>
        <v/>
      </c>
      <c r="V22" s="105">
        <f>C177</f>
        <v/>
      </c>
      <c r="W22" s="1" t="n"/>
      <c r="X22" s="105">
        <f>I184</f>
        <v/>
      </c>
      <c r="Y22" s="105">
        <f>G177</f>
        <v/>
      </c>
      <c r="Z22" s="105">
        <f>H177</f>
        <v/>
      </c>
    </row>
    <row r="23" ht="20.25" customHeight="1" thickBot="1" thickTop="1">
      <c r="A23" s="97" t="n"/>
      <c r="B23" s="97" t="n"/>
      <c r="C23" s="97" t="n"/>
      <c r="D23" s="97" t="n"/>
      <c r="E23" s="2" t="n"/>
      <c r="F23" s="97" t="n">
        <v>14.1</v>
      </c>
      <c r="G23" s="97" t="n">
        <v>1000000</v>
      </c>
      <c r="H23" s="97">
        <f>VLOOKUP(F23&amp;"|"&amp;G23,$O$3:$P$16,2,FALSE)</f>
        <v/>
      </c>
      <c r="I23" s="97">
        <f>VLOOKUP(F23&amp;"|"&amp;G23,$Q$3:$R$16,2,FALSE)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05">
        <f>D193</f>
        <v/>
      </c>
      <c r="U23" s="105">
        <f>B186</f>
        <v/>
      </c>
      <c r="V23" s="105">
        <f>C186</f>
        <v/>
      </c>
      <c r="W23" s="1" t="n"/>
      <c r="X23" s="105">
        <f>I193</f>
        <v/>
      </c>
      <c r="Y23" s="105">
        <f>G186</f>
        <v/>
      </c>
      <c r="Z23" s="105">
        <f>H186</f>
        <v/>
      </c>
    </row>
    <row r="24" ht="20.25" customHeight="1" thickBot="1" thickTop="1">
      <c r="A24" s="97" t="n"/>
      <c r="B24" s="97" t="n"/>
      <c r="C24" s="97" t="n"/>
      <c r="D24" s="97" t="n"/>
      <c r="E24" s="2" t="n"/>
      <c r="F24" s="97" t="n"/>
      <c r="G24" s="97" t="n"/>
      <c r="H24" s="97" t="n"/>
      <c r="I24" s="97" t="n"/>
      <c r="J24" s="1" t="n"/>
      <c r="K24" s="1" t="n"/>
      <c r="L24" s="1" t="n"/>
      <c r="M24" s="1" t="n"/>
      <c r="N24" s="1" t="inlineStr">
        <is>
          <t>GRAND TOTAL</t>
        </is>
      </c>
      <c r="O24" s="105">
        <f>SUM(O21,R21)</f>
        <v/>
      </c>
      <c r="P24" s="1" t="n"/>
      <c r="Q24" s="1" t="n"/>
      <c r="R24" s="1" t="n"/>
      <c r="S24" s="1" t="n"/>
      <c r="T24" s="105">
        <f>D202</f>
        <v/>
      </c>
      <c r="U24" s="105">
        <f>B195</f>
        <v/>
      </c>
      <c r="V24" s="105">
        <f>C195</f>
        <v/>
      </c>
      <c r="W24" s="1" t="n"/>
      <c r="X24" s="105">
        <f>I202</f>
        <v/>
      </c>
      <c r="Y24" s="105">
        <f>G195</f>
        <v/>
      </c>
      <c r="Z24" s="105">
        <f>H195</f>
        <v/>
      </c>
    </row>
    <row r="25" ht="20.25" customHeight="1" thickBot="1" thickTop="1">
      <c r="A25" s="97" t="n"/>
      <c r="B25" s="97" t="n"/>
      <c r="C25" s="97" t="n"/>
      <c r="D25" s="97" t="n"/>
      <c r="E25" s="2" t="n"/>
      <c r="F25" s="97" t="n"/>
      <c r="G25" s="97" t="n"/>
      <c r="H25" s="97" t="n"/>
      <c r="I25" s="97" t="n"/>
      <c r="J25" s="1" t="n"/>
      <c r="K25" s="1" t="n"/>
      <c r="L25" s="1" t="n"/>
      <c r="M25" s="1" t="inlineStr">
        <is>
          <t> </t>
        </is>
      </c>
      <c r="N25" s="1" t="n"/>
      <c r="O25" s="1" t="n"/>
      <c r="P25" s="1" t="n"/>
      <c r="Q25" s="1" t="n"/>
      <c r="R25" s="1" t="n"/>
      <c r="S25" s="1" t="n"/>
      <c r="T25" s="105">
        <f>D211</f>
        <v/>
      </c>
      <c r="U25" s="105">
        <f>B204</f>
        <v/>
      </c>
      <c r="V25" s="105">
        <f>C204</f>
        <v/>
      </c>
      <c r="W25" s="1" t="n"/>
      <c r="X25" s="105">
        <f>I211</f>
        <v/>
      </c>
      <c r="Y25" s="105">
        <f>G204</f>
        <v/>
      </c>
      <c r="Z25" s="105">
        <f>H204</f>
        <v/>
      </c>
    </row>
    <row r="26" ht="20.25" customHeight="1" thickBot="1" thickTop="1">
      <c r="A26" s="97" t="inlineStr">
        <is>
          <t>Total Payable</t>
        </is>
      </c>
      <c r="B26" s="107" t="n"/>
      <c r="C26" s="108" t="n"/>
      <c r="D26" s="90">
        <f>SUM(D21:D25)</f>
        <v/>
      </c>
      <c r="E26" s="2" t="n"/>
      <c r="F26" s="97" t="inlineStr">
        <is>
          <t>Total payable</t>
        </is>
      </c>
      <c r="G26" s="107" t="n"/>
      <c r="H26" s="108" t="n"/>
      <c r="I26" s="97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05">
        <f>D220</f>
        <v/>
      </c>
      <c r="U26" s="105">
        <f>B213</f>
        <v/>
      </c>
      <c r="V26" s="105">
        <f>C213</f>
        <v/>
      </c>
      <c r="W26" s="1" t="n"/>
      <c r="X26" s="105">
        <f>I220</f>
        <v/>
      </c>
      <c r="Y26" s="105">
        <f>G213</f>
        <v/>
      </c>
      <c r="Z26" s="105">
        <f>H213</f>
        <v/>
      </c>
    </row>
    <row r="27" ht="16.5" customHeight="1" thickBot="1" thickTop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05">
        <f>D229</f>
        <v/>
      </c>
      <c r="U27" s="105">
        <f>B222</f>
        <v/>
      </c>
      <c r="V27" s="105">
        <f>C222</f>
        <v/>
      </c>
      <c r="W27" s="1" t="n"/>
      <c r="X27" s="105">
        <f>I229</f>
        <v/>
      </c>
      <c r="Y27" s="105">
        <f>G222</f>
        <v/>
      </c>
      <c r="Z27" s="105">
        <f>H222</f>
        <v/>
      </c>
    </row>
    <row r="28" ht="20.25" customHeight="1" thickBot="1" thickTop="1">
      <c r="A28" s="97" t="inlineStr">
        <is>
          <t>Name</t>
        </is>
      </c>
      <c r="B28" s="97" t="inlineStr">
        <is>
          <t>KISHANJI</t>
        </is>
      </c>
      <c r="C28" s="97" t="inlineStr">
        <is>
          <t>KAMAN</t>
        </is>
      </c>
      <c r="D28" s="9" t="n">
        <v>45844</v>
      </c>
      <c r="E28" s="2" t="n"/>
      <c r="F28" s="97" t="inlineStr">
        <is>
          <t>Name</t>
        </is>
      </c>
      <c r="G28" s="97" t="inlineStr">
        <is>
          <t>TARARAMJI</t>
        </is>
      </c>
      <c r="H28" s="97" t="inlineStr">
        <is>
          <t>PRGATI NG</t>
        </is>
      </c>
      <c r="I28" s="9" t="n">
        <v>45844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05">
        <f>D238</f>
        <v/>
      </c>
      <c r="U28" s="105">
        <f>B231</f>
        <v/>
      </c>
      <c r="V28" s="105">
        <f>C231</f>
        <v/>
      </c>
      <c r="W28" s="1" t="n"/>
      <c r="X28" s="105">
        <f>I238</f>
        <v/>
      </c>
      <c r="Y28" s="105">
        <f>G231</f>
        <v/>
      </c>
      <c r="Z28" s="105">
        <f>H231</f>
        <v/>
      </c>
    </row>
    <row r="29" ht="20.25" customHeight="1" thickBot="1" thickTop="1">
      <c r="A29" s="97" t="inlineStr">
        <is>
          <t>Month</t>
        </is>
      </c>
      <c r="B29" s="97" t="inlineStr">
        <is>
          <t>Plan</t>
        </is>
      </c>
      <c r="C29" s="97" t="inlineStr">
        <is>
          <t>Commission</t>
        </is>
      </c>
      <c r="D29" s="97" t="inlineStr">
        <is>
          <t>Amount</t>
        </is>
      </c>
      <c r="E29" s="2" t="n"/>
      <c r="F29" s="97" t="inlineStr">
        <is>
          <t>Month</t>
        </is>
      </c>
      <c r="G29" s="97" t="inlineStr">
        <is>
          <t>Plan</t>
        </is>
      </c>
      <c r="H29" s="97" t="inlineStr">
        <is>
          <t>Commission</t>
        </is>
      </c>
      <c r="I29" s="97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05">
        <f>D247</f>
        <v/>
      </c>
      <c r="U29" s="105">
        <f>B240</f>
        <v/>
      </c>
      <c r="V29" s="105">
        <f>C240</f>
        <v/>
      </c>
      <c r="W29" s="1" t="n"/>
      <c r="X29" s="105">
        <f>I247</f>
        <v/>
      </c>
      <c r="Y29" s="105">
        <f>G240</f>
        <v/>
      </c>
      <c r="Z29" s="105">
        <f>H240</f>
        <v/>
      </c>
    </row>
    <row r="30" ht="20.25" customHeight="1" thickBot="1" thickTop="1">
      <c r="A30" s="97" t="n">
        <v>14.1</v>
      </c>
      <c r="B30" s="97" t="n">
        <v>1000000</v>
      </c>
      <c r="C30" s="97">
        <f>VLOOKUP(A30&amp;"|"&amp;B30,$O$3:$P$16,2,FALSE)</f>
        <v/>
      </c>
      <c r="D30" s="97">
        <f>VLOOKUP(A30&amp;"|"&amp;B30,$Q$3:$R$16,2,FALSE)</f>
        <v/>
      </c>
      <c r="E30" s="2" t="n"/>
      <c r="F30" s="97" t="n">
        <v>3</v>
      </c>
      <c r="G30" s="97" t="n">
        <v>500000</v>
      </c>
      <c r="H30" s="97">
        <f>VLOOKUP(F30&amp;"|"&amp;G30,$O$3:$P$16,2,FALSE)</f>
        <v/>
      </c>
      <c r="I30" s="97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05">
        <f>D256</f>
        <v/>
      </c>
      <c r="U30" s="105">
        <f>B249</f>
        <v/>
      </c>
      <c r="V30" s="105">
        <f>C249</f>
        <v/>
      </c>
      <c r="W30" s="1" t="n"/>
      <c r="X30" s="105">
        <f>I256</f>
        <v/>
      </c>
      <c r="Y30" s="105">
        <f>G249</f>
        <v/>
      </c>
      <c r="Z30" s="105">
        <f>H249</f>
        <v/>
      </c>
    </row>
    <row r="31" ht="20.25" customHeight="1" thickBot="1" thickTop="1">
      <c r="A31" s="97" t="n">
        <v>11</v>
      </c>
      <c r="B31" s="97" t="n">
        <v>500000</v>
      </c>
      <c r="C31" s="97">
        <f>VLOOKUP(A31&amp;"|"&amp;B31,$O$3:$P$16,2,FALSE)</f>
        <v/>
      </c>
      <c r="D31" s="97">
        <f>VLOOKUP(A31&amp;"|"&amp;B31,$Q$3:$R$16,2,FALSE)</f>
        <v/>
      </c>
      <c r="E31" s="2" t="n"/>
      <c r="F31" s="97" t="n"/>
      <c r="G31" s="97" t="n"/>
      <c r="H31" s="97" t="n"/>
      <c r="I31" s="9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05">
        <f>D265</f>
        <v/>
      </c>
      <c r="U31" s="105">
        <f>B258</f>
        <v/>
      </c>
      <c r="V31" s="105">
        <f>C258</f>
        <v/>
      </c>
      <c r="W31" s="1" t="n"/>
      <c r="X31" s="105">
        <f>I265</f>
        <v/>
      </c>
      <c r="Y31" s="105">
        <f>G258</f>
        <v/>
      </c>
      <c r="Z31" s="105">
        <f>H258</f>
        <v/>
      </c>
    </row>
    <row r="32" ht="20.25" customHeight="1" thickBot="1" thickTop="1">
      <c r="A32" s="97" t="n">
        <v>11</v>
      </c>
      <c r="B32" s="97" t="n">
        <v>500000</v>
      </c>
      <c r="C32" s="97">
        <f>VLOOKUP(A32&amp;"|"&amp;B32,$O$3:$P$16,2,FALSE)</f>
        <v/>
      </c>
      <c r="D32" s="97">
        <f>VLOOKUP(A32&amp;"|"&amp;B32,$Q$3:$R$16,2,FALSE)</f>
        <v/>
      </c>
      <c r="E32" s="2" t="n"/>
      <c r="F32" s="97" t="n"/>
      <c r="G32" s="97" t="n"/>
      <c r="H32" s="97" t="n"/>
      <c r="I32" s="9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05">
        <f>D274</f>
        <v/>
      </c>
      <c r="U32" s="105">
        <f>B267</f>
        <v/>
      </c>
      <c r="V32" s="105">
        <f>C267</f>
        <v/>
      </c>
      <c r="W32" s="1" t="n"/>
      <c r="X32" s="105">
        <f>I274</f>
        <v/>
      </c>
      <c r="Y32" s="105">
        <f>G267</f>
        <v/>
      </c>
      <c r="Z32" s="105">
        <f>H267</f>
        <v/>
      </c>
    </row>
    <row r="33" ht="20.25" customHeight="1" thickBot="1" thickTop="1">
      <c r="A33" s="97" t="n">
        <v>14.1</v>
      </c>
      <c r="B33" s="97" t="n">
        <v>1000000</v>
      </c>
      <c r="C33" s="97">
        <f>VLOOKUP(A33&amp;"|"&amp;B33,$O$3:$P$16,2,FALSE)</f>
        <v/>
      </c>
      <c r="D33" s="97">
        <f>VLOOKUP(A33&amp;"|"&amp;B33,$Q$3:$R$16,2,FALSE)</f>
        <v/>
      </c>
      <c r="E33" s="2" t="n"/>
      <c r="F33" s="97" t="n"/>
      <c r="G33" s="97" t="n"/>
      <c r="H33" s="97" t="n"/>
      <c r="I33" s="9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05">
        <f>D284</f>
        <v/>
      </c>
      <c r="U33" s="105">
        <f>B276</f>
        <v/>
      </c>
      <c r="V33" s="105">
        <f>C276</f>
        <v/>
      </c>
      <c r="W33" s="1" t="n"/>
      <c r="X33" s="105">
        <f>I284</f>
        <v/>
      </c>
      <c r="Y33" s="105">
        <f>G276</f>
        <v/>
      </c>
      <c r="Z33" s="105">
        <f>H276</f>
        <v/>
      </c>
    </row>
    <row r="34" ht="20.25" customHeight="1" thickBot="1" thickTop="1">
      <c r="A34" s="97" t="n"/>
      <c r="B34" s="97" t="n"/>
      <c r="C34" s="97" t="n"/>
      <c r="D34" s="97" t="n"/>
      <c r="E34" s="2" t="n"/>
      <c r="F34" s="97" t="n"/>
      <c r="G34" s="97" t="n"/>
      <c r="H34" s="97" t="n"/>
      <c r="I34" s="9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05">
        <f>D293</f>
        <v/>
      </c>
      <c r="U34" s="105">
        <f>B286</f>
        <v/>
      </c>
      <c r="V34" s="105">
        <f>C286</f>
        <v/>
      </c>
      <c r="W34" s="1" t="n"/>
      <c r="X34" s="105">
        <f>I293</f>
        <v/>
      </c>
      <c r="Y34" s="105">
        <f>G286</f>
        <v/>
      </c>
      <c r="Z34" s="105">
        <f>H286</f>
        <v/>
      </c>
    </row>
    <row r="35" ht="20.25" customHeight="1" thickBot="1" thickTop="1">
      <c r="A35" s="97" t="inlineStr">
        <is>
          <t>Total Payable</t>
        </is>
      </c>
      <c r="B35" s="107" t="n"/>
      <c r="C35" s="108" t="n"/>
      <c r="D35" s="90">
        <f>SUM(D30:D34)</f>
        <v/>
      </c>
      <c r="E35" s="2" t="n"/>
      <c r="F35" s="97" t="inlineStr">
        <is>
          <t>Total Payable</t>
        </is>
      </c>
      <c r="G35" s="107" t="n"/>
      <c r="H35" s="108" t="n"/>
      <c r="I35" s="97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05">
        <f>D302</f>
        <v/>
      </c>
      <c r="U35" s="105">
        <f>B295</f>
        <v/>
      </c>
      <c r="V35" s="105">
        <f>C295</f>
        <v/>
      </c>
      <c r="W35" s="1" t="n"/>
      <c r="X35" s="105">
        <f>I302</f>
        <v/>
      </c>
      <c r="Y35" s="105">
        <f>G295</f>
        <v/>
      </c>
      <c r="Z35" s="105">
        <f>H295</f>
        <v/>
      </c>
    </row>
    <row r="36" ht="16.5" customHeight="1" thickBot="1" thickTop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05">
        <f>D311</f>
        <v/>
      </c>
      <c r="U36" s="105">
        <f>B304</f>
        <v/>
      </c>
      <c r="V36" s="105">
        <f>C304</f>
        <v/>
      </c>
      <c r="W36" s="1" t="n"/>
      <c r="X36" s="105">
        <f>I311</f>
        <v/>
      </c>
      <c r="Y36" s="105">
        <f>G304</f>
        <v/>
      </c>
      <c r="Z36" s="105">
        <f>H304</f>
        <v/>
      </c>
    </row>
    <row r="37" ht="20.25" customHeight="1" thickBot="1" thickTop="1">
      <c r="A37" s="97" t="inlineStr">
        <is>
          <t>Name</t>
        </is>
      </c>
      <c r="B37" s="97" t="inlineStr">
        <is>
          <t>BHONARAMJI</t>
        </is>
      </c>
      <c r="C37" s="97" t="inlineStr">
        <is>
          <t>G.MAISAMA</t>
        </is>
      </c>
      <c r="D37" s="9" t="n">
        <v>45844</v>
      </c>
      <c r="E37" s="2" t="n"/>
      <c r="F37" s="97" t="inlineStr">
        <is>
          <t>Name</t>
        </is>
      </c>
      <c r="G37" s="97" t="inlineStr">
        <is>
          <t>SESHARAMJI</t>
        </is>
      </c>
      <c r="H37" s="97" t="inlineStr">
        <is>
          <t>MEDCHAL</t>
        </is>
      </c>
      <c r="I37" s="9" t="n">
        <v>45844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05">
        <f>D320</f>
        <v/>
      </c>
      <c r="U37" s="105">
        <f>B313</f>
        <v/>
      </c>
      <c r="V37" s="105">
        <f>C313</f>
        <v/>
      </c>
      <c r="W37" s="1" t="n"/>
      <c r="X37" s="105">
        <f>I320</f>
        <v/>
      </c>
      <c r="Y37" s="105">
        <f>G313</f>
        <v/>
      </c>
      <c r="Z37" s="105">
        <f>H313</f>
        <v/>
      </c>
    </row>
    <row r="38" ht="20.25" customHeight="1" thickBot="1" thickTop="1">
      <c r="A38" s="97" t="inlineStr">
        <is>
          <t>Month</t>
        </is>
      </c>
      <c r="B38" s="97" t="inlineStr">
        <is>
          <t>Plan</t>
        </is>
      </c>
      <c r="C38" s="97" t="inlineStr">
        <is>
          <t>Commission</t>
        </is>
      </c>
      <c r="D38" s="97" t="inlineStr">
        <is>
          <t>Amount</t>
        </is>
      </c>
      <c r="E38" s="2" t="n"/>
      <c r="F38" s="97" t="inlineStr">
        <is>
          <t>Month</t>
        </is>
      </c>
      <c r="G38" s="97" t="inlineStr">
        <is>
          <t>Plan</t>
        </is>
      </c>
      <c r="H38" s="97" t="inlineStr">
        <is>
          <t>Commission</t>
        </is>
      </c>
      <c r="I38" s="97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05">
        <f>D329</f>
        <v/>
      </c>
      <c r="U38" s="105">
        <f>B322</f>
        <v/>
      </c>
      <c r="V38" s="105">
        <f>C322</f>
        <v/>
      </c>
      <c r="W38" s="1" t="n"/>
      <c r="X38" s="105">
        <f>I329</f>
        <v/>
      </c>
      <c r="Y38" s="105">
        <f>G322</f>
        <v/>
      </c>
      <c r="Z38" s="105">
        <f>H322</f>
        <v/>
      </c>
    </row>
    <row r="39" ht="20.25" customHeight="1" thickBot="1" thickTop="1">
      <c r="A39" s="97" t="n">
        <v>8</v>
      </c>
      <c r="B39" s="97" t="n">
        <v>250000</v>
      </c>
      <c r="C39" s="97">
        <f>VLOOKUP(A39&amp;"|"&amp;B39,$O$3:$P$16,2,FALSE)</f>
        <v/>
      </c>
      <c r="D39" s="97">
        <f>VLOOKUP(A39&amp;"|"&amp;B39,$Q$3:$R$16,2,FALSE)</f>
        <v/>
      </c>
      <c r="E39" s="2" t="n"/>
      <c r="F39" s="97" t="n">
        <v>14.1</v>
      </c>
      <c r="G39" s="97" t="n">
        <v>1000000</v>
      </c>
      <c r="H39" s="97">
        <f>VLOOKUP(F39&amp;"|"&amp;G39,$O$3:$P$16,2,FALSE)</f>
        <v/>
      </c>
      <c r="I39" s="97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05">
        <f>D338</f>
        <v/>
      </c>
      <c r="U39" s="105">
        <f>B331</f>
        <v/>
      </c>
      <c r="V39" s="105">
        <f>C331</f>
        <v/>
      </c>
      <c r="W39" s="1" t="n"/>
      <c r="X39" s="105">
        <f>I338</f>
        <v/>
      </c>
      <c r="Y39" s="105">
        <f>G331</f>
        <v/>
      </c>
      <c r="Z39" s="105">
        <f>H331</f>
        <v/>
      </c>
    </row>
    <row r="40" ht="20.25" customHeight="1" thickBot="1" thickTop="1">
      <c r="A40" s="97" t="n">
        <v>14</v>
      </c>
      <c r="B40" s="97" t="n">
        <v>250000</v>
      </c>
      <c r="C40" s="97">
        <f>VLOOKUP(A40&amp;"|"&amp;B40,$O$3:$P$18,2,FALSE)</f>
        <v/>
      </c>
      <c r="D40" s="97">
        <f>VLOOKUP(A40&amp;"|"&amp;B40,$Q$3:$R$18,2,FALSE)</f>
        <v/>
      </c>
      <c r="E40" s="2" t="n"/>
      <c r="F40" s="97" t="n">
        <v>3</v>
      </c>
      <c r="G40" s="97" t="n">
        <v>2000000</v>
      </c>
      <c r="H40" s="97">
        <f>VLOOKUP(F40&amp;"|"&amp;G40,$O$3:$P$16,2,FALSE)</f>
        <v/>
      </c>
      <c r="I40" s="97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05">
        <f>D347</f>
        <v/>
      </c>
      <c r="U40" s="105">
        <f>B340</f>
        <v/>
      </c>
      <c r="V40" s="105">
        <f>C340</f>
        <v/>
      </c>
      <c r="W40" s="1" t="n"/>
      <c r="X40" s="105">
        <f>I347</f>
        <v/>
      </c>
      <c r="Y40" s="105">
        <f>G340</f>
        <v/>
      </c>
      <c r="Z40" s="105">
        <f>H340</f>
        <v/>
      </c>
    </row>
    <row r="41" ht="20.25" customHeight="1" thickBot="1" thickTop="1">
      <c r="A41" s="97" t="n"/>
      <c r="B41" s="97" t="n"/>
      <c r="C41" s="97" t="n"/>
      <c r="D41" s="97" t="n"/>
      <c r="E41" s="2" t="n"/>
      <c r="F41" s="97" t="n"/>
      <c r="G41" s="97" t="n"/>
      <c r="H41" s="97" t="n"/>
      <c r="I41" s="9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05">
        <f>D356</f>
        <v/>
      </c>
      <c r="U41" s="105">
        <f>B349</f>
        <v/>
      </c>
      <c r="V41" s="105">
        <f>C349</f>
        <v/>
      </c>
      <c r="W41" s="1" t="n"/>
      <c r="X41" s="105">
        <f>I356</f>
        <v/>
      </c>
      <c r="Y41" s="105">
        <f>G349</f>
        <v/>
      </c>
      <c r="Z41" s="105">
        <f>H349</f>
        <v/>
      </c>
    </row>
    <row r="42" ht="20.25" customHeight="1" thickBot="1" thickTop="1">
      <c r="A42" s="97" t="n"/>
      <c r="B42" s="97" t="n"/>
      <c r="C42" s="97" t="n"/>
      <c r="D42" s="97" t="n"/>
      <c r="E42" s="2" t="n"/>
      <c r="F42" s="97" t="n"/>
      <c r="G42" s="97" t="n"/>
      <c r="H42" s="97" t="n"/>
      <c r="I42" s="9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05">
        <f>D365</f>
        <v/>
      </c>
      <c r="U42" s="105">
        <f>B358</f>
        <v/>
      </c>
      <c r="V42" s="105">
        <f>C358</f>
        <v/>
      </c>
      <c r="W42" s="1" t="n"/>
      <c r="X42" s="105">
        <f>I365</f>
        <v/>
      </c>
      <c r="Y42" s="105">
        <f>G358</f>
        <v/>
      </c>
      <c r="Z42" s="105">
        <f>H358</f>
        <v/>
      </c>
    </row>
    <row r="43" ht="20.25" customHeight="1" thickBot="1" thickTop="1">
      <c r="A43" s="97" t="n"/>
      <c r="B43" s="97" t="n"/>
      <c r="C43" s="97" t="n"/>
      <c r="D43" s="97" t="n"/>
      <c r="E43" s="2" t="n"/>
      <c r="F43" s="97" t="n"/>
      <c r="G43" s="97" t="n"/>
      <c r="H43" s="97" t="n"/>
      <c r="I43" s="9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05">
        <f>D374</f>
        <v/>
      </c>
      <c r="U43" s="105">
        <f>B367</f>
        <v/>
      </c>
      <c r="V43" s="105">
        <f>C367</f>
        <v/>
      </c>
      <c r="W43" s="1" t="n"/>
      <c r="X43" s="105">
        <f>I374</f>
        <v/>
      </c>
      <c r="Y43" s="105">
        <f>G367</f>
        <v/>
      </c>
      <c r="Z43" s="105">
        <f>H367</f>
        <v/>
      </c>
    </row>
    <row r="44" ht="20.25" customHeight="1" thickBot="1" thickTop="1">
      <c r="A44" s="97" t="inlineStr">
        <is>
          <t>Total Payable</t>
        </is>
      </c>
      <c r="B44" s="107" t="n"/>
      <c r="C44" s="108" t="n"/>
      <c r="D44" s="90">
        <f>SUM(D39:D43)</f>
        <v/>
      </c>
      <c r="E44" s="2" t="n"/>
      <c r="F44" s="97" t="inlineStr">
        <is>
          <t>Total Payable</t>
        </is>
      </c>
      <c r="G44" s="107" t="n"/>
      <c r="H44" s="108" t="n"/>
      <c r="I44" s="97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05">
        <f>D383</f>
        <v/>
      </c>
      <c r="U44" s="105">
        <f>B376</f>
        <v/>
      </c>
      <c r="V44" s="105">
        <f>C376</f>
        <v/>
      </c>
      <c r="W44" s="1" t="n"/>
      <c r="X44" s="105">
        <f>I383</f>
        <v/>
      </c>
      <c r="Y44" s="105">
        <f>G376</f>
        <v/>
      </c>
      <c r="Z44" s="105">
        <f>H376</f>
        <v/>
      </c>
    </row>
    <row r="45" ht="16.5" customHeight="1" thickBot="1" thickTop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05">
        <f>D392</f>
        <v/>
      </c>
      <c r="U45" s="105">
        <f>B385</f>
        <v/>
      </c>
      <c r="V45" s="105">
        <f>C385</f>
        <v/>
      </c>
      <c r="W45" s="1" t="n"/>
      <c r="X45" s="105">
        <f>I392</f>
        <v/>
      </c>
      <c r="Y45" s="105">
        <f>G385</f>
        <v/>
      </c>
      <c r="Z45" s="105">
        <f>H385</f>
        <v/>
      </c>
    </row>
    <row r="46" ht="20.25" customHeight="1" thickBot="1" thickTop="1">
      <c r="A46" s="97" t="inlineStr">
        <is>
          <t>Name</t>
        </is>
      </c>
      <c r="B46" s="97" t="inlineStr">
        <is>
          <t>RAMESHJI</t>
        </is>
      </c>
      <c r="C46" s="97" t="inlineStr">
        <is>
          <t>HITECH</t>
        </is>
      </c>
      <c r="D46" s="9" t="n">
        <v>45844</v>
      </c>
      <c r="E46" s="2" t="n"/>
      <c r="F46" s="97" t="inlineStr">
        <is>
          <t>Name</t>
        </is>
      </c>
      <c r="G46" s="97" t="inlineStr">
        <is>
          <t>CHANDUJI</t>
        </is>
      </c>
      <c r="H46" s="97" t="inlineStr">
        <is>
          <t>KAMMAN</t>
        </is>
      </c>
      <c r="I46" s="9" t="n">
        <v>45844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05">
        <f>D401</f>
        <v/>
      </c>
      <c r="U46" s="105">
        <f>B394</f>
        <v/>
      </c>
      <c r="V46" s="105">
        <f>C394</f>
        <v/>
      </c>
      <c r="W46" s="1" t="n"/>
      <c r="X46" s="105">
        <f>I401</f>
        <v/>
      </c>
      <c r="Y46" s="105">
        <f>G394</f>
        <v/>
      </c>
      <c r="Z46" s="105">
        <f>H394</f>
        <v/>
      </c>
    </row>
    <row r="47" ht="20.25" customHeight="1" thickBot="1" thickTop="1">
      <c r="A47" s="97" t="inlineStr">
        <is>
          <t>Month</t>
        </is>
      </c>
      <c r="B47" s="97" t="inlineStr">
        <is>
          <t>Plan</t>
        </is>
      </c>
      <c r="C47" s="97" t="inlineStr">
        <is>
          <t>Commission</t>
        </is>
      </c>
      <c r="D47" s="97" t="inlineStr">
        <is>
          <t>Amount</t>
        </is>
      </c>
      <c r="E47" s="2" t="n"/>
      <c r="F47" s="97" t="inlineStr">
        <is>
          <t>Month</t>
        </is>
      </c>
      <c r="G47" s="97" t="inlineStr">
        <is>
          <t>Plan</t>
        </is>
      </c>
      <c r="H47" s="97" t="inlineStr">
        <is>
          <t>Commission</t>
        </is>
      </c>
      <c r="I47" s="97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05">
        <f>D410</f>
        <v/>
      </c>
      <c r="U47" s="1">
        <f>B403</f>
        <v/>
      </c>
      <c r="V47" s="1">
        <f>C403</f>
        <v/>
      </c>
      <c r="W47" s="1" t="n"/>
      <c r="X47" s="105">
        <f>I410</f>
        <v/>
      </c>
      <c r="Y47" s="105">
        <f>G403</f>
        <v/>
      </c>
      <c r="Z47" s="105">
        <f>H403</f>
        <v/>
      </c>
    </row>
    <row r="48" ht="20.25" customHeight="1" thickBot="1" thickTop="1">
      <c r="A48" s="97" t="n">
        <v>14.1</v>
      </c>
      <c r="B48" s="97" t="n">
        <v>500000</v>
      </c>
      <c r="C48" s="97">
        <f>VLOOKUP(A48&amp;"|"&amp;B48,$O$3:$P$16,2,FALSE)</f>
        <v/>
      </c>
      <c r="D48" s="97">
        <f>VLOOKUP(A48&amp;"|"&amp;B48,$Q$3:$R$16,2,FALSE)</f>
        <v/>
      </c>
      <c r="E48" s="2" t="n"/>
      <c r="F48" s="97" t="n">
        <v>11</v>
      </c>
      <c r="G48" s="97" t="n">
        <v>500000</v>
      </c>
      <c r="H48" s="97">
        <f>VLOOKUP(F48&amp;"|"&amp;G48,$O$3:$P$16,2,FALSE)</f>
        <v/>
      </c>
      <c r="I48" s="97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05">
        <f>D419</f>
        <v/>
      </c>
      <c r="U48" s="1">
        <f>B412</f>
        <v/>
      </c>
      <c r="V48" s="1">
        <f>C412</f>
        <v/>
      </c>
      <c r="W48" s="1" t="n"/>
      <c r="X48" s="105">
        <f>I419</f>
        <v/>
      </c>
      <c r="Y48" s="105">
        <f>G412</f>
        <v/>
      </c>
      <c r="Z48" s="105">
        <f>H412</f>
        <v/>
      </c>
    </row>
    <row r="49" ht="20.25" customHeight="1" thickBot="1" thickTop="1">
      <c r="A49" s="97" t="n"/>
      <c r="B49" s="97" t="n"/>
      <c r="C49" s="97" t="n"/>
      <c r="D49" s="97" t="n"/>
      <c r="E49" s="2" t="n"/>
      <c r="F49" s="97" t="n"/>
      <c r="G49" s="97" t="n"/>
      <c r="H49" s="97" t="n"/>
      <c r="I49" s="9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05">
        <f>D428</f>
        <v/>
      </c>
      <c r="U49" s="1">
        <f>B421</f>
        <v/>
      </c>
      <c r="V49" s="1">
        <f>C421</f>
        <v/>
      </c>
      <c r="W49" s="1" t="n"/>
      <c r="X49" s="105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97" t="n"/>
      <c r="B50" s="97" t="n"/>
      <c r="C50" s="97" t="n"/>
      <c r="D50" s="97" t="n"/>
      <c r="E50" s="2" t="n"/>
      <c r="F50" s="97" t="n"/>
      <c r="G50" s="97" t="n"/>
      <c r="H50" s="97" t="n"/>
      <c r="I50" s="9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05">
        <f>D437</f>
        <v/>
      </c>
      <c r="U50" s="1">
        <f>B430</f>
        <v/>
      </c>
      <c r="V50" s="1">
        <f>C430</f>
        <v/>
      </c>
      <c r="W50" s="1" t="n"/>
      <c r="X50" s="105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97" t="n"/>
      <c r="B51" s="97" t="n"/>
      <c r="C51" s="97" t="n"/>
      <c r="D51" s="97" t="n"/>
      <c r="E51" s="2" t="n"/>
      <c r="F51" s="97" t="n"/>
      <c r="G51" s="97" t="n"/>
      <c r="H51" s="97" t="n"/>
      <c r="I51" s="9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05">
        <f>D446</f>
        <v/>
      </c>
      <c r="U51" s="1">
        <f>B439</f>
        <v/>
      </c>
      <c r="V51" s="1">
        <f>C439</f>
        <v/>
      </c>
      <c r="W51" s="1" t="n"/>
      <c r="X51" s="105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97" t="n"/>
      <c r="B52" s="97" t="n"/>
      <c r="C52" s="97" t="n"/>
      <c r="D52" s="97" t="n"/>
      <c r="E52" s="2" t="n"/>
      <c r="F52" s="97" t="n"/>
      <c r="G52" s="97" t="n"/>
      <c r="H52" s="97" t="n"/>
      <c r="I52" s="9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5">
        <f>D455</f>
        <v/>
      </c>
      <c r="U52" s="1">
        <f>B448</f>
        <v/>
      </c>
      <c r="V52" s="1">
        <f>C448</f>
        <v/>
      </c>
      <c r="W52" s="1" t="n"/>
      <c r="X52" s="105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97" t="inlineStr">
        <is>
          <t>Total Payable</t>
        </is>
      </c>
      <c r="B53" s="107" t="n"/>
      <c r="C53" s="108" t="n"/>
      <c r="D53" s="90">
        <f>SUM(D48:D52)</f>
        <v/>
      </c>
      <c r="E53" s="2" t="n"/>
      <c r="F53" s="97" t="inlineStr">
        <is>
          <t>Total Payable</t>
        </is>
      </c>
      <c r="G53" s="107" t="n"/>
      <c r="H53" s="108" t="n"/>
      <c r="I53" s="97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05">
        <f>D464</f>
        <v/>
      </c>
      <c r="U53" s="1">
        <f>B457</f>
        <v/>
      </c>
      <c r="V53" s="1">
        <f>C457</f>
        <v/>
      </c>
      <c r="W53" s="1" t="n"/>
      <c r="X53" s="105">
        <f>I464</f>
        <v/>
      </c>
      <c r="Y53" s="1">
        <f>G457</f>
        <v/>
      </c>
      <c r="Z53" s="1">
        <f>H457</f>
        <v/>
      </c>
    </row>
    <row r="54" ht="16.5" customHeight="1" thickBot="1" thickTop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05">
        <f>D473</f>
        <v/>
      </c>
      <c r="U54" s="1">
        <f>B466</f>
        <v/>
      </c>
      <c r="V54" s="1">
        <f>C466</f>
        <v/>
      </c>
      <c r="W54" s="1" t="n"/>
      <c r="X54" s="105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97" t="inlineStr">
        <is>
          <t>Name</t>
        </is>
      </c>
      <c r="B55" s="97" t="inlineStr">
        <is>
          <t>SOHANJI</t>
        </is>
      </c>
      <c r="C55" s="97" t="inlineStr">
        <is>
          <t>KOTLAPUR</t>
        </is>
      </c>
      <c r="D55" s="9" t="n">
        <v>45844</v>
      </c>
      <c r="E55" s="2" t="n"/>
      <c r="F55" s="97" t="inlineStr">
        <is>
          <t>Name</t>
        </is>
      </c>
      <c r="G55" s="97" t="inlineStr">
        <is>
          <t>DEEPAKJI</t>
        </is>
      </c>
      <c r="H55" s="97" t="inlineStr">
        <is>
          <t>SUCHITRA</t>
        </is>
      </c>
      <c r="I55" s="9" t="n">
        <v>45844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05">
        <f>D482</f>
        <v/>
      </c>
      <c r="U55" s="1">
        <f>B475</f>
        <v/>
      </c>
      <c r="V55" s="1">
        <f>C475</f>
        <v/>
      </c>
      <c r="W55" s="105" t="n"/>
      <c r="X55" s="105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97" t="inlineStr">
        <is>
          <t>Month</t>
        </is>
      </c>
      <c r="B56" s="97" t="inlineStr">
        <is>
          <t>Plan</t>
        </is>
      </c>
      <c r="C56" s="97" t="inlineStr">
        <is>
          <t>Commission</t>
        </is>
      </c>
      <c r="D56" s="97" t="inlineStr">
        <is>
          <t>Amount</t>
        </is>
      </c>
      <c r="E56" s="2" t="n"/>
      <c r="F56" s="97" t="inlineStr">
        <is>
          <t>Month</t>
        </is>
      </c>
      <c r="G56" s="97" t="inlineStr">
        <is>
          <t>Plan</t>
        </is>
      </c>
      <c r="H56" s="97" t="inlineStr">
        <is>
          <t>Commission</t>
        </is>
      </c>
      <c r="I56" s="97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05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105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97" t="n">
        <v>14.1</v>
      </c>
      <c r="B57" s="97" t="n">
        <v>1000000</v>
      </c>
      <c r="C57" s="97">
        <f>VLOOKUP(A57&amp;"|"&amp;B57,$O$3:$P$16,2,FALSE)</f>
        <v/>
      </c>
      <c r="D57" s="97">
        <f>VLOOKUP(A57&amp;"|"&amp;B57,$Q$3:$R$16,2,FALSE)</f>
        <v/>
      </c>
      <c r="E57" s="2" t="n"/>
      <c r="F57" s="97" t="n">
        <v>18.1</v>
      </c>
      <c r="G57" s="97" t="n">
        <v>500000</v>
      </c>
      <c r="H57" s="97">
        <f>VLOOKUP(F57&amp;"|"&amp;G57,$O$3:$P$19,2,FALSE)</f>
        <v/>
      </c>
      <c r="I57" s="97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05">
        <f>D500</f>
        <v/>
      </c>
      <c r="U57" s="1">
        <f>B493</f>
        <v/>
      </c>
      <c r="V57" s="1">
        <f>C493</f>
        <v/>
      </c>
      <c r="W57" s="1" t="n"/>
      <c r="X57" s="105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97" t="n">
        <v>18</v>
      </c>
      <c r="B58" s="97" t="n">
        <v>500000</v>
      </c>
      <c r="C58" s="97">
        <f>VLOOKUP(A58&amp;"|"&amp;B58,$O$3:$P$16,2,FALSE)</f>
        <v/>
      </c>
      <c r="D58" s="97">
        <f>VLOOKUP(A58&amp;"|"&amp;B58,$Q$3:$R$16,2,FALSE)</f>
        <v/>
      </c>
      <c r="E58" s="2" t="n"/>
      <c r="F58" s="97" t="n">
        <v>3</v>
      </c>
      <c r="G58" s="97" t="n">
        <v>500000</v>
      </c>
      <c r="H58" s="97">
        <f>VLOOKUP(F58&amp;"|"&amp;G58,$O$3:$P$19,2,FALSE)</f>
        <v/>
      </c>
      <c r="I58" s="97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05">
        <f>D509</f>
        <v/>
      </c>
      <c r="U58" s="105">
        <f>B502</f>
        <v/>
      </c>
      <c r="V58" s="1">
        <f>C502</f>
        <v/>
      </c>
      <c r="W58" s="1" t="n"/>
      <c r="X58" s="105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97" t="n"/>
      <c r="B59" s="97" t="n"/>
      <c r="C59" s="97" t="n"/>
      <c r="D59" s="97" t="n"/>
      <c r="E59" s="2" t="n"/>
      <c r="F59" s="97" t="n"/>
      <c r="G59" s="97" t="n"/>
      <c r="H59" s="97" t="n"/>
      <c r="I59" s="9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05">
        <f>D518</f>
        <v/>
      </c>
      <c r="U59" s="1">
        <f>B511</f>
        <v/>
      </c>
      <c r="V59" s="1">
        <f>C511</f>
        <v/>
      </c>
      <c r="W59" s="105" t="n"/>
      <c r="X59" s="105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97" t="n"/>
      <c r="B60" s="97" t="n"/>
      <c r="C60" s="97" t="n"/>
      <c r="D60" s="97" t="n"/>
      <c r="E60" s="2" t="n"/>
      <c r="F60" s="97" t="n"/>
      <c r="G60" s="97" t="n"/>
      <c r="H60" s="97" t="n"/>
      <c r="I60" s="9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05">
        <f>D527</f>
        <v/>
      </c>
      <c r="U60" s="1">
        <f>B520</f>
        <v/>
      </c>
      <c r="V60" s="1">
        <f>C520</f>
        <v/>
      </c>
      <c r="W60" s="1" t="n"/>
      <c r="X60" s="105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97" t="n"/>
      <c r="B61" s="97" t="n"/>
      <c r="C61" s="97" t="n"/>
      <c r="D61" s="97" t="n"/>
      <c r="E61" s="2" t="n"/>
      <c r="F61" s="97" t="n"/>
      <c r="G61" s="97" t="n"/>
      <c r="H61" s="97" t="n"/>
      <c r="I61" s="9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05">
        <f>D536</f>
        <v/>
      </c>
      <c r="U61" s="1">
        <f>B529</f>
        <v/>
      </c>
      <c r="V61" s="1">
        <f>C529</f>
        <v/>
      </c>
      <c r="W61" s="1" t="n"/>
      <c r="X61" s="105" t="n"/>
      <c r="Y61" s="1" t="n"/>
      <c r="Z61" s="1" t="n"/>
    </row>
    <row r="62" ht="20.25" customHeight="1" thickBot="1" thickTop="1">
      <c r="A62" s="97" t="inlineStr">
        <is>
          <t>Total Payable</t>
        </is>
      </c>
      <c r="B62" s="107" t="n"/>
      <c r="C62" s="108" t="n"/>
      <c r="D62" s="90">
        <f>SUM(D57:D61)</f>
        <v/>
      </c>
      <c r="E62" s="2" t="n"/>
      <c r="F62" s="97" t="inlineStr">
        <is>
          <t>Total Payable</t>
        </is>
      </c>
      <c r="G62" s="107" t="n"/>
      <c r="H62" s="108" t="n"/>
      <c r="I62" s="97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05" t="n"/>
      <c r="U62" s="1" t="n"/>
      <c r="V62" s="1" t="n"/>
      <c r="W62" s="105" t="n"/>
      <c r="X62" s="1" t="n"/>
      <c r="Y62" s="1" t="n"/>
      <c r="Z62" s="1" t="n"/>
    </row>
    <row r="63" ht="20.25" customHeight="1" thickBot="1" thickTop="1">
      <c r="A63" s="91" t="n"/>
      <c r="B63" s="91" t="n"/>
      <c r="C63" s="91" t="n"/>
      <c r="D63" s="91" t="n"/>
      <c r="E63" s="2" t="n"/>
      <c r="F63" s="91" t="n"/>
      <c r="G63" s="91" t="n"/>
      <c r="H63" s="91" t="n"/>
      <c r="I63" s="9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05">
        <f>SUM(T3:T62)</f>
        <v/>
      </c>
      <c r="U63" s="1" t="n"/>
      <c r="V63" s="1" t="n"/>
      <c r="W63" s="1" t="n"/>
      <c r="X63" s="105">
        <f>SUM(X3:X62)</f>
        <v/>
      </c>
      <c r="Y63" s="1" t="n"/>
      <c r="Z63" s="1" t="n"/>
    </row>
    <row r="64" ht="20.25" customHeight="1" thickBot="1" thickTop="1">
      <c r="A64" s="12" t="inlineStr">
        <is>
          <t>NAME</t>
        </is>
      </c>
      <c r="B64" s="12" t="inlineStr">
        <is>
          <t>KUNARAMJI</t>
        </is>
      </c>
      <c r="C64" s="12" t="inlineStr">
        <is>
          <t>GANDHI NGR</t>
        </is>
      </c>
      <c r="D64" s="9" t="n">
        <v>45844</v>
      </c>
      <c r="E64" s="2" t="n"/>
      <c r="F64" s="97" t="inlineStr">
        <is>
          <t>Name</t>
        </is>
      </c>
      <c r="G64" s="97" t="inlineStr">
        <is>
          <t>CHENARAMJI</t>
        </is>
      </c>
      <c r="H64" s="97" t="inlineStr">
        <is>
          <t>CHINTAL</t>
        </is>
      </c>
      <c r="I64" s="9" t="n">
        <v>45844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thickBot="1" thickTop="1">
      <c r="A65" s="97" t="inlineStr">
        <is>
          <t>Month</t>
        </is>
      </c>
      <c r="B65" s="97" t="inlineStr">
        <is>
          <t>Plan</t>
        </is>
      </c>
      <c r="C65" s="97" t="inlineStr">
        <is>
          <t>Commission</t>
        </is>
      </c>
      <c r="D65" s="97" t="inlineStr">
        <is>
          <t>Amount</t>
        </is>
      </c>
      <c r="E65" s="2" t="n"/>
      <c r="F65" s="97" t="inlineStr">
        <is>
          <t>Month</t>
        </is>
      </c>
      <c r="G65" s="97" t="inlineStr">
        <is>
          <t>Plan</t>
        </is>
      </c>
      <c r="H65" s="97" t="inlineStr">
        <is>
          <t>Commission</t>
        </is>
      </c>
      <c r="I65" s="97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thickBot="1" thickTop="1">
      <c r="A66" s="97" t="n">
        <v>14.1</v>
      </c>
      <c r="B66" s="97" t="n">
        <v>500000</v>
      </c>
      <c r="C66" s="97">
        <f>VLOOKUP(A66&amp;"|"&amp;B66,$O$3:$P$17,2,FALSE)</f>
        <v/>
      </c>
      <c r="D66" s="97">
        <f>VLOOKUP(A66&amp;"|"&amp;B66,$Q$3:$R$17,2,FALSE)</f>
        <v/>
      </c>
      <c r="E66" s="2" t="n"/>
      <c r="F66" s="97" t="n">
        <v>14.1</v>
      </c>
      <c r="G66" s="97" t="n">
        <v>500000</v>
      </c>
      <c r="H66" s="97">
        <f>VLOOKUP(F66&amp;"|"&amp;G66,$O$3:$P$16,2,FALSE)</f>
        <v/>
      </c>
      <c r="I66" s="97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inlineStr">
        <is>
          <t>TOTAL</t>
        </is>
      </c>
      <c r="W66" s="105">
        <f>SUM(T63,X63)</f>
        <v/>
      </c>
      <c r="X66" s="1" t="n"/>
      <c r="Y66" s="1" t="n"/>
      <c r="Z66" s="1" t="n"/>
    </row>
    <row r="67" ht="20.25" customHeight="1" thickBot="1" thickTop="1">
      <c r="A67" s="97" t="n">
        <v>3</v>
      </c>
      <c r="B67" s="97" t="n">
        <v>2000000</v>
      </c>
      <c r="C67" s="97">
        <f>VLOOKUP(A67&amp;"|"&amp;B67,$O$3:$P$17,2,FALSE)</f>
        <v/>
      </c>
      <c r="D67" s="97">
        <f>VLOOKUP(A67&amp;"|"&amp;B67,$Q$3:$R$17,2,FALSE)</f>
        <v/>
      </c>
      <c r="E67" s="2" t="n"/>
      <c r="F67" s="97" t="n">
        <v>3</v>
      </c>
      <c r="G67" s="97" t="n">
        <v>500000</v>
      </c>
      <c r="H67" s="97">
        <f>VLOOKUP(F67&amp;"|"&amp;G67,$O$3:$P$16,2,FALSE)</f>
        <v/>
      </c>
      <c r="I67" s="97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97" t="n"/>
      <c r="B68" s="97" t="n"/>
      <c r="C68" s="97" t="n"/>
      <c r="D68" s="97" t="n"/>
      <c r="E68" s="2" t="n"/>
      <c r="F68" s="97" t="n"/>
      <c r="G68" s="97" t="n"/>
      <c r="H68" s="97" t="n"/>
      <c r="I68" s="9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97" t="n"/>
      <c r="B69" s="97" t="n"/>
      <c r="C69" s="97" t="n"/>
      <c r="D69" s="97" t="n"/>
      <c r="E69" s="2" t="n"/>
      <c r="F69" s="97" t="n"/>
      <c r="G69" s="97" t="n"/>
      <c r="H69" s="97" t="n"/>
      <c r="I69" s="9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thickBot="1" thickTop="1">
      <c r="A70" s="97" t="n"/>
      <c r="B70" s="97" t="n"/>
      <c r="C70" s="97" t="n"/>
      <c r="D70" s="97" t="n"/>
      <c r="E70" s="2" t="n"/>
      <c r="F70" s="52" t="n"/>
      <c r="G70" s="52" t="n"/>
      <c r="H70" s="52" t="n"/>
      <c r="I70" s="52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81" t="inlineStr">
        <is>
          <t>TOTAL PAYABLE</t>
        </is>
      </c>
      <c r="B71" s="82" t="n"/>
      <c r="C71" s="83" t="n"/>
      <c r="D71" s="97">
        <f>SUM(D66:D70)</f>
        <v/>
      </c>
      <c r="E71" s="2" t="n"/>
      <c r="F71" s="97" t="inlineStr">
        <is>
          <t>Total Payable</t>
        </is>
      </c>
      <c r="G71" s="107" t="n"/>
      <c r="H71" s="108" t="n"/>
      <c r="I71" s="97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thickBot="1" thickTop="1">
      <c r="A72" s="91" t="n"/>
      <c r="B72" s="91" t="n"/>
      <c r="C72" s="91" t="n"/>
      <c r="D72" s="91" t="n"/>
      <c r="E72" s="2" t="n"/>
      <c r="F72" s="91" t="n"/>
      <c r="G72" s="91" t="n"/>
      <c r="H72" s="91" t="n"/>
      <c r="I72" s="9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97" t="inlineStr">
        <is>
          <t>Name</t>
        </is>
      </c>
      <c r="B73" s="97" t="inlineStr">
        <is>
          <t>MATAJI</t>
        </is>
      </c>
      <c r="C73" s="97" t="inlineStr">
        <is>
          <t>G.R</t>
        </is>
      </c>
      <c r="D73" s="9" t="n">
        <v>45844</v>
      </c>
      <c r="E73" s="2" t="n"/>
      <c r="F73" s="97" t="inlineStr">
        <is>
          <t>Name</t>
        </is>
      </c>
      <c r="G73" s="97" t="inlineStr">
        <is>
          <t>MATAJI</t>
        </is>
      </c>
      <c r="H73" s="97" t="inlineStr">
        <is>
          <t>J.E.W</t>
        </is>
      </c>
      <c r="I73" s="9" t="n">
        <v>45844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97" t="inlineStr">
        <is>
          <t>Month</t>
        </is>
      </c>
      <c r="B74" s="97" t="inlineStr">
        <is>
          <t>Plan</t>
        </is>
      </c>
      <c r="C74" s="97" t="inlineStr">
        <is>
          <t>Commission</t>
        </is>
      </c>
      <c r="D74" s="97" t="inlineStr">
        <is>
          <t>Amount</t>
        </is>
      </c>
      <c r="E74" s="2" t="n"/>
      <c r="F74" s="97" t="inlineStr">
        <is>
          <t>Month</t>
        </is>
      </c>
      <c r="G74" s="97" t="inlineStr">
        <is>
          <t>Plan</t>
        </is>
      </c>
      <c r="H74" s="97" t="inlineStr">
        <is>
          <t>Commission</t>
        </is>
      </c>
      <c r="I74" s="97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97" t="n">
        <v>14</v>
      </c>
      <c r="B75" s="97" t="n">
        <v>1000000</v>
      </c>
      <c r="C75" s="97">
        <f>VLOOKUP(A75&amp;"|"&amp;B75,$O$3:$P$16,2,FALSE)</f>
        <v/>
      </c>
      <c r="D75" s="97">
        <f>VLOOKUP(A75&amp;"|"&amp;B75,$Q$3:$R$16,2,FALSE)</f>
        <v/>
      </c>
      <c r="E75" s="2" t="n"/>
      <c r="F75" s="97" t="n">
        <v>18</v>
      </c>
      <c r="G75" s="97" t="n">
        <v>1000000</v>
      </c>
      <c r="H75" s="97">
        <f>VLOOKUP(F75&amp;"|"&amp;G75,$O$3:$P$16,2,FALSE)</f>
        <v/>
      </c>
      <c r="I75" s="97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97" t="n">
        <v>14.1</v>
      </c>
      <c r="B76" s="97" t="n">
        <v>1000000</v>
      </c>
      <c r="C76" s="97">
        <f>VLOOKUP(A76&amp;"|"&amp;B76,$O$3:$P$16,2,FALSE)</f>
        <v/>
      </c>
      <c r="D76" s="97">
        <f>VLOOKUP(A76&amp;"|"&amp;B76,$Q$3:$R$16,2,FALSE)</f>
        <v/>
      </c>
      <c r="E76" s="2" t="n"/>
      <c r="F76" s="97" t="n">
        <v>18</v>
      </c>
      <c r="G76" s="97" t="n">
        <v>1000000</v>
      </c>
      <c r="H76" s="97">
        <f>VLOOKUP(F76&amp;"|"&amp;G76,$O$3:$P$16,2,FALSE)</f>
        <v/>
      </c>
      <c r="I76" s="97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97" t="n">
        <v>18</v>
      </c>
      <c r="B77" s="97" t="n">
        <v>1000000</v>
      </c>
      <c r="C77" s="97">
        <f>VLOOKUP(A77&amp;"|"&amp;B77,$O$3:$P$16,2,FALSE)</f>
        <v/>
      </c>
      <c r="D77" s="97">
        <f>VLOOKUP(A77&amp;"|"&amp;B77,$Q$3:$R$16,2,FALSE)</f>
        <v/>
      </c>
      <c r="E77" s="2" t="n"/>
      <c r="F77" s="97" t="n">
        <v>18</v>
      </c>
      <c r="G77" s="97" t="n">
        <v>500000</v>
      </c>
      <c r="H77" s="97">
        <f>VLOOKUP(F77&amp;"|"&amp;G77,$O$3:$P$16,2,FALSE)</f>
        <v/>
      </c>
      <c r="I77" s="97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97" t="n">
        <v>18</v>
      </c>
      <c r="B78" s="97" t="n">
        <v>1000000</v>
      </c>
      <c r="C78" s="97">
        <f>VLOOKUP(A78&amp;"|"&amp;B78,$O$3:$P$16,2,FALSE)</f>
        <v/>
      </c>
      <c r="D78" s="97">
        <f>VLOOKUP(A78&amp;"|"&amp;B78,$Q$3:$R$16,2,FALSE)</f>
        <v/>
      </c>
      <c r="E78" s="2" t="n"/>
      <c r="F78" s="97" t="n">
        <v>14.1</v>
      </c>
      <c r="G78" s="97" t="n">
        <v>1000000</v>
      </c>
      <c r="H78" s="97">
        <f>VLOOKUP(F78&amp;"|"&amp;G78,$O$3:$P$16,2,FALSE)</f>
        <v/>
      </c>
      <c r="I78" s="97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97" t="n">
        <v>3</v>
      </c>
      <c r="B79" s="97" t="n">
        <v>2000000</v>
      </c>
      <c r="C79" s="97">
        <f>VLOOKUP(A79&amp;"|"&amp;B79,$O$3:$P$16,2,FALSE)</f>
        <v/>
      </c>
      <c r="D79" s="97">
        <f>VLOOKUP(A79&amp;"|"&amp;B79,$Q$3:$R$16,2,FALSE)</f>
        <v/>
      </c>
      <c r="E79" s="2" t="n"/>
      <c r="F79" s="97" t="n">
        <v>3</v>
      </c>
      <c r="G79" s="97" t="n">
        <v>500000</v>
      </c>
      <c r="H79" s="97">
        <f>VLOOKUP(F79&amp;"|"&amp;G79,$O$3:$P$16,2,FALSE)</f>
        <v/>
      </c>
      <c r="I79" s="97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97" t="n">
        <v>8</v>
      </c>
      <c r="B80" s="97" t="n">
        <v>250000</v>
      </c>
      <c r="C80" s="97">
        <f>VLOOKUP(A80&amp;"|"&amp;B80,$O$3:$P$16,2,FALSE)</f>
        <v/>
      </c>
      <c r="D80" s="97">
        <f>VLOOKUP(A80&amp;"|"&amp;B80,$Q$3:$R$16,2,FALSE)</f>
        <v/>
      </c>
      <c r="E80" s="2" t="n"/>
      <c r="F80" s="97" t="n">
        <v>14.1</v>
      </c>
      <c r="G80" s="97" t="n">
        <v>500000</v>
      </c>
      <c r="H80" s="97">
        <f>VLOOKUP(F80&amp;"|"&amp;G80,$O$3:$P$16,2,FALSE)</f>
        <v/>
      </c>
      <c r="I80" s="97">
        <f>VLOOKUP(F80&amp;"|"&amp;G80,$Q$3:$R$16,2,FALSE)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97" t="n">
        <v>14.1</v>
      </c>
      <c r="B81" s="97" t="n">
        <v>500000</v>
      </c>
      <c r="C81" s="97">
        <f>VLOOKUP(A81&amp;"|"&amp;B81,$O$3:$P$16,2,FALSE)</f>
        <v/>
      </c>
      <c r="D81" s="97">
        <f>VLOOKUP(A81&amp;"|"&amp;B81,$Q$3:$R$16,2,FALSE)</f>
        <v/>
      </c>
      <c r="E81" s="2" t="n"/>
      <c r="F81" s="97" t="n">
        <v>18</v>
      </c>
      <c r="G81" s="97" t="n">
        <v>500000</v>
      </c>
      <c r="H81" s="97">
        <f>VLOOKUP(F81&amp;"|"&amp;G81,$O$3:$P$16,2,FALSE)</f>
        <v/>
      </c>
      <c r="I81" s="97">
        <f>VLOOKUP(F81&amp;"|"&amp;G81,$Q$3:$R$16,2,FALSE)</f>
        <v/>
      </c>
      <c r="J81" s="1" t="n"/>
      <c r="K81" s="1" t="n"/>
      <c r="L81" s="113" t="n"/>
      <c r="M81" s="113" t="n"/>
      <c r="N81" s="113" t="n"/>
      <c r="O81" s="11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97" t="n">
        <v>14</v>
      </c>
      <c r="B82" s="97" t="n">
        <v>250000</v>
      </c>
      <c r="C82" s="97">
        <f>VLOOKUP(A82&amp;"|"&amp;B82,$O$3:$P$18,2,FALSE)</f>
        <v/>
      </c>
      <c r="D82" s="97">
        <f>VLOOKUP(A82&amp;"|"&amp;B82,$Q$3:$R$18,2,FALSE)</f>
        <v/>
      </c>
      <c r="E82" s="2" t="n"/>
      <c r="F82" s="97" t="n">
        <v>14</v>
      </c>
      <c r="G82" s="97" t="n">
        <v>500000</v>
      </c>
      <c r="H82" s="97">
        <f>VLOOKUP(F82&amp;"|"&amp;G82,$O$3:$P$16,2,FALSE)</f>
        <v/>
      </c>
      <c r="I82" s="97">
        <f>VLOOKUP(F82&amp;"|"&amp;G82,$Q$3:$R$16,2,FALSE)</f>
        <v/>
      </c>
      <c r="J82" s="1" t="n"/>
      <c r="K82" s="1" t="n"/>
      <c r="L82" s="112" t="n"/>
      <c r="M82" s="112" t="n"/>
      <c r="N82" s="112" t="n"/>
      <c r="O82" s="11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97" t="n"/>
      <c r="B83" s="97" t="n"/>
      <c r="C83" s="97" t="n"/>
      <c r="D83" s="97" t="n"/>
      <c r="E83" s="2" t="n"/>
      <c r="F83" s="97" t="n">
        <v>14.1</v>
      </c>
      <c r="G83" s="97" t="n">
        <v>1000000</v>
      </c>
      <c r="H83" s="97">
        <f>VLOOKUP(F83&amp;"|"&amp;G83,$O$3:$P$16,2,FALSE)</f>
        <v/>
      </c>
      <c r="I83" s="97">
        <f>VLOOKUP(F83&amp;"|"&amp;G83,$Q$3:$R$16,2,FALSE)</f>
        <v/>
      </c>
      <c r="J83" s="1" t="n"/>
      <c r="K83" s="1" t="n"/>
      <c r="L83" s="112" t="n"/>
      <c r="M83" s="112" t="n"/>
      <c r="N83" s="112" t="n"/>
      <c r="O83" s="112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97" t="n"/>
      <c r="B84" s="97" t="n"/>
      <c r="C84" s="97" t="n"/>
      <c r="D84" s="97" t="n"/>
      <c r="E84" s="2" t="n"/>
      <c r="F84" s="97" t="n"/>
      <c r="G84" s="97" t="n"/>
      <c r="H84" s="97" t="n"/>
      <c r="I84" s="9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97" t="inlineStr">
        <is>
          <t>Total Payable</t>
        </is>
      </c>
      <c r="B85" s="97" t="n"/>
      <c r="C85" s="97" t="inlineStr">
        <is>
          <t> </t>
        </is>
      </c>
      <c r="D85" s="97">
        <f>SUM(D75:D84)</f>
        <v/>
      </c>
      <c r="E85" s="2" t="n"/>
      <c r="F85" s="97" t="inlineStr">
        <is>
          <t>Total Payable</t>
        </is>
      </c>
      <c r="G85" s="107" t="n"/>
      <c r="H85" s="108" t="n"/>
      <c r="I85" s="97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thickBot="1" thickTop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97" t="inlineStr">
        <is>
          <t>Name</t>
        </is>
      </c>
      <c r="B87" s="97" t="inlineStr">
        <is>
          <t>MOHANLALJI</t>
        </is>
      </c>
      <c r="C87" s="97" t="inlineStr">
        <is>
          <t>SNT.NAGAR</t>
        </is>
      </c>
      <c r="D87" s="9" t="n">
        <v>45844</v>
      </c>
      <c r="E87" s="2" t="n"/>
      <c r="F87" s="97" t="inlineStr">
        <is>
          <t>Name</t>
        </is>
      </c>
      <c r="G87" s="97" t="inlineStr">
        <is>
          <t>SUNILJI</t>
        </is>
      </c>
      <c r="H87" s="97" t="inlineStr">
        <is>
          <t>S.P</t>
        </is>
      </c>
      <c r="I87" s="9" t="n">
        <v>45844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97" t="inlineStr">
        <is>
          <t>Month</t>
        </is>
      </c>
      <c r="B88" s="97" t="inlineStr">
        <is>
          <t>Plan</t>
        </is>
      </c>
      <c r="C88" s="97" t="inlineStr">
        <is>
          <t>Commission</t>
        </is>
      </c>
      <c r="D88" s="97" t="inlineStr">
        <is>
          <t>Amount</t>
        </is>
      </c>
      <c r="E88" s="2" t="n"/>
      <c r="F88" s="97" t="inlineStr">
        <is>
          <t>Month</t>
        </is>
      </c>
      <c r="G88" s="97" t="inlineStr">
        <is>
          <t>Plan</t>
        </is>
      </c>
      <c r="H88" s="97" t="inlineStr">
        <is>
          <t>Commission</t>
        </is>
      </c>
      <c r="I88" s="97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97" t="n">
        <v>14.1</v>
      </c>
      <c r="B89" s="97" t="n">
        <v>1000000</v>
      </c>
      <c r="C89" s="97">
        <f>VLOOKUP(A89&amp;"|"&amp;B89,$O$3:$P$18,2,FALSE)</f>
        <v/>
      </c>
      <c r="D89" s="97">
        <f>VLOOKUP(A89&amp;"|"&amp;B89,$Q$3:$R$18,2,FALSE)</f>
        <v/>
      </c>
      <c r="E89" s="2" t="n"/>
      <c r="F89" s="97" t="n">
        <v>14.1</v>
      </c>
      <c r="G89" s="97" t="n">
        <v>500000</v>
      </c>
      <c r="H89" s="97">
        <f>VLOOKUP(F89&amp;"|"&amp;G89,$O$3:$P$16,2,FALSE)</f>
        <v/>
      </c>
      <c r="I89" s="97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97" t="n">
        <v>18</v>
      </c>
      <c r="B90" s="97" t="n">
        <v>1000000</v>
      </c>
      <c r="C90" s="97">
        <f>VLOOKUP(A90&amp;"|"&amp;B90,$O$3:$P$18,2,FALSE)</f>
        <v/>
      </c>
      <c r="D90" s="97">
        <f>VLOOKUP(A90&amp;"|"&amp;B90,$Q$3:$R$18,2,FALSE)</f>
        <v/>
      </c>
      <c r="E90" s="2" t="n"/>
      <c r="F90" s="97" t="n"/>
      <c r="G90" s="97" t="n"/>
      <c r="H90" s="97" t="n"/>
      <c r="I90" s="9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97" t="n">
        <v>3</v>
      </c>
      <c r="B91" s="97" t="n">
        <v>2000000</v>
      </c>
      <c r="C91" s="97">
        <f>VLOOKUP(A91&amp;"|"&amp;B91,$O$3:$P$18,2,FALSE)</f>
        <v/>
      </c>
      <c r="D91" s="97">
        <f>VLOOKUP(A91&amp;"|"&amp;B91,$Q$3:$R$18,2,FALSE)</f>
        <v/>
      </c>
      <c r="E91" s="2" t="n"/>
      <c r="F91" s="97" t="n"/>
      <c r="G91" s="97" t="n"/>
      <c r="H91" s="97" t="n"/>
      <c r="I91" s="9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97" t="n">
        <v>3</v>
      </c>
      <c r="B92" s="97" t="n">
        <v>2000000</v>
      </c>
      <c r="C92" s="97">
        <f>VLOOKUP(A92&amp;"|"&amp;B92,$O$3:$P$18,2,FALSE)</f>
        <v/>
      </c>
      <c r="D92" s="97">
        <f>VLOOKUP(A92&amp;"|"&amp;B92,$Q$3:$R$18,2,FALSE)</f>
        <v/>
      </c>
      <c r="E92" s="2" t="n"/>
      <c r="F92" s="97" t="n"/>
      <c r="G92" s="97" t="n"/>
      <c r="H92" s="97" t="n"/>
      <c r="I92" s="9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97" t="n"/>
      <c r="B93" s="97" t="n"/>
      <c r="C93" s="97" t="n"/>
      <c r="D93" s="97" t="n"/>
      <c r="E93" s="2" t="n"/>
      <c r="F93" s="97" t="n"/>
      <c r="G93" s="97" t="n"/>
      <c r="H93" s="97" t="n"/>
      <c r="I93" s="9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97" t="inlineStr">
        <is>
          <t>Total Payable</t>
        </is>
      </c>
      <c r="B94" s="97" t="n"/>
      <c r="C94" s="97" t="n"/>
      <c r="D94" s="97">
        <f>SUM(D89:D93)</f>
        <v/>
      </c>
      <c r="E94" s="2" t="n"/>
      <c r="F94" s="97" t="inlineStr">
        <is>
          <t>Total Payable</t>
        </is>
      </c>
      <c r="G94" s="107" t="n"/>
      <c r="H94" s="108" t="n"/>
      <c r="I94" s="97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thickBot="1" thickTop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97" t="inlineStr">
        <is>
          <t>Name</t>
        </is>
      </c>
      <c r="B96" s="97" t="inlineStr">
        <is>
          <t>PRAKASHJI</t>
        </is>
      </c>
      <c r="C96" s="97" t="inlineStr">
        <is>
          <t>KONDAPUR</t>
        </is>
      </c>
      <c r="D96" s="9" t="n">
        <v>45844</v>
      </c>
      <c r="E96" s="2" t="n"/>
      <c r="F96" s="97" t="inlineStr">
        <is>
          <t>Name</t>
        </is>
      </c>
      <c r="G96" s="97" t="inlineStr">
        <is>
          <t>NEMARAMJI</t>
        </is>
      </c>
      <c r="H96" s="97" t="inlineStr">
        <is>
          <t>S.R NAGAR</t>
        </is>
      </c>
      <c r="I96" s="9" t="n">
        <v>45844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97" t="inlineStr">
        <is>
          <t>Month</t>
        </is>
      </c>
      <c r="B97" s="97" t="inlineStr">
        <is>
          <t>Plan</t>
        </is>
      </c>
      <c r="C97" s="97" t="inlineStr">
        <is>
          <t>Commission</t>
        </is>
      </c>
      <c r="D97" s="97" t="inlineStr">
        <is>
          <t>Amount</t>
        </is>
      </c>
      <c r="E97" s="2" t="n"/>
      <c r="F97" s="97" t="inlineStr">
        <is>
          <t>Month</t>
        </is>
      </c>
      <c r="G97" s="97" t="inlineStr">
        <is>
          <t>Plan</t>
        </is>
      </c>
      <c r="H97" s="97" t="inlineStr">
        <is>
          <t>Commission</t>
        </is>
      </c>
      <c r="I97" s="97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97" t="n">
        <v>14</v>
      </c>
      <c r="B98" s="97" t="n">
        <v>500000</v>
      </c>
      <c r="C98" s="97">
        <f>VLOOKUP(A98&amp;"|"&amp;B98,$O$3:$P$16,2,FALSE)</f>
        <v/>
      </c>
      <c r="D98" s="97">
        <f>VLOOKUP(A98&amp;"|"&amp;B98,$Q$3:$R$16,2,FALSE)</f>
        <v/>
      </c>
      <c r="E98" s="2" t="n"/>
      <c r="F98" s="97" t="n">
        <v>14</v>
      </c>
      <c r="G98" s="97" t="n">
        <v>1000000</v>
      </c>
      <c r="H98" s="97">
        <f>VLOOKUP(F98&amp;"|"&amp;G98,$O$3:$P$16,2,FALSE)</f>
        <v/>
      </c>
      <c r="I98" s="97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97" t="n">
        <v>3</v>
      </c>
      <c r="B99" s="97" t="n">
        <v>500000</v>
      </c>
      <c r="C99" s="97">
        <f>VLOOKUP(A99&amp;"|"&amp;B99,$O$3:$P$16,2,FALSE)</f>
        <v/>
      </c>
      <c r="D99" s="97">
        <f>VLOOKUP(A99&amp;"|"&amp;B99,$Q$3:$R$16,2,FALSE)</f>
        <v/>
      </c>
      <c r="E99" s="2" t="n"/>
      <c r="F99" s="97" t="n">
        <v>14.1</v>
      </c>
      <c r="G99" s="97" t="n">
        <v>1000000</v>
      </c>
      <c r="H99" s="97">
        <f>VLOOKUP(F99&amp;"|"&amp;G99,$O$3:$P$16,2,FALSE)</f>
        <v/>
      </c>
      <c r="I99" s="97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97" t="n"/>
      <c r="B100" s="97" t="n"/>
      <c r="C100" s="97" t="n"/>
      <c r="D100" s="97" t="n"/>
      <c r="E100" s="2" t="n"/>
      <c r="F100" s="97" t="n">
        <v>18</v>
      </c>
      <c r="G100" s="97" t="n">
        <v>1000000</v>
      </c>
      <c r="H100" s="97">
        <f>VLOOKUP(F100&amp;"|"&amp;G100,$O$3:$P$16,2,FALSE)</f>
        <v/>
      </c>
      <c r="I100" s="97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97" t="n"/>
      <c r="B101" s="97" t="n"/>
      <c r="C101" s="97" t="n"/>
      <c r="D101" s="97" t="n"/>
      <c r="E101" s="2" t="n"/>
      <c r="F101" s="97" t="n"/>
      <c r="G101" s="97" t="n"/>
      <c r="H101" s="97" t="n"/>
      <c r="I101" s="9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97" t="n"/>
      <c r="B102" s="97" t="n"/>
      <c r="C102" s="97" t="n"/>
      <c r="D102" s="97" t="n"/>
      <c r="E102" s="2" t="n"/>
      <c r="F102" s="97" t="n"/>
      <c r="G102" s="97" t="n"/>
      <c r="H102" s="97" t="n"/>
      <c r="I102" s="9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97" t="inlineStr">
        <is>
          <t>Total Payable</t>
        </is>
      </c>
      <c r="B103" s="97" t="n"/>
      <c r="C103" s="97" t="n"/>
      <c r="D103" s="97">
        <f>SUM(D98:D102)</f>
        <v/>
      </c>
      <c r="E103" s="2" t="n"/>
      <c r="F103" s="97" t="inlineStr">
        <is>
          <t>Total Payable</t>
        </is>
      </c>
      <c r="G103" s="107" t="n"/>
      <c r="H103" s="108" t="n"/>
      <c r="I103" s="97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thickBot="1" thickTop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97" t="inlineStr">
        <is>
          <t>Name</t>
        </is>
      </c>
      <c r="B105" s="97" t="inlineStr">
        <is>
          <t>NARAYANJI</t>
        </is>
      </c>
      <c r="C105" s="97" t="inlineStr">
        <is>
          <t>SHAPUR</t>
        </is>
      </c>
      <c r="D105" s="9" t="n">
        <v>45844</v>
      </c>
      <c r="E105" s="2" t="n"/>
      <c r="F105" s="97" t="inlineStr">
        <is>
          <t>Name</t>
        </is>
      </c>
      <c r="G105" s="97" t="inlineStr">
        <is>
          <t>HIMTARAMJI</t>
        </is>
      </c>
      <c r="H105" s="97" t="inlineStr">
        <is>
          <t>MEDCHAL</t>
        </is>
      </c>
      <c r="I105" s="9" t="n">
        <v>45844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97" t="inlineStr">
        <is>
          <t>Month</t>
        </is>
      </c>
      <c r="B106" s="97" t="inlineStr">
        <is>
          <t>Plan</t>
        </is>
      </c>
      <c r="C106" s="97" t="inlineStr">
        <is>
          <t>Commission</t>
        </is>
      </c>
      <c r="D106" s="97" t="inlineStr">
        <is>
          <t>Amount</t>
        </is>
      </c>
      <c r="E106" s="2" t="n"/>
      <c r="F106" s="97" t="inlineStr">
        <is>
          <t>Month</t>
        </is>
      </c>
      <c r="G106" s="97" t="inlineStr">
        <is>
          <t>Plan</t>
        </is>
      </c>
      <c r="H106" s="97" t="inlineStr">
        <is>
          <t>Commission</t>
        </is>
      </c>
      <c r="I106" s="97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97" t="n">
        <v>14</v>
      </c>
      <c r="B107" s="97" t="n">
        <v>500000</v>
      </c>
      <c r="C107" s="97">
        <f>VLOOKUP(A107&amp;"|"&amp;B107,$O$3:$P$16,2,FALSE)</f>
        <v/>
      </c>
      <c r="D107" s="97">
        <f>VLOOKUP(A107&amp;"|"&amp;B107,$Q$3:$R$16,2,FALSE)</f>
        <v/>
      </c>
      <c r="E107" s="2" t="n"/>
      <c r="F107" s="97" t="n">
        <v>14</v>
      </c>
      <c r="G107" s="97" t="n">
        <v>500000</v>
      </c>
      <c r="H107" s="97">
        <f>VLOOKUP(F107&amp;"|"&amp;G107,$O$3:$P$16,2,FALSE)</f>
        <v/>
      </c>
      <c r="I107" s="97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97" t="n"/>
      <c r="B108" s="97" t="n"/>
      <c r="C108" s="97" t="n"/>
      <c r="D108" s="97" t="n"/>
      <c r="E108" s="2" t="n"/>
      <c r="F108" s="97" t="n">
        <v>14</v>
      </c>
      <c r="G108" s="97" t="n">
        <v>1000000</v>
      </c>
      <c r="H108" s="97">
        <f>VLOOKUP(F108&amp;"|"&amp;G108,$O$3:$P$16,2,FALSE)</f>
        <v/>
      </c>
      <c r="I108" s="97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97" t="n"/>
      <c r="B109" s="97" t="n"/>
      <c r="C109" s="97" t="n"/>
      <c r="D109" s="97" t="n"/>
      <c r="E109" s="2" t="n"/>
      <c r="F109" s="97" t="n">
        <v>3</v>
      </c>
      <c r="G109" s="97" t="n">
        <v>2000000</v>
      </c>
      <c r="H109" s="97">
        <f>VLOOKUP(F109&amp;"|"&amp;G109,$O$3:$P$16,2,FALSE)</f>
        <v/>
      </c>
      <c r="I109" s="97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97" t="n"/>
      <c r="B110" s="97" t="n"/>
      <c r="C110" s="97" t="n"/>
      <c r="D110" s="97" t="n"/>
      <c r="E110" s="2" t="n"/>
      <c r="F110" s="97" t="n"/>
      <c r="G110" s="97" t="n"/>
      <c r="H110" s="97" t="n"/>
      <c r="I110" s="9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97" t="n"/>
      <c r="B111" s="97" t="n"/>
      <c r="C111" s="97" t="n"/>
      <c r="D111" s="97" t="n"/>
      <c r="E111" s="2" t="n"/>
      <c r="F111" s="97" t="n"/>
      <c r="G111" s="97" t="n"/>
      <c r="H111" s="97" t="n"/>
      <c r="I111" s="9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97" t="inlineStr">
        <is>
          <t>Total Payable</t>
        </is>
      </c>
      <c r="B112" s="97" t="n"/>
      <c r="C112" s="97" t="n"/>
      <c r="D112" s="97">
        <f>SUM(D107:D111)</f>
        <v/>
      </c>
      <c r="E112" s="2" t="n"/>
      <c r="F112" s="97" t="inlineStr">
        <is>
          <t>Total Payable</t>
        </is>
      </c>
      <c r="G112" s="107" t="n"/>
      <c r="H112" s="108" t="n"/>
      <c r="I112" s="97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thickBot="1" thickTop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97" t="inlineStr">
        <is>
          <t>Name</t>
        </is>
      </c>
      <c r="B114" s="97" t="inlineStr">
        <is>
          <t>CHENARAMJI</t>
        </is>
      </c>
      <c r="C114" s="97" t="inlineStr">
        <is>
          <t>KOTLAPUR</t>
        </is>
      </c>
      <c r="D114" s="9" t="n">
        <v>45844</v>
      </c>
      <c r="E114" s="2" t="n"/>
      <c r="F114" s="97" t="inlineStr">
        <is>
          <t>Name</t>
        </is>
      </c>
      <c r="G114" s="97" t="inlineStr">
        <is>
          <t>GOVINDJI</t>
        </is>
      </c>
      <c r="H114" s="97" t="inlineStr">
        <is>
          <t>MGD NAGAR</t>
        </is>
      </c>
      <c r="I114" s="9" t="n">
        <v>45844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97" t="inlineStr">
        <is>
          <t>Month</t>
        </is>
      </c>
      <c r="B115" s="97" t="inlineStr">
        <is>
          <t>Plan</t>
        </is>
      </c>
      <c r="C115" s="97" t="inlineStr">
        <is>
          <t>Commission</t>
        </is>
      </c>
      <c r="D115" s="97" t="inlineStr">
        <is>
          <t>Amount</t>
        </is>
      </c>
      <c r="E115" s="2" t="n"/>
      <c r="F115" s="97" t="inlineStr">
        <is>
          <t>Month</t>
        </is>
      </c>
      <c r="G115" s="97" t="inlineStr">
        <is>
          <t>Plan</t>
        </is>
      </c>
      <c r="H115" s="97" t="inlineStr">
        <is>
          <t>Commission</t>
        </is>
      </c>
      <c r="I115" s="97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97" t="n">
        <v>14</v>
      </c>
      <c r="B116" s="97" t="n">
        <v>500000</v>
      </c>
      <c r="C116" s="97">
        <f>VLOOKUP(A116&amp;"|"&amp;B116,$O$3:$P$16,2,FALSE)</f>
        <v/>
      </c>
      <c r="D116" s="97">
        <f>VLOOKUP(A116&amp;"|"&amp;B116,$Q$3:$R$16,2,FALSE)</f>
        <v/>
      </c>
      <c r="E116" s="2" t="n"/>
      <c r="F116" s="97" t="n">
        <v>14</v>
      </c>
      <c r="G116" s="97" t="n">
        <v>1000000</v>
      </c>
      <c r="H116" s="97">
        <f>VLOOKUP(F116&amp;"|"&amp;G116,$O$3:$P$16,2,FALSE)</f>
        <v/>
      </c>
      <c r="I116" s="97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97" t="n">
        <v>18</v>
      </c>
      <c r="B117" s="97" t="n">
        <v>500000</v>
      </c>
      <c r="C117" s="97">
        <f>VLOOKUP(A117&amp;"|"&amp;B117,$O$3:$P$16,2,FALSE)</f>
        <v/>
      </c>
      <c r="D117" s="97">
        <f>VLOOKUP(A117&amp;"|"&amp;B117,$Q$3:$R$16,2,FALSE)</f>
        <v/>
      </c>
      <c r="E117" s="2" t="n"/>
      <c r="F117" s="97" t="n">
        <v>3</v>
      </c>
      <c r="G117" s="97" t="n">
        <v>2000000</v>
      </c>
      <c r="H117" s="97">
        <f>VLOOKUP(F117&amp;"|"&amp;G117,$O$3:$P$17,2,FALSE)</f>
        <v/>
      </c>
      <c r="I117" s="97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97" t="n">
        <v>8</v>
      </c>
      <c r="B118" s="97" t="n">
        <v>500000</v>
      </c>
      <c r="C118" s="97">
        <f>VLOOKUP(A118&amp;"|"&amp;B118,$O$3:$P$16,2,FALSE)</f>
        <v/>
      </c>
      <c r="D118" s="97">
        <f>VLOOKUP(A118&amp;"|"&amp;B118,$Q$3:$R$16,2,FALSE)</f>
        <v/>
      </c>
      <c r="E118" s="2" t="n"/>
      <c r="F118" s="97" t="n"/>
      <c r="G118" s="97" t="n"/>
      <c r="H118" s="97" t="n"/>
      <c r="I118" s="9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97" t="n">
        <v>8</v>
      </c>
      <c r="B119" s="97" t="n">
        <v>500000</v>
      </c>
      <c r="C119" s="97">
        <f>VLOOKUP(A119&amp;"|"&amp;B119,$O$3:$P$16,2,FALSE)</f>
        <v/>
      </c>
      <c r="D119" s="97">
        <f>VLOOKUP(A119&amp;"|"&amp;B119,$Q$3:$R$16,2,FALSE)</f>
        <v/>
      </c>
      <c r="E119" s="2" t="n"/>
      <c r="F119" s="97" t="n"/>
      <c r="G119" s="97" t="n"/>
      <c r="H119" s="97" t="n"/>
      <c r="I119" s="9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97" t="n"/>
      <c r="B120" s="97" t="n"/>
      <c r="C120" s="97" t="n"/>
      <c r="D120" s="97" t="n"/>
      <c r="E120" s="2" t="n"/>
      <c r="F120" s="97" t="n"/>
      <c r="G120" s="97" t="n"/>
      <c r="H120" s="97" t="n"/>
      <c r="I120" s="9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97" t="inlineStr">
        <is>
          <t>Total Payable</t>
        </is>
      </c>
      <c r="B121" s="97" t="n"/>
      <c r="C121" s="97" t="n"/>
      <c r="D121" s="97">
        <f>SUM(D116:D120)</f>
        <v/>
      </c>
      <c r="E121" s="2" t="n"/>
      <c r="F121" s="97" t="inlineStr">
        <is>
          <t>Total Payable</t>
        </is>
      </c>
      <c r="G121" s="107" t="n"/>
      <c r="H121" s="108" t="n"/>
      <c r="I121" s="97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thickBot="1" thickTop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97" t="inlineStr">
        <is>
          <t>Name</t>
        </is>
      </c>
      <c r="B123" s="97" t="inlineStr">
        <is>
          <t>NARAYANLALJI</t>
        </is>
      </c>
      <c r="C123" s="97" t="inlineStr">
        <is>
          <t>SUBASH NGR</t>
        </is>
      </c>
      <c r="D123" s="9" t="n">
        <v>45844</v>
      </c>
      <c r="E123" s="2" t="n"/>
      <c r="F123" s="97" t="inlineStr">
        <is>
          <t>Name</t>
        </is>
      </c>
      <c r="G123" s="97" t="inlineStr">
        <is>
          <t>VAKTARAMJI</t>
        </is>
      </c>
      <c r="H123" s="97" t="inlineStr">
        <is>
          <t>RMNTPUR</t>
        </is>
      </c>
      <c r="I123" s="9" t="n">
        <v>45844</v>
      </c>
      <c r="J123" s="1" t="n"/>
      <c r="K123" s="1" t="n"/>
      <c r="L123" s="1" t="n"/>
      <c r="M123" s="1" t="inlineStr">
        <is>
          <t>B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97" t="inlineStr">
        <is>
          <t>Month</t>
        </is>
      </c>
      <c r="B124" s="97" t="inlineStr">
        <is>
          <t>Plan</t>
        </is>
      </c>
      <c r="C124" s="97" t="inlineStr">
        <is>
          <t>Commission</t>
        </is>
      </c>
      <c r="D124" s="97" t="inlineStr">
        <is>
          <t>Amount</t>
        </is>
      </c>
      <c r="E124" s="2" t="n"/>
      <c r="F124" s="97" t="inlineStr">
        <is>
          <t>Month</t>
        </is>
      </c>
      <c r="G124" s="97" t="inlineStr">
        <is>
          <t>Plan</t>
        </is>
      </c>
      <c r="H124" s="97" t="inlineStr">
        <is>
          <t>Commission</t>
        </is>
      </c>
      <c r="I124" s="97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97" t="n">
        <v>14</v>
      </c>
      <c r="B125" s="97" t="n">
        <v>500000</v>
      </c>
      <c r="C125" s="97">
        <f>VLOOKUP(A125&amp;"|"&amp;B125,$O$3:$P$16,2,FALSE)</f>
        <v/>
      </c>
      <c r="D125" s="97">
        <f>VLOOKUP(A125&amp;"|"&amp;B125,$Q$3:$R$16,2,FALSE)</f>
        <v/>
      </c>
      <c r="E125" s="2" t="n"/>
      <c r="F125" s="97" t="n">
        <v>14</v>
      </c>
      <c r="G125" s="97" t="n">
        <v>1000000</v>
      </c>
      <c r="H125" s="97">
        <f>VLOOKUP(F125&amp;"|"&amp;G125,$O$3:$P$16,2,FALSE)</f>
        <v/>
      </c>
      <c r="I125" s="97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97" t="n">
        <v>3</v>
      </c>
      <c r="B126" s="97" t="n">
        <v>2000000</v>
      </c>
      <c r="C126" s="97">
        <f>VLOOKUP(A126&amp;"|"&amp;B126,$O$3:$P$16,2,FALSE)</f>
        <v/>
      </c>
      <c r="D126" s="97">
        <f>VLOOKUP(A126&amp;"|"&amp;B126,$Q$3:$R$16,2,FALSE)</f>
        <v/>
      </c>
      <c r="E126" s="2" t="n"/>
      <c r="F126" s="97" t="n">
        <v>8</v>
      </c>
      <c r="G126" s="97" t="n">
        <v>500000</v>
      </c>
      <c r="H126" s="97">
        <f>VLOOKUP(F126&amp;"|"&amp;G126,$O$3:$P$16,2,FALSE)</f>
        <v/>
      </c>
      <c r="I126" s="97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97" t="n"/>
      <c r="B127" s="97" t="n"/>
      <c r="C127" s="97" t="n"/>
      <c r="D127" s="97" t="n"/>
      <c r="E127" s="2" t="n"/>
      <c r="F127" s="97" t="n">
        <v>8</v>
      </c>
      <c r="G127" s="97" t="n">
        <v>500000</v>
      </c>
      <c r="H127" s="97">
        <f>VLOOKUP(F127&amp;"|"&amp;G127,$O$3:$P$16,2,FALSE)</f>
        <v/>
      </c>
      <c r="I127" s="97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97" t="n"/>
      <c r="B128" s="97" t="n"/>
      <c r="C128" s="97" t="n"/>
      <c r="D128" s="97" t="n"/>
      <c r="E128" s="2" t="n"/>
      <c r="F128" s="97" t="n">
        <v>18</v>
      </c>
      <c r="G128" s="97" t="n">
        <v>500000</v>
      </c>
      <c r="H128" s="97">
        <f>VLOOKUP(F128&amp;"|"&amp;G128,$O$3:$P$16,2,FALSE)</f>
        <v/>
      </c>
      <c r="I128" s="97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97" t="n"/>
      <c r="B129" s="97" t="n"/>
      <c r="C129" s="97" t="n"/>
      <c r="D129" s="97" t="n"/>
      <c r="E129" s="2" t="n"/>
      <c r="F129" s="97" t="n"/>
      <c r="G129" s="97" t="n"/>
      <c r="H129" s="97" t="n"/>
      <c r="I129" s="9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97" t="inlineStr">
        <is>
          <t>Total Payable</t>
        </is>
      </c>
      <c r="B130" s="97" t="n"/>
      <c r="C130" s="97" t="n"/>
      <c r="D130" s="97">
        <f>SUM(D125:D129)</f>
        <v/>
      </c>
      <c r="E130" s="2" t="n"/>
      <c r="F130" s="97" t="inlineStr">
        <is>
          <t>Total Payable</t>
        </is>
      </c>
      <c r="G130" s="107" t="n"/>
      <c r="H130" s="108" t="n"/>
      <c r="I130" s="97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thickBot="1" thickTop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97" t="inlineStr">
        <is>
          <t>Name</t>
        </is>
      </c>
      <c r="B132" s="97" t="inlineStr">
        <is>
          <t>BHUNDARAMJI</t>
        </is>
      </c>
      <c r="C132" s="97" t="inlineStr">
        <is>
          <t>MIYAPUR</t>
        </is>
      </c>
      <c r="D132" s="9" t="n">
        <v>45844</v>
      </c>
      <c r="E132" s="2" t="n"/>
      <c r="F132" s="97" t="inlineStr">
        <is>
          <t>Name</t>
        </is>
      </c>
      <c r="G132" s="97" t="inlineStr">
        <is>
          <t>MOHANJI</t>
        </is>
      </c>
      <c r="H132" s="97" t="inlineStr">
        <is>
          <t>NARSAPUR</t>
        </is>
      </c>
      <c r="I132" s="9" t="n">
        <v>45844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97" t="inlineStr">
        <is>
          <t>Month</t>
        </is>
      </c>
      <c r="B133" s="97" t="inlineStr">
        <is>
          <t>Plan</t>
        </is>
      </c>
      <c r="C133" s="97" t="inlineStr">
        <is>
          <t>Commission</t>
        </is>
      </c>
      <c r="D133" s="97" t="inlineStr">
        <is>
          <t>Amount</t>
        </is>
      </c>
      <c r="E133" s="2" t="n"/>
      <c r="F133" s="97" t="inlineStr">
        <is>
          <t>Month</t>
        </is>
      </c>
      <c r="G133" s="97" t="inlineStr">
        <is>
          <t>Plan</t>
        </is>
      </c>
      <c r="H133" s="97" t="inlineStr">
        <is>
          <t>Commission</t>
        </is>
      </c>
      <c r="I133" s="97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97" t="n">
        <v>14</v>
      </c>
      <c r="B134" s="97" t="n">
        <v>500000</v>
      </c>
      <c r="C134" s="97">
        <f>VLOOKUP(A134&amp;"|"&amp;B134,$O$3:$P$16,2,FALSE)</f>
        <v/>
      </c>
      <c r="D134" s="97">
        <f>VLOOKUP(A134&amp;"|"&amp;B134,$Q$3:$R$16,2,FALSE)</f>
        <v/>
      </c>
      <c r="E134" s="2" t="n"/>
      <c r="F134" s="97" t="n">
        <v>14</v>
      </c>
      <c r="G134" s="97" t="n">
        <v>500000</v>
      </c>
      <c r="H134" s="97">
        <f>VLOOKUP(F134&amp;"|"&amp;G134,$O$3:$P$16,2,FALSE)</f>
        <v/>
      </c>
      <c r="I134" s="97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97" t="n">
        <v>18</v>
      </c>
      <c r="B135" s="97" t="n">
        <v>500000</v>
      </c>
      <c r="C135" s="97">
        <f>VLOOKUP(A135&amp;"|"&amp;B135,$O$3:$P$16,2,FALSE)</f>
        <v/>
      </c>
      <c r="D135" s="97">
        <f>VLOOKUP(A135&amp;"|"&amp;B135,$Q$3:$R$16,2,FALSE)</f>
        <v/>
      </c>
      <c r="E135" s="2" t="n"/>
      <c r="F135" s="97" t="n"/>
      <c r="G135" s="97" t="n"/>
      <c r="H135" s="97" t="n"/>
      <c r="I135" s="9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97" t="n"/>
      <c r="B136" s="97" t="n"/>
      <c r="C136" s="97" t="n"/>
      <c r="D136" s="97" t="n"/>
      <c r="E136" s="2" t="n"/>
      <c r="F136" s="97" t="n"/>
      <c r="G136" s="97" t="n"/>
      <c r="H136" s="97" t="n"/>
      <c r="I136" s="9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97" t="n"/>
      <c r="B137" s="97" t="n"/>
      <c r="C137" s="97" t="n"/>
      <c r="D137" s="97" t="n"/>
      <c r="E137" s="2" t="n"/>
      <c r="F137" s="97" t="n"/>
      <c r="G137" s="97" t="n"/>
      <c r="H137" s="97" t="n"/>
      <c r="I137" s="9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97" t="n"/>
      <c r="B138" s="97" t="n"/>
      <c r="C138" s="97" t="n"/>
      <c r="D138" s="97" t="n"/>
      <c r="E138" s="2" t="n"/>
      <c r="F138" s="97" t="n"/>
      <c r="G138" s="97" t="n"/>
      <c r="H138" s="97" t="n"/>
      <c r="I138" s="9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97" t="inlineStr">
        <is>
          <t>Total Payable</t>
        </is>
      </c>
      <c r="B139" s="97" t="n"/>
      <c r="C139" s="97" t="n"/>
      <c r="D139" s="97">
        <f>SUM(D134:D138)</f>
        <v/>
      </c>
      <c r="E139" s="2" t="n"/>
      <c r="F139" s="97" t="inlineStr">
        <is>
          <t>Total Payable</t>
        </is>
      </c>
      <c r="G139" s="107" t="n"/>
      <c r="H139" s="108" t="n"/>
      <c r="I139" s="97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thickBot="1" thickTop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97" t="inlineStr">
        <is>
          <t>Name</t>
        </is>
      </c>
      <c r="B141" s="97" t="inlineStr">
        <is>
          <t>POKARJI</t>
        </is>
      </c>
      <c r="C141" s="97" t="inlineStr">
        <is>
          <t>J GUTTA</t>
        </is>
      </c>
      <c r="D141" s="9" t="n">
        <v>45844</v>
      </c>
      <c r="E141" s="2" t="n"/>
      <c r="F141" s="12" t="inlineStr">
        <is>
          <t>NAME</t>
        </is>
      </c>
      <c r="G141" s="12" t="inlineStr">
        <is>
          <t>VAJJARAMJI</t>
        </is>
      </c>
      <c r="H141" s="12" t="inlineStr">
        <is>
          <t>RING ROAD</t>
        </is>
      </c>
      <c r="I141" s="9" t="n">
        <v>45844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97" t="inlineStr">
        <is>
          <t>Month</t>
        </is>
      </c>
      <c r="B142" s="97" t="inlineStr">
        <is>
          <t>Plan</t>
        </is>
      </c>
      <c r="C142" s="97" t="inlineStr">
        <is>
          <t>Commission</t>
        </is>
      </c>
      <c r="D142" s="97" t="inlineStr">
        <is>
          <t>Amount</t>
        </is>
      </c>
      <c r="E142" s="2" t="n"/>
      <c r="F142" s="97" t="inlineStr">
        <is>
          <t>Month</t>
        </is>
      </c>
      <c r="G142" s="97" t="inlineStr">
        <is>
          <t>Plan</t>
        </is>
      </c>
      <c r="H142" s="97" t="inlineStr">
        <is>
          <t>Commission</t>
        </is>
      </c>
      <c r="I142" s="97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97" t="n">
        <v>14</v>
      </c>
      <c r="B143" s="97" t="n">
        <v>500000</v>
      </c>
      <c r="C143" s="97">
        <f>VLOOKUP(A143&amp;"|"&amp;B143,$O$3:$P$16,2,FALSE)</f>
        <v/>
      </c>
      <c r="D143" s="97">
        <f>VLOOKUP(A143&amp;"|"&amp;B143,$Q$3:$R$16,2,FALSE)</f>
        <v/>
      </c>
      <c r="E143" s="2" t="n"/>
      <c r="F143" s="97" t="n">
        <v>18</v>
      </c>
      <c r="G143" s="97" t="n">
        <v>1000000</v>
      </c>
      <c r="H143" s="97">
        <f>VLOOKUP(F143&amp;"|"&amp;G143,$O$3:$P$18,2,FALSE)</f>
        <v/>
      </c>
      <c r="I143" s="97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97" t="n">
        <v>8</v>
      </c>
      <c r="B144" s="97" t="n">
        <v>500000</v>
      </c>
      <c r="C144" s="97">
        <f>VLOOKUP(A144&amp;"|"&amp;B144,$O$3:$P$16,2,FALSE)</f>
        <v/>
      </c>
      <c r="D144" s="97">
        <f>VLOOKUP(A144&amp;"|"&amp;B144,$Q$3:$R$16,2,FALSE)</f>
        <v/>
      </c>
      <c r="E144" s="2" t="n"/>
      <c r="F144" s="97" t="n">
        <v>18</v>
      </c>
      <c r="G144" s="97" t="n">
        <v>1000000</v>
      </c>
      <c r="H144" s="97">
        <f>VLOOKUP(F144&amp;"|"&amp;G144,$O$3:$P$17,2,FALSE)</f>
        <v/>
      </c>
      <c r="I144" s="97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97" t="n">
        <v>11</v>
      </c>
      <c r="B145" s="97" t="n">
        <v>500000</v>
      </c>
      <c r="C145" s="97">
        <f>VLOOKUP(A145&amp;"|"&amp;B145,$O$3:$P$16,2,FALSE)</f>
        <v/>
      </c>
      <c r="D145" s="97">
        <f>VLOOKUP(A145&amp;"|"&amp;B145,$Q$3:$R$16,2,FALSE)</f>
        <v/>
      </c>
      <c r="E145" s="2" t="n"/>
      <c r="F145" s="97" t="n"/>
      <c r="G145" s="97" t="n"/>
      <c r="H145" s="97" t="n"/>
      <c r="I145" s="9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97" t="n">
        <v>18</v>
      </c>
      <c r="B146" s="97" t="n">
        <v>1000000</v>
      </c>
      <c r="C146" s="97">
        <f>VLOOKUP(A146&amp;"|"&amp;B146,$O$3:$P$16,2,FALSE)</f>
        <v/>
      </c>
      <c r="D146" s="97">
        <f>VLOOKUP(A146&amp;"|"&amp;B146,$Q$3:$R$16,2,FALSE)</f>
        <v/>
      </c>
      <c r="E146" s="2" t="n"/>
      <c r="F146" s="97" t="n"/>
      <c r="G146" s="97" t="n"/>
      <c r="H146" s="97" t="n"/>
      <c r="I146" s="9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97" t="n"/>
      <c r="B147" s="97" t="n"/>
      <c r="C147" s="97" t="n"/>
      <c r="D147" s="97" t="n"/>
      <c r="E147" s="2" t="n"/>
      <c r="F147" s="97" t="n"/>
      <c r="G147" s="97" t="n"/>
      <c r="H147" s="97" t="n"/>
      <c r="I147" s="9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97" t="inlineStr">
        <is>
          <t>Total Payable</t>
        </is>
      </c>
      <c r="B148" s="97" t="n"/>
      <c r="C148" s="97" t="n"/>
      <c r="D148" s="97">
        <f>SUM(D143:D147)</f>
        <v/>
      </c>
      <c r="E148" s="2" t="n"/>
      <c r="F148" s="97" t="inlineStr">
        <is>
          <t>Total Payable</t>
        </is>
      </c>
      <c r="G148" s="107" t="n"/>
      <c r="H148" s="108" t="n"/>
      <c r="I148" s="97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2" t="n"/>
      <c r="B149" s="2" t="n"/>
      <c r="C149" s="2" t="n"/>
      <c r="D149" s="2" t="n"/>
      <c r="E149" s="2" t="n"/>
      <c r="F149" s="91" t="n"/>
      <c r="G149" s="91" t="n"/>
      <c r="H149" s="91" t="n"/>
      <c r="I149" s="9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97" t="inlineStr">
        <is>
          <t>Name</t>
        </is>
      </c>
      <c r="B150" s="97" t="inlineStr">
        <is>
          <t>AKASHJI</t>
        </is>
      </c>
      <c r="C150" s="97" t="inlineStr">
        <is>
          <t>SNGAREDDY</t>
        </is>
      </c>
      <c r="D150" s="9" t="n">
        <v>45844</v>
      </c>
      <c r="E150" s="2" t="n"/>
      <c r="F150" s="97" t="inlineStr">
        <is>
          <t>Name</t>
        </is>
      </c>
      <c r="G150" s="97" t="inlineStr">
        <is>
          <t>SUMERSINGHJI</t>
        </is>
      </c>
      <c r="H150" s="97" t="inlineStr">
        <is>
          <t>KU PALLY</t>
        </is>
      </c>
      <c r="I150" s="9" t="n">
        <v>45844</v>
      </c>
      <c r="J150" s="9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97" t="inlineStr">
        <is>
          <t>Month</t>
        </is>
      </c>
      <c r="B151" s="97" t="inlineStr">
        <is>
          <t>Plan</t>
        </is>
      </c>
      <c r="C151" s="97" t="inlineStr">
        <is>
          <t>Commission</t>
        </is>
      </c>
      <c r="D151" s="97" t="inlineStr">
        <is>
          <t>Amount</t>
        </is>
      </c>
      <c r="E151" s="2" t="n"/>
      <c r="F151" s="97" t="inlineStr">
        <is>
          <t>Month</t>
        </is>
      </c>
      <c r="G151" s="97" t="inlineStr">
        <is>
          <t>Plan</t>
        </is>
      </c>
      <c r="H151" s="97" t="inlineStr">
        <is>
          <t>Commission</t>
        </is>
      </c>
      <c r="I151" s="97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97" t="n">
        <v>18</v>
      </c>
      <c r="B152" s="97" t="n">
        <v>1000000</v>
      </c>
      <c r="C152" s="97">
        <f>VLOOKUP(A152&amp;"|"&amp;B152,$O$3:$P$16,2,FALSE)</f>
        <v/>
      </c>
      <c r="D152" s="97">
        <f>VLOOKUP(A152&amp;"|"&amp;B152,$Q$3:$R$16,2,FALSE)</f>
        <v/>
      </c>
      <c r="E152" s="91" t="n"/>
      <c r="F152" s="97" t="n">
        <v>14</v>
      </c>
      <c r="G152" s="97" t="n">
        <v>500000</v>
      </c>
      <c r="H152" s="97">
        <f>VLOOKUP(F152&amp;"|"&amp;G152,$O$3:$P$16,2,FALSE)</f>
        <v/>
      </c>
      <c r="I152" s="97">
        <f>VLOOKUP(F152&amp;"|"&amp;G152,$Q$3:$R$16,2,FALSE)</f>
        <v/>
      </c>
      <c r="J152" s="1" t="n"/>
      <c r="K152" s="91" t="n"/>
      <c r="L152" s="91" t="n"/>
      <c r="M152" s="9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97" t="n"/>
      <c r="B153" s="97" t="n"/>
      <c r="C153" s="97" t="n"/>
      <c r="D153" s="97" t="n"/>
      <c r="E153" s="2" t="n"/>
      <c r="F153" s="97" t="n">
        <v>11</v>
      </c>
      <c r="G153" s="97" t="n">
        <v>500000</v>
      </c>
      <c r="H153" s="97">
        <f>VLOOKUP(F153&amp;"|"&amp;G153,$O$3:$P$16,2,FALSE)</f>
        <v/>
      </c>
      <c r="I153" s="97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97" t="n"/>
      <c r="B154" s="97" t="n"/>
      <c r="C154" s="97" t="n"/>
      <c r="D154" s="97" t="n"/>
      <c r="E154" s="2" t="n"/>
      <c r="F154" s="97" t="n">
        <v>18</v>
      </c>
      <c r="G154" s="97" t="n">
        <v>500000</v>
      </c>
      <c r="H154" s="97">
        <f>VLOOKUP(F154&amp;"|"&amp;G154,$O$3:$P$16,2,FALSE)</f>
        <v/>
      </c>
      <c r="I154" s="97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97" t="n"/>
      <c r="B155" s="97" t="n"/>
      <c r="C155" s="97" t="n"/>
      <c r="D155" s="97" t="n"/>
      <c r="E155" s="2" t="n"/>
      <c r="F155" s="97" t="n"/>
      <c r="G155" s="97" t="n"/>
      <c r="H155" s="97" t="n"/>
      <c r="I155" s="9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97" t="n"/>
      <c r="B156" s="97" t="n"/>
      <c r="C156" s="97" t="n"/>
      <c r="D156" s="97" t="n"/>
      <c r="E156" s="2" t="n"/>
      <c r="F156" s="97" t="n"/>
      <c r="G156" s="97" t="n"/>
      <c r="H156" s="97" t="n"/>
      <c r="I156" s="9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97" t="inlineStr">
        <is>
          <t>Total Payable</t>
        </is>
      </c>
      <c r="B157" s="97" t="n"/>
      <c r="C157" s="97" t="n"/>
      <c r="D157" s="97">
        <f>SUM(D152:D156)</f>
        <v/>
      </c>
      <c r="E157" s="2" t="n"/>
      <c r="F157" s="97" t="inlineStr">
        <is>
          <t>Total Payable</t>
        </is>
      </c>
      <c r="G157" s="107" t="n"/>
      <c r="H157" s="108" t="n"/>
      <c r="I157" s="97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thickBot="1" thickTop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97" t="inlineStr">
        <is>
          <t>Name</t>
        </is>
      </c>
      <c r="B159" s="97" t="inlineStr">
        <is>
          <t>HARISINGHJI</t>
        </is>
      </c>
      <c r="C159" s="97" t="inlineStr">
        <is>
          <t>RAMARAM</t>
        </is>
      </c>
      <c r="D159" s="9" t="n">
        <v>45844</v>
      </c>
      <c r="E159" s="2" t="n"/>
      <c r="F159" s="97" t="inlineStr">
        <is>
          <t>Name</t>
        </is>
      </c>
      <c r="G159" s="97" t="inlineStr">
        <is>
          <t>MANGILALJI</t>
        </is>
      </c>
      <c r="H159" s="97" t="inlineStr">
        <is>
          <t>MALLAPUR</t>
        </is>
      </c>
      <c r="I159" s="9" t="n">
        <v>45844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97" t="inlineStr">
        <is>
          <t>Month</t>
        </is>
      </c>
      <c r="B160" s="97" t="inlineStr">
        <is>
          <t>Plan</t>
        </is>
      </c>
      <c r="C160" s="97" t="inlineStr">
        <is>
          <t>Commission</t>
        </is>
      </c>
      <c r="D160" s="97" t="inlineStr">
        <is>
          <t>Amount</t>
        </is>
      </c>
      <c r="E160" s="2" t="n"/>
      <c r="F160" s="97" t="inlineStr">
        <is>
          <t>Month</t>
        </is>
      </c>
      <c r="G160" s="97" t="inlineStr">
        <is>
          <t>Plan</t>
        </is>
      </c>
      <c r="H160" s="97" t="inlineStr">
        <is>
          <t>Commission</t>
        </is>
      </c>
      <c r="I160" s="97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97" t="n">
        <v>14.1</v>
      </c>
      <c r="B161" s="97" t="n">
        <v>1000000</v>
      </c>
      <c r="C161" s="97">
        <f>VLOOKUP(A161&amp;"|"&amp;B161,$O$3:$P$16,2,FALSE)</f>
        <v/>
      </c>
      <c r="D161" s="97">
        <f>VLOOKUP(A161&amp;"|"&amp;B161,$Q$3:$R$16,2,FALSE)</f>
        <v/>
      </c>
      <c r="E161" s="2" t="n"/>
      <c r="F161" s="97" t="n">
        <v>14.1</v>
      </c>
      <c r="G161" s="97" t="n">
        <v>1000000</v>
      </c>
      <c r="H161" s="97">
        <f>VLOOKUP(F161&amp;"|"&amp;G161,$O$3:$P$16,2,FALSE)</f>
        <v/>
      </c>
      <c r="I161" s="97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97" t="n"/>
      <c r="B162" s="97" t="n"/>
      <c r="C162" s="97" t="n"/>
      <c r="D162" s="97" t="n"/>
      <c r="E162" s="2" t="n"/>
      <c r="F162" s="97" t="n"/>
      <c r="G162" s="97" t="n"/>
      <c r="H162" s="97" t="n"/>
      <c r="I162" s="9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97" t="n"/>
      <c r="B163" s="97" t="n"/>
      <c r="C163" s="97" t="n"/>
      <c r="D163" s="97" t="n"/>
      <c r="E163" s="2" t="n"/>
      <c r="F163" s="97" t="n"/>
      <c r="G163" s="97" t="n"/>
      <c r="H163" s="97" t="n"/>
      <c r="I163" s="9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97" t="n"/>
      <c r="B164" s="97" t="n"/>
      <c r="C164" s="97" t="n"/>
      <c r="D164" s="97" t="n"/>
      <c r="E164" s="2" t="n"/>
      <c r="F164" s="97" t="n"/>
      <c r="G164" s="97" t="n"/>
      <c r="H164" s="97" t="n"/>
      <c r="I164" s="9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97" t="n"/>
      <c r="B165" s="97" t="n"/>
      <c r="C165" s="97" t="n"/>
      <c r="D165" s="97" t="n"/>
      <c r="E165" s="2" t="n"/>
      <c r="F165" s="97" t="n"/>
      <c r="G165" s="97" t="n"/>
      <c r="H165" s="97" t="n"/>
      <c r="I165" s="9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97" t="inlineStr">
        <is>
          <t>Total Payable</t>
        </is>
      </c>
      <c r="B166" s="97" t="n"/>
      <c r="C166" s="97" t="n"/>
      <c r="D166" s="97">
        <f>SUM(D161:D165)</f>
        <v/>
      </c>
      <c r="E166" s="2" t="n"/>
      <c r="F166" s="97" t="inlineStr">
        <is>
          <t>Total Payable</t>
        </is>
      </c>
      <c r="G166" s="107" t="n"/>
      <c r="H166" s="108" t="n"/>
      <c r="I166" s="97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thickBot="1" thickTop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97" t="inlineStr">
        <is>
          <t>Name</t>
        </is>
      </c>
      <c r="B168" s="97" t="inlineStr">
        <is>
          <t>BHORARAMJI</t>
        </is>
      </c>
      <c r="C168" s="97" t="inlineStr">
        <is>
          <t>MIYAPUR</t>
        </is>
      </c>
      <c r="D168" s="9" t="n">
        <v>45844</v>
      </c>
      <c r="E168" s="2" t="n"/>
      <c r="F168" s="97" t="inlineStr">
        <is>
          <t>Name</t>
        </is>
      </c>
      <c r="G168" s="97" t="inlineStr">
        <is>
          <t>TARARAMJI</t>
        </is>
      </c>
      <c r="H168" s="97" t="inlineStr">
        <is>
          <t>SURARAM</t>
        </is>
      </c>
      <c r="I168" s="9" t="n">
        <v>45844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97" t="inlineStr">
        <is>
          <t>Month</t>
        </is>
      </c>
      <c r="B169" s="97" t="inlineStr">
        <is>
          <t>Plan</t>
        </is>
      </c>
      <c r="C169" s="97" t="inlineStr">
        <is>
          <t>Commission</t>
        </is>
      </c>
      <c r="D169" s="97" t="inlineStr">
        <is>
          <t>Amount</t>
        </is>
      </c>
      <c r="E169" s="2" t="n"/>
      <c r="F169" s="97" t="inlineStr">
        <is>
          <t>Month</t>
        </is>
      </c>
      <c r="G169" s="97" t="inlineStr">
        <is>
          <t>Plan</t>
        </is>
      </c>
      <c r="H169" s="97" t="inlineStr">
        <is>
          <t>Commission</t>
        </is>
      </c>
      <c r="I169" s="97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97" t="n">
        <v>14.1</v>
      </c>
      <c r="B170" s="97" t="n">
        <v>1000000</v>
      </c>
      <c r="C170" s="97">
        <f>VLOOKUP(A170&amp;"|"&amp;B170,$O$3:$P$16,2,FALSE)</f>
        <v/>
      </c>
      <c r="D170" s="97">
        <f>VLOOKUP(A170&amp;"|"&amp;B170,$Q$3:$R$16,2,FALSE)</f>
        <v/>
      </c>
      <c r="E170" s="2" t="inlineStr">
        <is>
          <t>.</t>
        </is>
      </c>
      <c r="F170" s="97" t="n">
        <v>14</v>
      </c>
      <c r="G170" s="97" t="n">
        <v>1000000</v>
      </c>
      <c r="H170" s="97">
        <f>VLOOKUP(F170&amp;"|"&amp;G170,$O$3:$P$16,2,FALSE)</f>
        <v/>
      </c>
      <c r="I170" s="97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97" t="n">
        <v>3</v>
      </c>
      <c r="B171" s="97" t="n">
        <v>1000000</v>
      </c>
      <c r="C171" s="97">
        <f>VLOOKUP(A171&amp;"|"&amp;B171,$O$3:$P$16,2,FALSE)</f>
        <v/>
      </c>
      <c r="D171" s="97">
        <f>VLOOKUP(A171&amp;"|"&amp;B171,$Q$3:$R$16,2,FALSE)</f>
        <v/>
      </c>
      <c r="E171" s="2" t="n"/>
      <c r="F171" s="97" t="n">
        <v>8</v>
      </c>
      <c r="G171" s="97" t="n">
        <v>500000</v>
      </c>
      <c r="H171" s="97">
        <f>VLOOKUP(F171&amp;"|"&amp;G171,$O$3:$P$16,2,FALSE)</f>
        <v/>
      </c>
      <c r="I171" s="97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97" t="n"/>
      <c r="B172" s="97" t="n"/>
      <c r="C172" s="97" t="n"/>
      <c r="D172" s="97" t="n"/>
      <c r="E172" s="2" t="n"/>
      <c r="F172" s="97" t="n"/>
      <c r="G172" s="97" t="n"/>
      <c r="H172" s="97" t="n"/>
      <c r="I172" s="9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97" t="n"/>
      <c r="B173" s="97" t="n"/>
      <c r="C173" s="97" t="n"/>
      <c r="D173" s="97" t="n"/>
      <c r="E173" s="2" t="n"/>
      <c r="F173" s="97" t="n"/>
      <c r="G173" s="97" t="n"/>
      <c r="H173" s="97" t="n"/>
      <c r="I173" s="9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97" t="n"/>
      <c r="B174" s="97" t="n"/>
      <c r="C174" s="97" t="n"/>
      <c r="D174" s="97" t="n"/>
      <c r="E174" s="2" t="n"/>
      <c r="F174" s="97" t="n"/>
      <c r="G174" s="97" t="n"/>
      <c r="H174" s="97" t="n"/>
      <c r="I174" s="9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97" t="inlineStr">
        <is>
          <t>Total Payable</t>
        </is>
      </c>
      <c r="B175" s="97" t="n"/>
      <c r="C175" s="97" t="n"/>
      <c r="D175" s="97">
        <f>SUM(D170:D174)</f>
        <v/>
      </c>
      <c r="E175" s="2" t="n"/>
      <c r="F175" s="97" t="inlineStr">
        <is>
          <t>Total Payable</t>
        </is>
      </c>
      <c r="G175" s="107" t="n"/>
      <c r="H175" s="108" t="n"/>
      <c r="I175" s="97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thickBot="1" thickTop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97" t="inlineStr">
        <is>
          <t>Name</t>
        </is>
      </c>
      <c r="B177" s="97" t="inlineStr">
        <is>
          <t>MADARAMJI</t>
        </is>
      </c>
      <c r="C177" s="97" t="inlineStr">
        <is>
          <t>SHAPUR</t>
        </is>
      </c>
      <c r="D177" s="9" t="n">
        <v>45844</v>
      </c>
      <c r="E177" s="2" t="n"/>
      <c r="F177" s="97" t="inlineStr">
        <is>
          <t>Name</t>
        </is>
      </c>
      <c r="G177" s="97" t="inlineStr">
        <is>
          <t>KUKARAMJI</t>
        </is>
      </c>
      <c r="H177" s="97" t="inlineStr">
        <is>
          <t>J GUTTA</t>
        </is>
      </c>
      <c r="I177" s="9" t="n">
        <v>45844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97" t="inlineStr">
        <is>
          <t>Month</t>
        </is>
      </c>
      <c r="B178" s="97" t="inlineStr">
        <is>
          <t>Plan</t>
        </is>
      </c>
      <c r="C178" s="97" t="inlineStr">
        <is>
          <t>Commission</t>
        </is>
      </c>
      <c r="D178" s="97" t="inlineStr">
        <is>
          <t>Amount</t>
        </is>
      </c>
      <c r="E178" s="2" t="n"/>
      <c r="F178" s="97" t="inlineStr">
        <is>
          <t>Month</t>
        </is>
      </c>
      <c r="G178" s="97" t="inlineStr">
        <is>
          <t>Plan</t>
        </is>
      </c>
      <c r="H178" s="97" t="inlineStr">
        <is>
          <t>Commission</t>
        </is>
      </c>
      <c r="I178" s="97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97" t="n">
        <v>3</v>
      </c>
      <c r="B179" s="97" t="n">
        <v>2000000</v>
      </c>
      <c r="C179" s="97">
        <f>VLOOKUP(A179&amp;"|"&amp;B179,$O$3:$P$16,2,FALSE)</f>
        <v/>
      </c>
      <c r="D179" s="97">
        <f>VLOOKUP(A179&amp;"|"&amp;B179,$Q$3:$R$16,2,FALSE)</f>
        <v/>
      </c>
      <c r="E179" s="2" t="n"/>
      <c r="F179" s="97" t="n">
        <v>14.1</v>
      </c>
      <c r="G179" s="97" t="n">
        <v>1000000</v>
      </c>
      <c r="H179" s="97">
        <f>VLOOKUP(F179&amp;"|"&amp;G179,$O$3:$P$16,2,FALSE)</f>
        <v/>
      </c>
      <c r="I179" s="97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97" t="n">
        <v>11</v>
      </c>
      <c r="B180" s="97" t="n">
        <v>500000</v>
      </c>
      <c r="C180" s="97">
        <f>VLOOKUP(A180&amp;"|"&amp;B180,$O$3:$P$16,2,FALSE)</f>
        <v/>
      </c>
      <c r="D180" s="97">
        <f>VLOOKUP(A180&amp;"|"&amp;B180,$Q$3:$R$16,2,FALSE)</f>
        <v/>
      </c>
      <c r="E180" s="2" t="n"/>
      <c r="F180" s="97" t="n"/>
      <c r="G180" s="97" t="n"/>
      <c r="H180" s="97" t="n"/>
      <c r="I180" s="9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97" t="n"/>
      <c r="B181" s="97" t="n"/>
      <c r="C181" s="97" t="n"/>
      <c r="D181" s="97" t="n"/>
      <c r="E181" s="2" t="n"/>
      <c r="F181" s="97" t="n"/>
      <c r="G181" s="97" t="n"/>
      <c r="H181" s="97" t="n"/>
      <c r="I181" s="9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97" t="n"/>
      <c r="B182" s="97" t="n"/>
      <c r="C182" s="97" t="n"/>
      <c r="D182" s="97" t="n"/>
      <c r="E182" s="2" t="n"/>
      <c r="F182" s="97" t="n"/>
      <c r="G182" s="97" t="n"/>
      <c r="H182" s="97" t="n"/>
      <c r="I182" s="9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97" t="n"/>
      <c r="B183" s="97" t="n"/>
      <c r="C183" s="97" t="n"/>
      <c r="D183" s="97" t="n"/>
      <c r="E183" s="2" t="n"/>
      <c r="F183" s="97" t="n"/>
      <c r="G183" s="97" t="n"/>
      <c r="H183" s="97" t="n"/>
      <c r="I183" s="9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97" t="inlineStr">
        <is>
          <t>Total Payable</t>
        </is>
      </c>
      <c r="B184" s="97" t="n"/>
      <c r="C184" s="97" t="n"/>
      <c r="D184" s="97">
        <f>SUM(D179:D183)</f>
        <v/>
      </c>
      <c r="E184" s="2" t="n"/>
      <c r="F184" s="97" t="inlineStr">
        <is>
          <t>Total Payable</t>
        </is>
      </c>
      <c r="G184" s="107" t="n"/>
      <c r="H184" s="108" t="n"/>
      <c r="I184" s="97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thickBot="1" thickTop="1">
      <c r="A185" s="2" t="inlineStr">
        <is>
          <t> </t>
        </is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12" t="inlineStr">
        <is>
          <t>NAME</t>
        </is>
      </c>
      <c r="B186" s="12" t="inlineStr">
        <is>
          <t>GENARAMJI</t>
        </is>
      </c>
      <c r="C186" s="12" t="inlineStr">
        <is>
          <t>J GUTTA</t>
        </is>
      </c>
      <c r="D186" s="9" t="n">
        <v>45844</v>
      </c>
      <c r="E186" s="2" t="n"/>
      <c r="F186" s="97" t="inlineStr">
        <is>
          <t>Name</t>
        </is>
      </c>
      <c r="G186" s="97" t="inlineStr">
        <is>
          <t>NARENDRAJI</t>
        </is>
      </c>
      <c r="H186" s="97" t="inlineStr">
        <is>
          <t>SACHINJI</t>
        </is>
      </c>
      <c r="I186" s="9" t="n">
        <v>45844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97" t="inlineStr">
        <is>
          <t>MONTH</t>
        </is>
      </c>
      <c r="B187" s="97" t="inlineStr">
        <is>
          <t>PLAN</t>
        </is>
      </c>
      <c r="C187" s="97" t="inlineStr">
        <is>
          <t>C MMISSION</t>
        </is>
      </c>
      <c r="D187" s="97" t="inlineStr">
        <is>
          <t>Amount</t>
        </is>
      </c>
      <c r="E187" s="2" t="n"/>
      <c r="F187" s="97" t="inlineStr">
        <is>
          <t>Month</t>
        </is>
      </c>
      <c r="G187" s="97" t="inlineStr">
        <is>
          <t>Plan</t>
        </is>
      </c>
      <c r="H187" s="97" t="inlineStr">
        <is>
          <t>Commission</t>
        </is>
      </c>
      <c r="I187" s="97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97" t="n">
        <v>18</v>
      </c>
      <c r="B188" s="97" t="n">
        <v>1000000</v>
      </c>
      <c r="C188" s="97">
        <f>VLOOKUP(A188&amp;"|"&amp;B188,$O$3:$P$17,2,FALSE)</f>
        <v/>
      </c>
      <c r="D188" s="97">
        <f>VLOOKUP(A188&amp;"|"&amp;B188,$Q$3:$R$17,2,FALSE)</f>
        <v/>
      </c>
      <c r="E188" s="2" t="n"/>
      <c r="F188" s="97" t="n">
        <v>14.1</v>
      </c>
      <c r="G188" s="97" t="n">
        <v>500000</v>
      </c>
      <c r="H188" s="97">
        <f>VLOOKUP(F188&amp;"|"&amp;G188,$O$3:$P$16,2,FALSE)</f>
        <v/>
      </c>
      <c r="I188" s="97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97" t="n">
        <v>14.1</v>
      </c>
      <c r="B189" s="97" t="n">
        <v>1000000</v>
      </c>
      <c r="C189" s="97">
        <f>VLOOKUP(A189&amp;"|"&amp;B189,$O$3:$P$17,2,FALSE)</f>
        <v/>
      </c>
      <c r="D189" s="97">
        <f>VLOOKUP(A189&amp;"|"&amp;B189,$Q$3:$R$17,2,FALSE)</f>
        <v/>
      </c>
      <c r="E189" s="2" t="n"/>
      <c r="F189" s="97" t="n"/>
      <c r="G189" s="97" t="n"/>
      <c r="H189" s="97" t="n"/>
      <c r="I189" s="9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97" t="n"/>
      <c r="B190" s="97" t="n"/>
      <c r="C190" s="97" t="n"/>
      <c r="D190" s="97" t="n"/>
      <c r="E190" s="2" t="n"/>
      <c r="F190" s="97" t="n"/>
      <c r="G190" s="97" t="n"/>
      <c r="H190" s="97" t="n"/>
      <c r="I190" s="9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97" t="n"/>
      <c r="B191" s="97" t="n"/>
      <c r="C191" s="97" t="n"/>
      <c r="D191" s="97" t="n"/>
      <c r="E191" s="2" t="n"/>
      <c r="F191" s="97" t="n"/>
      <c r="G191" s="97" t="n"/>
      <c r="H191" s="97" t="n"/>
      <c r="I191" s="9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97" t="n"/>
      <c r="B192" s="97" t="n"/>
      <c r="C192" s="97" t="n"/>
      <c r="D192" s="97" t="n"/>
      <c r="E192" s="2" t="n"/>
      <c r="F192" s="97" t="n"/>
      <c r="G192" s="97" t="n"/>
      <c r="H192" s="97" t="n"/>
      <c r="I192" s="9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97" t="inlineStr">
        <is>
          <t>Total Payable</t>
        </is>
      </c>
      <c r="B193" s="97" t="n"/>
      <c r="C193" s="97" t="n"/>
      <c r="D193" s="97">
        <f>SUM(D188:D192)</f>
        <v/>
      </c>
      <c r="E193" s="2" t="n"/>
      <c r="F193" s="97" t="inlineStr">
        <is>
          <t>Total Payable</t>
        </is>
      </c>
      <c r="G193" s="107" t="n"/>
      <c r="H193" s="108" t="n"/>
      <c r="I193" s="97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thickBot="1" thickTop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97" t="inlineStr">
        <is>
          <t>Name</t>
        </is>
      </c>
      <c r="B195" s="97" t="inlineStr">
        <is>
          <t>HONARAMJI</t>
        </is>
      </c>
      <c r="C195" s="97" t="inlineStr">
        <is>
          <t>RAMARAM</t>
        </is>
      </c>
      <c r="D195" s="9" t="n">
        <v>45844</v>
      </c>
      <c r="E195" s="2" t="n"/>
      <c r="F195" s="97" t="inlineStr">
        <is>
          <t>Name</t>
        </is>
      </c>
      <c r="G195" s="97" t="inlineStr">
        <is>
          <t>MEHNDARJI</t>
        </is>
      </c>
      <c r="H195" s="97" t="inlineStr">
        <is>
          <t>SR NGR</t>
        </is>
      </c>
      <c r="I195" s="9" t="n">
        <v>45844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97" t="inlineStr">
        <is>
          <t>Month</t>
        </is>
      </c>
      <c r="B196" s="97" t="inlineStr">
        <is>
          <t>Plan</t>
        </is>
      </c>
      <c r="C196" s="97" t="inlineStr">
        <is>
          <t>Commission</t>
        </is>
      </c>
      <c r="D196" s="97" t="inlineStr">
        <is>
          <t>Amount</t>
        </is>
      </c>
      <c r="E196" s="2" t="n"/>
      <c r="F196" s="97" t="inlineStr">
        <is>
          <t>Month</t>
        </is>
      </c>
      <c r="G196" s="97" t="inlineStr">
        <is>
          <t>Plan</t>
        </is>
      </c>
      <c r="H196" s="97" t="inlineStr">
        <is>
          <t>Commission</t>
        </is>
      </c>
      <c r="I196" s="97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97" t="n">
        <v>14.1</v>
      </c>
      <c r="B197" s="97" t="n">
        <v>1000000</v>
      </c>
      <c r="C197" s="97">
        <f>VLOOKUP(A197&amp;"|"&amp;B197,$O$3:$P$16,2,FALSE)</f>
        <v/>
      </c>
      <c r="D197" s="97">
        <f>VLOOKUP(A197&amp;"|"&amp;B197,$Q$3:$R$16,2,FALSE)</f>
        <v/>
      </c>
      <c r="E197" s="2" t="n"/>
      <c r="F197" s="97" t="n">
        <v>14</v>
      </c>
      <c r="G197" s="97" t="n">
        <v>1000000</v>
      </c>
      <c r="H197" s="97">
        <f>VLOOKUP(F197&amp;"|"&amp;G197,$O$3:$P$16,2,FALSE)</f>
        <v/>
      </c>
      <c r="I197" s="97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97" t="n">
        <v>3</v>
      </c>
      <c r="B198" s="97" t="n">
        <v>1000000</v>
      </c>
      <c r="C198" s="97">
        <f>VLOOKUP(A198&amp;"|"&amp;B198,$O$3:$P$16,2,FALSE)</f>
        <v/>
      </c>
      <c r="D198" s="97">
        <f>VLOOKUP(A198&amp;"|"&amp;B198,$Q$3:$R$16,2,FALSE)</f>
        <v/>
      </c>
      <c r="E198" s="2" t="n"/>
      <c r="F198" s="97" t="n"/>
      <c r="G198" s="97" t="n"/>
      <c r="H198" s="97" t="n"/>
      <c r="I198" s="9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97" t="n"/>
      <c r="B199" s="97" t="n"/>
      <c r="C199" s="97" t="n"/>
      <c r="D199" s="97" t="n"/>
      <c r="E199" s="2" t="n"/>
      <c r="F199" s="97" t="n"/>
      <c r="G199" s="97" t="n"/>
      <c r="H199" s="97" t="n"/>
      <c r="I199" s="9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97" t="n"/>
      <c r="B200" s="97" t="n"/>
      <c r="C200" s="97" t="n"/>
      <c r="D200" s="97" t="n"/>
      <c r="E200" s="2" t="n"/>
      <c r="F200" s="97" t="n"/>
      <c r="G200" s="97" t="n"/>
      <c r="H200" s="97" t="n"/>
      <c r="I200" s="9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97" t="n"/>
      <c r="B201" s="97" t="n"/>
      <c r="C201" s="97" t="n"/>
      <c r="D201" s="97" t="n"/>
      <c r="E201" s="2" t="n"/>
      <c r="F201" s="97" t="n"/>
      <c r="G201" s="97" t="n"/>
      <c r="H201" s="97" t="n"/>
      <c r="I201" s="9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97" t="inlineStr">
        <is>
          <t>Total Payable</t>
        </is>
      </c>
      <c r="B202" s="97" t="n"/>
      <c r="C202" s="97" t="n"/>
      <c r="D202" s="97">
        <f>SUM(D197:D201)</f>
        <v/>
      </c>
      <c r="E202" s="2" t="n"/>
      <c r="F202" s="97" t="inlineStr">
        <is>
          <t>Total Payable</t>
        </is>
      </c>
      <c r="G202" s="107" t="n"/>
      <c r="H202" s="108" t="n"/>
      <c r="I202" s="97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thickBot="1" thickTop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12" t="inlineStr">
        <is>
          <t>NAME</t>
        </is>
      </c>
      <c r="B204" s="12" t="inlineStr">
        <is>
          <t>KAILASHJI</t>
        </is>
      </c>
      <c r="C204" s="12" t="inlineStr">
        <is>
          <t>SHIVAMPET</t>
        </is>
      </c>
      <c r="D204" s="9" t="n">
        <v>45844</v>
      </c>
      <c r="F204" s="12" t="inlineStr">
        <is>
          <t>NAME</t>
        </is>
      </c>
      <c r="G204" s="12" t="inlineStr">
        <is>
          <t>SOHANJI GUJAR</t>
        </is>
      </c>
      <c r="H204" s="12" t="inlineStr">
        <is>
          <t>R R NGR</t>
        </is>
      </c>
      <c r="I204" s="9" t="n">
        <v>45844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97" t="inlineStr">
        <is>
          <t>Month</t>
        </is>
      </c>
      <c r="B205" s="97" t="inlineStr">
        <is>
          <t>Plan</t>
        </is>
      </c>
      <c r="C205" s="97" t="inlineStr">
        <is>
          <t>Commission</t>
        </is>
      </c>
      <c r="D205" s="97" t="inlineStr">
        <is>
          <t>Amount</t>
        </is>
      </c>
      <c r="F205" s="97" t="inlineStr">
        <is>
          <t>MONTH</t>
        </is>
      </c>
      <c r="G205" s="97" t="inlineStr">
        <is>
          <t>PLAN</t>
        </is>
      </c>
      <c r="H205" s="97" t="inlineStr">
        <is>
          <t>C MMISSION</t>
        </is>
      </c>
      <c r="I205" s="97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97" t="n">
        <v>14</v>
      </c>
      <c r="B206" s="97" t="n">
        <v>1000000</v>
      </c>
      <c r="C206" s="97">
        <f>VLOOKUP(A206&amp;"|"&amp;B206,$O$3:$P$18,2,FALSE)</f>
        <v/>
      </c>
      <c r="D206" s="97">
        <f>VLOOKUP(A206&amp;"|"&amp;B206,$Q$3:$R$17,2,FALSE)</f>
        <v/>
      </c>
      <c r="F206" s="97" t="n">
        <v>18</v>
      </c>
      <c r="G206" s="97" t="n">
        <v>500000</v>
      </c>
      <c r="H206" s="97">
        <f>VLOOKUP(F206&amp;"|"&amp;G206,$O$3:$P$17,2,FALSE)</f>
        <v/>
      </c>
      <c r="I206" s="97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97" t="n">
        <v>14.1</v>
      </c>
      <c r="B207" s="97" t="n">
        <v>1000000</v>
      </c>
      <c r="C207" s="97">
        <f>VLOOKUP(A207&amp;"|"&amp;B207,$O$3:$P$17,2,FALSE)</f>
        <v/>
      </c>
      <c r="D207" s="97">
        <f>VLOOKUP(A207&amp;"|"&amp;B207,$Q$3:$R$17,2,FALSE)</f>
        <v/>
      </c>
      <c r="F207" s="97" t="n">
        <v>3</v>
      </c>
      <c r="G207" s="97" t="n">
        <v>1000000</v>
      </c>
      <c r="H207" s="97">
        <f>VLOOKUP(F207&amp;"|"&amp;G207,$O$3:$P$17,2,FALSE)</f>
        <v/>
      </c>
      <c r="I207" s="97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97" t="n"/>
      <c r="B208" s="97" t="n"/>
      <c r="C208" s="97" t="n"/>
      <c r="D208" s="97" t="n"/>
      <c r="E208" s="2" t="n"/>
      <c r="F208" s="97" t="n"/>
      <c r="G208" s="97" t="n"/>
      <c r="H208" s="97" t="n"/>
      <c r="I208" s="9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97" t="n"/>
      <c r="B209" s="97" t="n"/>
      <c r="C209" s="97" t="n"/>
      <c r="D209" s="97" t="n"/>
      <c r="E209" s="2" t="n"/>
      <c r="F209" s="97" t="n"/>
      <c r="G209" s="97" t="n"/>
      <c r="H209" s="97" t="n"/>
      <c r="I209" s="9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97" t="n"/>
      <c r="B210" s="97" t="n"/>
      <c r="C210" s="97" t="n"/>
      <c r="D210" s="97" t="n"/>
      <c r="E210" s="2" t="n"/>
      <c r="F210" s="97" t="n"/>
      <c r="G210" s="97" t="n"/>
      <c r="H210" s="97" t="n"/>
      <c r="I210" s="9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97" t="inlineStr">
        <is>
          <t>Total Payable</t>
        </is>
      </c>
      <c r="B211" s="97" t="n"/>
      <c r="C211" s="97" t="n"/>
      <c r="D211" s="97">
        <f>SUM(D206:D210)</f>
        <v/>
      </c>
      <c r="E211" s="2" t="n"/>
      <c r="F211" s="97" t="inlineStr">
        <is>
          <t>Total Payable</t>
        </is>
      </c>
      <c r="G211" s="107" t="n"/>
      <c r="H211" s="108" t="n"/>
      <c r="I211" s="97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thickBot="1" thickTop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97" t="inlineStr">
        <is>
          <t>Name</t>
        </is>
      </c>
      <c r="B213" s="97" t="inlineStr">
        <is>
          <t>PRAKASHJI</t>
        </is>
      </c>
      <c r="C213" s="97" t="inlineStr">
        <is>
          <t>GUTTA</t>
        </is>
      </c>
      <c r="D213" s="9" t="n">
        <v>45844</v>
      </c>
      <c r="E213" s="2" t="n"/>
      <c r="F213" s="97" t="inlineStr">
        <is>
          <t>Name</t>
        </is>
      </c>
      <c r="G213" s="97" t="inlineStr">
        <is>
          <t>RAMESHJI</t>
        </is>
      </c>
      <c r="H213" s="97" t="inlineStr">
        <is>
          <t>RR NAGAR</t>
        </is>
      </c>
      <c r="I213" s="9" t="n">
        <v>45844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97" t="inlineStr">
        <is>
          <t>Month</t>
        </is>
      </c>
      <c r="B214" s="97" t="inlineStr">
        <is>
          <t>Plan</t>
        </is>
      </c>
      <c r="C214" s="97" t="inlineStr">
        <is>
          <t>Commission</t>
        </is>
      </c>
      <c r="D214" s="97" t="inlineStr">
        <is>
          <t>Amount</t>
        </is>
      </c>
      <c r="E214" s="2" t="n"/>
      <c r="F214" s="97" t="inlineStr">
        <is>
          <t>Month</t>
        </is>
      </c>
      <c r="G214" s="97" t="inlineStr">
        <is>
          <t>Plan</t>
        </is>
      </c>
      <c r="H214" s="97" t="inlineStr">
        <is>
          <t>Commission</t>
        </is>
      </c>
      <c r="I214" s="97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97" t="n">
        <v>18</v>
      </c>
      <c r="B215" s="97" t="n">
        <v>500000</v>
      </c>
      <c r="C215" s="97">
        <f>VLOOKUP(A215&amp;"|"&amp;B215,$O$3:$P$16,2,FALSE)</f>
        <v/>
      </c>
      <c r="D215" s="97">
        <f>VLOOKUP(A215&amp;"|"&amp;B215,$Q$3:$R$16,2,FALSE)</f>
        <v/>
      </c>
      <c r="E215" s="2" t="n"/>
      <c r="F215" s="97" t="n">
        <v>18</v>
      </c>
      <c r="G215" s="97" t="n">
        <v>500000</v>
      </c>
      <c r="H215" s="97">
        <f>VLOOKUP(F215&amp;"|"&amp;G215,$O$3:$P$16,2,FALSE)</f>
        <v/>
      </c>
      <c r="I215" s="97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97" t="n"/>
      <c r="B216" s="97" t="n"/>
      <c r="C216" s="97" t="n"/>
      <c r="D216" s="97" t="n"/>
      <c r="E216" s="2" t="n"/>
      <c r="F216" s="97" t="n">
        <v>11</v>
      </c>
      <c r="G216" s="97" t="n">
        <v>500000</v>
      </c>
      <c r="H216" s="97">
        <f>VLOOKUP(F216&amp;"|"&amp;G216,$O$3:$P$16,2,FALSE)</f>
        <v/>
      </c>
      <c r="I216" s="97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97" t="n"/>
      <c r="B217" s="97" t="n"/>
      <c r="C217" s="97" t="n"/>
      <c r="D217" s="97" t="n"/>
      <c r="E217" s="2" t="n"/>
      <c r="F217" s="97" t="n"/>
      <c r="G217" s="97" t="n"/>
      <c r="H217" s="97" t="n"/>
      <c r="I217" s="97" t="n"/>
      <c r="J217" s="112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97" t="n"/>
      <c r="B218" s="97" t="n"/>
      <c r="C218" s="97" t="n"/>
      <c r="D218" s="97" t="n"/>
      <c r="E218" s="2" t="n"/>
      <c r="F218" s="97" t="n"/>
      <c r="G218" s="97" t="n"/>
      <c r="H218" s="97" t="n"/>
      <c r="I218" s="9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97" t="n"/>
      <c r="B219" s="97" t="n"/>
      <c r="C219" s="97" t="n"/>
      <c r="D219" s="97" t="n"/>
      <c r="E219" s="2" t="n"/>
      <c r="F219" s="97" t="n"/>
      <c r="G219" s="97" t="n"/>
      <c r="H219" s="97" t="n"/>
      <c r="I219" s="9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97" t="inlineStr">
        <is>
          <t>Total Payable</t>
        </is>
      </c>
      <c r="B220" s="97" t="n"/>
      <c r="C220" s="97" t="n"/>
      <c r="D220" s="97">
        <f>SUM(D215:D219)</f>
        <v/>
      </c>
      <c r="E220" s="2" t="n"/>
      <c r="F220" s="97" t="inlineStr">
        <is>
          <t>Total Payable</t>
        </is>
      </c>
      <c r="G220" s="107" t="n"/>
      <c r="H220" s="108" t="n"/>
      <c r="I220" s="97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thickBot="1" thickTop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97" t="inlineStr">
        <is>
          <t>Name</t>
        </is>
      </c>
      <c r="B222" s="97" t="inlineStr">
        <is>
          <t>GENARAMJI</t>
        </is>
      </c>
      <c r="C222" s="97" t="inlineStr">
        <is>
          <t>RAMARAM</t>
        </is>
      </c>
      <c r="D222" s="9" t="n">
        <v>45844</v>
      </c>
      <c r="E222" s="2" t="n"/>
      <c r="F222" s="97" t="inlineStr">
        <is>
          <t>Name</t>
        </is>
      </c>
      <c r="G222" s="97" t="inlineStr">
        <is>
          <t>JAGDISHJI</t>
        </is>
      </c>
      <c r="H222" s="97" t="inlineStr">
        <is>
          <t>PPR NGR</t>
        </is>
      </c>
      <c r="I222" s="9" t="n">
        <v>45844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97" t="inlineStr">
        <is>
          <t>Month</t>
        </is>
      </c>
      <c r="B223" s="97" t="inlineStr">
        <is>
          <t>Plan</t>
        </is>
      </c>
      <c r="C223" s="97" t="inlineStr">
        <is>
          <t>Commission</t>
        </is>
      </c>
      <c r="D223" s="97" t="inlineStr">
        <is>
          <t>Amount</t>
        </is>
      </c>
      <c r="E223" s="2" t="n"/>
      <c r="F223" s="97" t="inlineStr">
        <is>
          <t>Month</t>
        </is>
      </c>
      <c r="G223" s="97" t="inlineStr">
        <is>
          <t>Plan</t>
        </is>
      </c>
      <c r="H223" s="97" t="inlineStr">
        <is>
          <t>Commission</t>
        </is>
      </c>
      <c r="I223" s="97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97" t="n">
        <v>8</v>
      </c>
      <c r="B224" s="97" t="n">
        <v>500000</v>
      </c>
      <c r="C224" s="97">
        <f>VLOOKUP(A224&amp;"|"&amp;B224,$O$3:$P$16,2,FALSE)</f>
        <v/>
      </c>
      <c r="D224" s="97">
        <f>VLOOKUP(A224&amp;"|"&amp;B224,$Q$3:$R$16,2,FALSE)</f>
        <v/>
      </c>
      <c r="E224" s="2" t="n"/>
      <c r="F224" s="97" t="n">
        <v>8</v>
      </c>
      <c r="G224" s="97" t="n">
        <v>500000</v>
      </c>
      <c r="H224" s="97">
        <f>VLOOKUP(F224&amp;"|"&amp;G224,$O$3:$P$16,2,FALSE)</f>
        <v/>
      </c>
      <c r="I224" s="97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97" t="n"/>
      <c r="B225" s="97" t="n"/>
      <c r="C225" s="97" t="n"/>
      <c r="D225" s="97" t="n"/>
      <c r="E225" s="2" t="n"/>
      <c r="F225" s="97" t="n"/>
      <c r="G225" s="97" t="n"/>
      <c r="H225" s="97" t="n"/>
      <c r="I225" s="9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97" t="n"/>
      <c r="B226" s="97" t="n"/>
      <c r="C226" s="97" t="n"/>
      <c r="D226" s="97" t="n"/>
      <c r="E226" s="2" t="n"/>
      <c r="F226" s="97" t="n"/>
      <c r="G226" s="97" t="n"/>
      <c r="H226" s="97" t="n"/>
      <c r="I226" s="9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97" t="n"/>
      <c r="B227" s="97" t="n"/>
      <c r="C227" s="97" t="n"/>
      <c r="D227" s="97" t="n"/>
      <c r="E227" s="2" t="n"/>
      <c r="F227" s="97" t="n"/>
      <c r="G227" s="97" t="n"/>
      <c r="H227" s="97" t="n"/>
      <c r="I227" s="9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97" t="n"/>
      <c r="B228" s="97" t="n"/>
      <c r="C228" s="97" t="n"/>
      <c r="D228" s="97" t="n"/>
      <c r="E228" s="2" t="n"/>
      <c r="F228" s="97" t="n"/>
      <c r="G228" s="97" t="n"/>
      <c r="H228" s="97" t="n"/>
      <c r="I228" s="9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97" t="inlineStr">
        <is>
          <t>Total Payable</t>
        </is>
      </c>
      <c r="B229" s="97" t="n"/>
      <c r="C229" s="97" t="n"/>
      <c r="D229" s="97">
        <f>SUM(D224:D228)</f>
        <v/>
      </c>
      <c r="E229" s="2" t="n"/>
      <c r="F229" s="97" t="inlineStr">
        <is>
          <t>Total Payable</t>
        </is>
      </c>
      <c r="G229" s="107" t="n"/>
      <c r="H229" s="108" t="n"/>
      <c r="I229" s="97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thickBot="1" thickTop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97" t="inlineStr">
        <is>
          <t>Name</t>
        </is>
      </c>
      <c r="B231" s="97" t="inlineStr">
        <is>
          <t>BHUNDARAMJI</t>
        </is>
      </c>
      <c r="C231" s="97" t="inlineStr">
        <is>
          <t>PRAGTI NGR</t>
        </is>
      </c>
      <c r="D231" s="9" t="n">
        <v>45844</v>
      </c>
      <c r="E231" s="2" t="n"/>
      <c r="F231" s="97" t="inlineStr">
        <is>
          <t>Name</t>
        </is>
      </c>
      <c r="G231" s="97" t="inlineStr">
        <is>
          <t>JOGARAMJI</t>
        </is>
      </c>
      <c r="H231" s="97" t="inlineStr">
        <is>
          <t>KU PALLY</t>
        </is>
      </c>
      <c r="I231" s="9" t="n">
        <v>45844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97" t="inlineStr">
        <is>
          <t>Month</t>
        </is>
      </c>
      <c r="B232" s="97" t="inlineStr">
        <is>
          <t>Plan</t>
        </is>
      </c>
      <c r="C232" s="97" t="inlineStr">
        <is>
          <t>Commission</t>
        </is>
      </c>
      <c r="D232" s="97" t="inlineStr">
        <is>
          <t>Amount</t>
        </is>
      </c>
      <c r="E232" s="2" t="n"/>
      <c r="F232" s="97" t="inlineStr">
        <is>
          <t>Month</t>
        </is>
      </c>
      <c r="G232" s="97" t="inlineStr">
        <is>
          <t>Plan</t>
        </is>
      </c>
      <c r="H232" s="97" t="inlineStr">
        <is>
          <t>Commission</t>
        </is>
      </c>
      <c r="I232" s="97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97" t="n">
        <v>3</v>
      </c>
      <c r="B233" s="97" t="n">
        <v>500000</v>
      </c>
      <c r="C233" s="97">
        <f>VLOOKUP(A233&amp;"|"&amp;B233,$O$3:$P$16,2,FALSE)</f>
        <v/>
      </c>
      <c r="D233" s="97">
        <f>VLOOKUP(A233&amp;"|"&amp;B233,$Q$3:$R$16,2,FALSE)</f>
        <v/>
      </c>
      <c r="E233" s="2" t="n"/>
      <c r="F233" s="97" t="n">
        <v>3</v>
      </c>
      <c r="G233" s="97" t="n">
        <v>2000000</v>
      </c>
      <c r="H233" s="97">
        <f>VLOOKUP(F233&amp;"|"&amp;G233,$O$3:$P$19,2,FALSE)</f>
        <v/>
      </c>
      <c r="I233" s="97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97" t="n"/>
      <c r="B234" s="97" t="n"/>
      <c r="C234" s="97" t="n"/>
      <c r="D234" s="97" t="n"/>
      <c r="E234" s="2" t="n"/>
      <c r="F234" s="97" t="n"/>
      <c r="G234" s="97" t="n"/>
      <c r="H234" s="97" t="n"/>
      <c r="I234" s="9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97" t="n"/>
      <c r="B235" s="97" t="n"/>
      <c r="C235" s="97" t="n"/>
      <c r="D235" s="97" t="n"/>
      <c r="E235" s="2" t="n"/>
      <c r="F235" s="97" t="n"/>
      <c r="G235" s="97" t="n"/>
      <c r="H235" s="97" t="n"/>
      <c r="I235" s="9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97" t="n"/>
      <c r="B236" s="97" t="n"/>
      <c r="C236" s="97" t="n"/>
      <c r="D236" s="97" t="n"/>
      <c r="E236" s="2" t="n"/>
      <c r="F236" s="97" t="n"/>
      <c r="G236" s="97" t="n"/>
      <c r="H236" s="97" t="n"/>
      <c r="I236" s="9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97" t="n"/>
      <c r="B237" s="97" t="n"/>
      <c r="C237" s="97" t="n"/>
      <c r="D237" s="97" t="n"/>
      <c r="E237" s="2" t="n"/>
      <c r="F237" s="97" t="n"/>
      <c r="G237" s="97" t="n"/>
      <c r="H237" s="97" t="n"/>
      <c r="I237" s="9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97" t="inlineStr">
        <is>
          <t>Total Payable</t>
        </is>
      </c>
      <c r="B238" s="97" t="n"/>
      <c r="C238" s="97" t="n"/>
      <c r="D238" s="97">
        <f>SUM(D233:D237)</f>
        <v/>
      </c>
      <c r="E238" s="2" t="n"/>
      <c r="F238" s="97" t="inlineStr">
        <is>
          <t>Total Payable</t>
        </is>
      </c>
      <c r="G238" s="107" t="n"/>
      <c r="H238" s="108" t="n"/>
      <c r="I238" s="97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thickBot="1" thickTop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97" t="inlineStr">
        <is>
          <t>Name</t>
        </is>
      </c>
      <c r="B240" s="97" t="inlineStr">
        <is>
          <t>RUPARAMJI</t>
        </is>
      </c>
      <c r="C240" s="97" t="inlineStr">
        <is>
          <t>MIYAPUR</t>
        </is>
      </c>
      <c r="D240" s="9" t="n">
        <v>45844</v>
      </c>
      <c r="E240" s="2" t="n"/>
      <c r="F240" s="97" t="inlineStr">
        <is>
          <t>Name</t>
        </is>
      </c>
      <c r="G240" s="97" t="inlineStr">
        <is>
          <t>MANOHARJI</t>
        </is>
      </c>
      <c r="H240" s="97" t="inlineStr">
        <is>
          <t>PAPI REDDY</t>
        </is>
      </c>
      <c r="I240" s="9" t="n">
        <v>45844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97" t="inlineStr">
        <is>
          <t>Month</t>
        </is>
      </c>
      <c r="B241" s="97" t="inlineStr">
        <is>
          <t>Plan</t>
        </is>
      </c>
      <c r="C241" s="97" t="inlineStr">
        <is>
          <t>Commission</t>
        </is>
      </c>
      <c r="D241" s="97" t="inlineStr">
        <is>
          <t>Amount</t>
        </is>
      </c>
      <c r="E241" s="2" t="n"/>
      <c r="F241" s="97" t="inlineStr">
        <is>
          <t>Month</t>
        </is>
      </c>
      <c r="G241" s="97" t="inlineStr">
        <is>
          <t>Plan</t>
        </is>
      </c>
      <c r="H241" s="97" t="inlineStr">
        <is>
          <t>Commission</t>
        </is>
      </c>
      <c r="I241" s="97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97" t="n">
        <v>3</v>
      </c>
      <c r="B242" s="97" t="n">
        <v>1000000</v>
      </c>
      <c r="C242" s="97">
        <f>VLOOKUP(A242&amp;"|"&amp;B242,$O$3:$P$19,2,FALSE)</f>
        <v/>
      </c>
      <c r="D242" s="97">
        <f>VLOOKUP(A242&amp;"|"&amp;B242,$Q$3:$R$19,2,FALSE)</f>
        <v/>
      </c>
      <c r="E242" s="2" t="n"/>
      <c r="F242" s="97" t="n">
        <v>18</v>
      </c>
      <c r="G242" s="97" t="n">
        <v>1000000</v>
      </c>
      <c r="H242" s="97">
        <f>VLOOKUP(F242&amp;"|"&amp;G242,$O$3:$P$16,2,FALSE)</f>
        <v/>
      </c>
      <c r="I242" s="97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97" t="n"/>
      <c r="B243" s="97" t="n"/>
      <c r="C243" s="97" t="n"/>
      <c r="D243" s="97" t="n"/>
      <c r="E243" s="2" t="n"/>
      <c r="F243" s="97" t="n">
        <v>3</v>
      </c>
      <c r="G243" s="97" t="n">
        <v>2000000</v>
      </c>
      <c r="H243" s="97">
        <f>VLOOKUP(F243&amp;"|"&amp;G243,$O$3:$P$16,2,FALSE)</f>
        <v/>
      </c>
      <c r="I243" s="97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97" t="n"/>
      <c r="B244" s="97" t="n"/>
      <c r="C244" s="97" t="n"/>
      <c r="D244" s="97" t="n"/>
      <c r="E244" s="2" t="n"/>
      <c r="F244" s="97" t="n">
        <v>11</v>
      </c>
      <c r="G244" s="97" t="n">
        <v>500000</v>
      </c>
      <c r="H244" s="97">
        <f>VLOOKUP(F244&amp;"|"&amp;G244,$O$3:$P$16,2,FALSE)</f>
        <v/>
      </c>
      <c r="I244" s="97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97" t="n"/>
      <c r="B245" s="97" t="n"/>
      <c r="C245" s="97" t="n"/>
      <c r="D245" s="97" t="n"/>
      <c r="E245" s="2" t="n"/>
      <c r="F245" s="97" t="n">
        <v>11</v>
      </c>
      <c r="G245" s="97" t="n">
        <v>500000</v>
      </c>
      <c r="H245" s="97">
        <f>VLOOKUP(F245&amp;"|"&amp;G245,$O$3:$P$16,2,FALSE)</f>
        <v/>
      </c>
      <c r="I245" s="97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97" t="n"/>
      <c r="B246" s="97" t="n"/>
      <c r="C246" s="97" t="n"/>
      <c r="D246" s="97" t="n"/>
      <c r="E246" s="2" t="n"/>
      <c r="F246" s="97" t="n"/>
      <c r="G246" s="97" t="n"/>
      <c r="H246" s="97" t="n"/>
      <c r="I246" s="97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97" t="inlineStr">
        <is>
          <t>Total Payable</t>
        </is>
      </c>
      <c r="B247" s="97" t="n"/>
      <c r="C247" s="97" t="n"/>
      <c r="D247" s="97">
        <f>SUM(D242:D246)</f>
        <v/>
      </c>
      <c r="E247" s="2" t="n"/>
      <c r="F247" s="97" t="inlineStr">
        <is>
          <t>Total Payable</t>
        </is>
      </c>
      <c r="G247" s="107" t="n"/>
      <c r="H247" s="108" t="n"/>
      <c r="I247" s="97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thickBot="1" thickTop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97" t="inlineStr">
        <is>
          <t>Name</t>
        </is>
      </c>
      <c r="B249" s="97" t="inlineStr">
        <is>
          <t>OMJI</t>
        </is>
      </c>
      <c r="C249" s="97" t="inlineStr">
        <is>
          <t>IDPL</t>
        </is>
      </c>
      <c r="D249" s="9" t="n">
        <v>45844</v>
      </c>
      <c r="E249" s="2" t="n"/>
      <c r="F249" s="97" t="inlineStr">
        <is>
          <t>Name</t>
        </is>
      </c>
      <c r="G249" s="97" t="inlineStr">
        <is>
          <t>KISHANJI</t>
        </is>
      </c>
      <c r="H249" s="97" t="inlineStr">
        <is>
          <t>KAMMAN</t>
        </is>
      </c>
      <c r="I249" s="9" t="n">
        <v>45844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97" t="inlineStr">
        <is>
          <t>Month</t>
        </is>
      </c>
      <c r="B250" s="97" t="inlineStr">
        <is>
          <t>Plan</t>
        </is>
      </c>
      <c r="C250" s="97" t="inlineStr">
        <is>
          <t>Commission</t>
        </is>
      </c>
      <c r="D250" s="97" t="inlineStr">
        <is>
          <t>Amount</t>
        </is>
      </c>
      <c r="E250" s="2" t="n"/>
      <c r="F250" s="97" t="inlineStr">
        <is>
          <t>Month</t>
        </is>
      </c>
      <c r="G250" s="97" t="inlineStr">
        <is>
          <t>Plan</t>
        </is>
      </c>
      <c r="H250" s="97" t="inlineStr">
        <is>
          <t>Commission</t>
        </is>
      </c>
      <c r="I250" s="97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97" t="n">
        <v>18</v>
      </c>
      <c r="B251" s="97" t="n">
        <v>1000000</v>
      </c>
      <c r="C251" s="97">
        <f>VLOOKUP(A251&amp;"|"&amp;B251,$O$3:$P$16,2,FALSE)</f>
        <v/>
      </c>
      <c r="D251" s="97">
        <f>VLOOKUP(A251&amp;"|"&amp;B251,$Q$3:$R$16,2,FALSE)</f>
        <v/>
      </c>
      <c r="E251" s="2" t="n"/>
      <c r="F251" s="97" t="n">
        <v>8</v>
      </c>
      <c r="G251" s="97" t="n">
        <v>500000</v>
      </c>
      <c r="H251" s="97">
        <f>VLOOKUP(F251&amp;"|"&amp;G251,$O$3:$P$16,2,FALSE)</f>
        <v/>
      </c>
      <c r="I251" s="97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97" t="n">
        <v>18</v>
      </c>
      <c r="B252" s="97" t="n">
        <v>1000000</v>
      </c>
      <c r="C252" s="97">
        <f>VLOOKUP(A252&amp;"|"&amp;B252,$O$3:$P$16,2,FALSE)</f>
        <v/>
      </c>
      <c r="D252" s="97">
        <f>VLOOKUP(A252&amp;"|"&amp;B252,$Q$3:$R$16,2,FALSE)</f>
        <v/>
      </c>
      <c r="E252" s="2" t="n"/>
      <c r="F252" s="97" t="n"/>
      <c r="G252" s="97" t="n"/>
      <c r="H252" s="97" t="n"/>
      <c r="I252" s="9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97" t="n"/>
      <c r="B253" s="97" t="n"/>
      <c r="C253" s="97" t="n"/>
      <c r="D253" s="97" t="n"/>
      <c r="E253" s="2" t="n"/>
      <c r="F253" s="97" t="n"/>
      <c r="G253" s="97" t="n"/>
      <c r="H253" s="97" t="n"/>
      <c r="I253" s="9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97" t="n"/>
      <c r="B254" s="97" t="n"/>
      <c r="C254" s="97" t="n"/>
      <c r="D254" s="97" t="n"/>
      <c r="E254" s="2" t="n"/>
      <c r="F254" s="97" t="n"/>
      <c r="G254" s="97" t="n"/>
      <c r="H254" s="97" t="n"/>
      <c r="I254" s="9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97" t="n"/>
      <c r="B255" s="97" t="n"/>
      <c r="C255" s="97" t="n"/>
      <c r="D255" s="97" t="n"/>
      <c r="E255" s="2" t="n"/>
      <c r="F255" s="97" t="n"/>
      <c r="G255" s="97" t="n"/>
      <c r="H255" s="97" t="n"/>
      <c r="I255" s="9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97" t="inlineStr">
        <is>
          <t>Total Payable</t>
        </is>
      </c>
      <c r="B256" s="97" t="n"/>
      <c r="C256" s="97" t="n"/>
      <c r="D256" s="97">
        <f>SUM(D251:D255)</f>
        <v/>
      </c>
      <c r="E256" s="2" t="n"/>
      <c r="F256" s="97" t="inlineStr">
        <is>
          <t>Total Payable</t>
        </is>
      </c>
      <c r="G256" s="107" t="n"/>
      <c r="H256" s="108" t="n"/>
      <c r="I256" s="97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thickBot="1" thickTop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97" t="inlineStr">
        <is>
          <t>Name</t>
        </is>
      </c>
      <c r="B258" s="97" t="inlineStr">
        <is>
          <t>HEMARAMJI</t>
        </is>
      </c>
      <c r="C258" s="97" t="inlineStr">
        <is>
          <t>YAMJAL</t>
        </is>
      </c>
      <c r="D258" s="9" t="n">
        <v>45844</v>
      </c>
      <c r="E258" s="2" t="n"/>
      <c r="F258" s="97" t="inlineStr">
        <is>
          <t>Name</t>
        </is>
      </c>
      <c r="G258" s="97" t="inlineStr">
        <is>
          <t>SURENDER</t>
        </is>
      </c>
      <c r="H258" s="97" t="inlineStr">
        <is>
          <t>P R NGR</t>
        </is>
      </c>
      <c r="I258" s="9" t="n">
        <v>45844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97" t="inlineStr">
        <is>
          <t>Month</t>
        </is>
      </c>
      <c r="B259" s="97" t="inlineStr">
        <is>
          <t>Plan</t>
        </is>
      </c>
      <c r="C259" s="97" t="inlineStr">
        <is>
          <t>Commission</t>
        </is>
      </c>
      <c r="D259" s="97" t="inlineStr">
        <is>
          <t>Amount</t>
        </is>
      </c>
      <c r="E259" s="2" t="n"/>
      <c r="F259" s="97" t="inlineStr">
        <is>
          <t>Month</t>
        </is>
      </c>
      <c r="G259" s="97" t="inlineStr">
        <is>
          <t>Plan</t>
        </is>
      </c>
      <c r="H259" s="97" t="inlineStr">
        <is>
          <t>Commission</t>
        </is>
      </c>
      <c r="I259" s="97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97" t="n">
        <v>14</v>
      </c>
      <c r="B260" s="97" t="n">
        <v>500000</v>
      </c>
      <c r="C260" s="97">
        <f>VLOOKUP(A260&amp;"|"&amp;B260,$O$3:$P$18,2,FALSE)</f>
        <v/>
      </c>
      <c r="D260" s="97">
        <f>VLOOKUP(A260&amp;"|"&amp;B260,$Q$3:$R$18,2,FALSE)</f>
        <v/>
      </c>
      <c r="E260" s="2" t="n"/>
      <c r="F260" s="97" t="n">
        <v>18</v>
      </c>
      <c r="G260" s="97" t="n">
        <v>500000</v>
      </c>
      <c r="H260" s="97">
        <f>VLOOKUP(F260&amp;"|"&amp;G260,$O$3:$P$16,2,FALSE)</f>
        <v/>
      </c>
      <c r="I260" s="97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97" t="n">
        <v>3</v>
      </c>
      <c r="B261" s="97" t="n">
        <v>1000000</v>
      </c>
      <c r="C261" s="97">
        <f>VLOOKUP(A261&amp;"|"&amp;B261,$O$3:$P$18,2,FALSE)</f>
        <v/>
      </c>
      <c r="D261" s="97">
        <f>VLOOKUP(A261&amp;"|"&amp;B261,$Q$3:$R$18,2,FALSE)</f>
        <v/>
      </c>
      <c r="E261" s="2" t="n"/>
      <c r="F261" s="97" t="n"/>
      <c r="G261" s="97" t="n"/>
      <c r="H261" s="97" t="n"/>
      <c r="I261" s="9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97" t="n"/>
      <c r="B262" s="97" t="n"/>
      <c r="C262" s="97" t="n"/>
      <c r="D262" s="97" t="n"/>
      <c r="E262" s="2" t="n"/>
      <c r="F262" s="97" t="n"/>
      <c r="G262" s="97" t="n"/>
      <c r="H262" s="97" t="n"/>
      <c r="I262" s="9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97" t="n"/>
      <c r="B263" s="97" t="n"/>
      <c r="C263" s="97" t="n"/>
      <c r="D263" s="97" t="n"/>
      <c r="E263" s="2" t="n"/>
      <c r="F263" s="97" t="n"/>
      <c r="G263" s="97" t="n"/>
      <c r="H263" s="97" t="n"/>
      <c r="I263" s="9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97" t="n"/>
      <c r="B264" s="97" t="n"/>
      <c r="C264" s="97" t="n"/>
      <c r="D264" s="97" t="n"/>
      <c r="E264" s="2" t="n"/>
      <c r="F264" s="97" t="n"/>
      <c r="G264" s="97" t="n"/>
      <c r="H264" s="97" t="n"/>
      <c r="I264" s="9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97" t="inlineStr">
        <is>
          <t>Total Payable</t>
        </is>
      </c>
      <c r="B265" s="97" t="n"/>
      <c r="C265" s="97" t="n"/>
      <c r="D265" s="97">
        <f>SUM(D260:D264)</f>
        <v/>
      </c>
      <c r="E265" s="2" t="n"/>
      <c r="F265" s="97" t="inlineStr">
        <is>
          <t>Total Payable</t>
        </is>
      </c>
      <c r="G265" s="107" t="n"/>
      <c r="H265" s="108" t="n"/>
      <c r="I265" s="97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thickBot="1" thickTop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97" t="inlineStr">
        <is>
          <t>Name</t>
        </is>
      </c>
      <c r="B267" s="97" t="inlineStr">
        <is>
          <t>DURGARAMJI</t>
        </is>
      </c>
      <c r="C267" s="97" t="inlineStr">
        <is>
          <t>RAMARAM</t>
        </is>
      </c>
      <c r="D267" s="9" t="n">
        <v>45844</v>
      </c>
      <c r="E267" s="2" t="n"/>
      <c r="F267" s="97" t="inlineStr">
        <is>
          <t>Name</t>
        </is>
      </c>
      <c r="G267" s="97" t="inlineStr">
        <is>
          <t>MANGILALJI</t>
        </is>
      </c>
      <c r="H267" s="97" t="inlineStr">
        <is>
          <t>SURARAM</t>
        </is>
      </c>
      <c r="I267" s="9" t="n">
        <v>45844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97" t="inlineStr">
        <is>
          <t>Month</t>
        </is>
      </c>
      <c r="B268" s="97" t="inlineStr">
        <is>
          <t>Plan</t>
        </is>
      </c>
      <c r="C268" s="97" t="inlineStr">
        <is>
          <t>Commission</t>
        </is>
      </c>
      <c r="D268" s="97" t="inlineStr">
        <is>
          <t>Amount</t>
        </is>
      </c>
      <c r="E268" s="2" t="n"/>
      <c r="F268" s="97" t="inlineStr">
        <is>
          <t>Month</t>
        </is>
      </c>
      <c r="G268" s="97" t="inlineStr">
        <is>
          <t>Plan</t>
        </is>
      </c>
      <c r="H268" s="97" t="inlineStr">
        <is>
          <t>Commission</t>
        </is>
      </c>
      <c r="I268" s="97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97" t="n">
        <v>3</v>
      </c>
      <c r="B269" s="97" t="n">
        <v>500000</v>
      </c>
      <c r="C269" s="97">
        <f>VLOOKUP(A269&amp;"|"&amp;B269,$O$3:$P$17,2,FALSE)</f>
        <v/>
      </c>
      <c r="D269" s="97">
        <f>VLOOKUP(A269&amp;"|"&amp;B269,$Q$3:$R$16,2,FALSE)</f>
        <v/>
      </c>
      <c r="E269" s="2" t="n"/>
      <c r="F269" s="97" t="n">
        <v>3</v>
      </c>
      <c r="G269" s="97" t="n">
        <v>500000</v>
      </c>
      <c r="H269" s="97">
        <f>VLOOKUP(F269&amp;"|"&amp;G269,$O$3:$P$16,2,FALSE)</f>
        <v/>
      </c>
      <c r="I269" s="97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97" t="n"/>
      <c r="B270" s="97" t="n"/>
      <c r="C270" s="97" t="n"/>
      <c r="D270" s="97" t="n"/>
      <c r="E270" s="2" t="n"/>
      <c r="F270" s="97" t="n"/>
      <c r="G270" s="97" t="n"/>
      <c r="H270" s="97" t="n"/>
      <c r="I270" s="9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97" t="n"/>
      <c r="B271" s="97" t="n"/>
      <c r="C271" s="97" t="n"/>
      <c r="D271" s="97" t="n"/>
      <c r="E271" s="2" t="n"/>
      <c r="F271" s="97" t="n"/>
      <c r="G271" s="97" t="n"/>
      <c r="H271" s="97" t="n"/>
      <c r="I271" s="9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97" t="n"/>
      <c r="B272" s="97" t="n"/>
      <c r="C272" s="97" t="n"/>
      <c r="D272" s="97" t="n"/>
      <c r="E272" s="2" t="n"/>
      <c r="F272" s="97" t="n"/>
      <c r="G272" s="97" t="n"/>
      <c r="H272" s="97" t="n"/>
      <c r="I272" s="9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97" t="n"/>
      <c r="B273" s="97" t="n"/>
      <c r="C273" s="97" t="n"/>
      <c r="D273" s="97" t="n"/>
      <c r="E273" s="2" t="n"/>
      <c r="F273" s="97" t="n"/>
      <c r="G273" s="97" t="n"/>
      <c r="H273" s="97" t="n"/>
      <c r="I273" s="9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97" t="inlineStr">
        <is>
          <t>Total Payable</t>
        </is>
      </c>
      <c r="B274" s="97" t="n"/>
      <c r="C274" s="97" t="n"/>
      <c r="D274" s="97">
        <f>SUM(D269:D273)</f>
        <v/>
      </c>
      <c r="E274" s="2" t="n"/>
      <c r="F274" s="97" t="inlineStr">
        <is>
          <t>Total Payable</t>
        </is>
      </c>
      <c r="G274" s="107" t="n"/>
      <c r="H274" s="108" t="n"/>
      <c r="I274" s="97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thickBot="1" thickTop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97" t="inlineStr">
        <is>
          <t>Name</t>
        </is>
      </c>
      <c r="B276" s="97" t="inlineStr">
        <is>
          <t>DHANARAMJI</t>
        </is>
      </c>
      <c r="C276" s="97" t="inlineStr">
        <is>
          <t>KAMAN</t>
        </is>
      </c>
      <c r="D276" s="9" t="n">
        <v>45844</v>
      </c>
      <c r="E276" s="2" t="n"/>
      <c r="F276" s="97" t="inlineStr">
        <is>
          <t>Name</t>
        </is>
      </c>
      <c r="G276" s="97" t="inlineStr">
        <is>
          <t>NARAYANJI</t>
        </is>
      </c>
      <c r="H276" s="97" t="inlineStr">
        <is>
          <t>KAMAN</t>
        </is>
      </c>
      <c r="I276" s="9" t="n">
        <v>45844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97" t="inlineStr">
        <is>
          <t>Month</t>
        </is>
      </c>
      <c r="B277" s="97" t="inlineStr">
        <is>
          <t>Plan</t>
        </is>
      </c>
      <c r="C277" s="97" t="inlineStr">
        <is>
          <t>Commission</t>
        </is>
      </c>
      <c r="D277" s="97" t="inlineStr">
        <is>
          <t>Amount</t>
        </is>
      </c>
      <c r="E277" s="2" t="n"/>
      <c r="F277" s="97" t="inlineStr">
        <is>
          <t>Month</t>
        </is>
      </c>
      <c r="G277" s="97" t="inlineStr">
        <is>
          <t>Plan</t>
        </is>
      </c>
      <c r="H277" s="97" t="inlineStr">
        <is>
          <t>Commission</t>
        </is>
      </c>
      <c r="I277" s="97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97" t="n">
        <v>3</v>
      </c>
      <c r="B278" s="97" t="n">
        <v>1000000</v>
      </c>
      <c r="C278" s="97">
        <f>VLOOKUP(A278&amp;"|"&amp;B278,$O$3:$P$16,2,FALSE)</f>
        <v/>
      </c>
      <c r="D278" s="97">
        <f>VLOOKUP(A278&amp;"|"&amp;B278,$Q$3:$R$16,2,FALSE)</f>
        <v/>
      </c>
      <c r="E278" s="2" t="n"/>
      <c r="F278" s="97" t="n">
        <v>3</v>
      </c>
      <c r="G278" s="97" t="n">
        <v>1000000</v>
      </c>
      <c r="H278" s="97">
        <f>VLOOKUP(F278&amp;"|"&amp;G278,$O$3:$P$18,2,FALSE)</f>
        <v/>
      </c>
      <c r="I278" s="97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97" t="n">
        <v>18</v>
      </c>
      <c r="B279" s="97" t="n">
        <v>1000000</v>
      </c>
      <c r="C279" s="97">
        <f>VLOOKUP(A279&amp;"|"&amp;B279,$O$3:$P$16,2,FALSE)</f>
        <v/>
      </c>
      <c r="D279" s="97">
        <f>VLOOKUP(A279&amp;"|"&amp;B279,$Q$3:$R$16,2,FALSE)</f>
        <v/>
      </c>
      <c r="E279" s="2" t="n"/>
      <c r="F279" s="97" t="n">
        <v>18</v>
      </c>
      <c r="G279" s="97" t="n">
        <v>500000</v>
      </c>
      <c r="H279" s="97">
        <f>VLOOKUP(F279&amp;"|"&amp;G279,$O$3:$P$16,2,FALSE)</f>
        <v/>
      </c>
      <c r="I279" s="97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97" t="n"/>
      <c r="B280" s="97" t="n"/>
      <c r="C280" s="97" t="n"/>
      <c r="D280" s="97" t="n"/>
      <c r="E280" s="2" t="n"/>
      <c r="F280" s="97" t="n">
        <v>11</v>
      </c>
      <c r="G280" s="97" t="n">
        <v>500000</v>
      </c>
      <c r="H280" s="97">
        <f>VLOOKUP(F280&amp;"|"&amp;G280,$O$3:$P$16,2,FALSE)</f>
        <v/>
      </c>
      <c r="I280" s="97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97" t="n"/>
      <c r="B281" s="97" t="n"/>
      <c r="C281" s="97" t="n"/>
      <c r="D281" s="97" t="n"/>
      <c r="E281" s="2" t="n"/>
      <c r="F281" s="97" t="n">
        <v>11</v>
      </c>
      <c r="G281" s="97" t="n">
        <v>500000</v>
      </c>
      <c r="H281" s="97">
        <f>VLOOKUP(F281&amp;"|"&amp;G281,$O$3:$P$16,2,FALSE)</f>
        <v/>
      </c>
      <c r="I281" s="97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97" t="n"/>
      <c r="B282" s="97" t="n"/>
      <c r="C282" s="97" t="n"/>
      <c r="D282" s="97" t="n"/>
      <c r="E282" s="2" t="n"/>
      <c r="F282" s="97" t="n">
        <v>3</v>
      </c>
      <c r="G282" s="97" t="n">
        <v>1000000</v>
      </c>
      <c r="H282" s="97">
        <f>VLOOKUP(F282&amp;"|"&amp;G282,$O$3:$P$16,2,FALSE)</f>
        <v/>
      </c>
      <c r="I282" s="97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97" t="n"/>
      <c r="B283" s="97" t="n"/>
      <c r="C283" s="97" t="n"/>
      <c r="D283" s="97" t="n"/>
      <c r="E283" s="2" t="n"/>
      <c r="F283" s="97" t="n">
        <v>8</v>
      </c>
      <c r="G283" s="97" t="n">
        <v>500000</v>
      </c>
      <c r="H283" s="97">
        <f>VLOOKUP(F283&amp;"|"&amp;G283,$O$3:$P$16,2,FALSE)</f>
        <v/>
      </c>
      <c r="I283" s="97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97" t="inlineStr">
        <is>
          <t>Total Payable</t>
        </is>
      </c>
      <c r="B284" s="97" t="n"/>
      <c r="C284" s="97" t="n"/>
      <c r="D284" s="97">
        <f>SUM(D278:D283)</f>
        <v/>
      </c>
      <c r="E284" s="2" t="n"/>
      <c r="F284" s="97" t="inlineStr">
        <is>
          <t>Total Payable</t>
        </is>
      </c>
      <c r="G284" s="107" t="n"/>
      <c r="H284" s="108" t="n"/>
      <c r="I284" s="97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91" t="n"/>
      <c r="B285" s="91" t="n"/>
      <c r="C285" s="91" t="n"/>
      <c r="D285" s="91" t="n"/>
      <c r="E285" s="2" t="n"/>
      <c r="F285" s="2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12" t="inlineStr">
        <is>
          <t>Name</t>
        </is>
      </c>
      <c r="B286" s="12" t="inlineStr">
        <is>
          <t>KHUSHVIRJI</t>
        </is>
      </c>
      <c r="C286" s="12" t="inlineStr">
        <is>
          <t>MEDCHAL</t>
        </is>
      </c>
      <c r="D286" s="9" t="n">
        <v>45844</v>
      </c>
      <c r="E286" s="2" t="n"/>
      <c r="F286" s="97" t="inlineStr">
        <is>
          <t>Name</t>
        </is>
      </c>
      <c r="G286" s="97" t="inlineStr">
        <is>
          <t>MOHANJI</t>
        </is>
      </c>
      <c r="H286" s="97" t="inlineStr">
        <is>
          <t>J GUTTA</t>
        </is>
      </c>
      <c r="I286" s="9" t="n">
        <v>45844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97" t="inlineStr">
        <is>
          <t>Month</t>
        </is>
      </c>
      <c r="B287" s="97" t="inlineStr">
        <is>
          <t>Plan</t>
        </is>
      </c>
      <c r="C287" s="97" t="inlineStr">
        <is>
          <t>Commission</t>
        </is>
      </c>
      <c r="D287" s="97" t="inlineStr">
        <is>
          <t>Amount</t>
        </is>
      </c>
      <c r="E287" s="2" t="n"/>
      <c r="F287" s="97" t="inlineStr">
        <is>
          <t>Month</t>
        </is>
      </c>
      <c r="G287" s="97" t="inlineStr">
        <is>
          <t>Plan</t>
        </is>
      </c>
      <c r="H287" s="97" t="inlineStr">
        <is>
          <t>Commission</t>
        </is>
      </c>
      <c r="I287" s="97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97" t="n">
        <v>3</v>
      </c>
      <c r="B288" s="97" t="n">
        <v>2000000</v>
      </c>
      <c r="C288" s="97">
        <f>VLOOKUP(A288&amp;"|"&amp;B288,$O$3:$P$17,2,FALSE)</f>
        <v/>
      </c>
      <c r="D288" s="97">
        <f>VLOOKUP(A288&amp;"|"&amp;B288,$Q$3:$R$17,2,FALSE)</f>
        <v/>
      </c>
      <c r="E288" s="2" t="n"/>
      <c r="F288" s="97" t="n">
        <v>3</v>
      </c>
      <c r="G288" s="97" t="n">
        <v>1000000</v>
      </c>
      <c r="H288" s="97">
        <f>VLOOKUP(F288&amp;"|"&amp;G288,$O$3:$P$16,2,FALSE)</f>
        <v/>
      </c>
      <c r="I288" s="97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97" t="n">
        <v>3</v>
      </c>
      <c r="B289" s="97" t="n">
        <v>500000</v>
      </c>
      <c r="C289" s="97">
        <f>VLOOKUP(A289&amp;"|"&amp;B289,$O$3:$P$17,2,FALSE)</f>
        <v/>
      </c>
      <c r="D289" s="97">
        <f>VLOOKUP(A289&amp;"|"&amp;B289,$Q$3:$R$17,2,FALSE)</f>
        <v/>
      </c>
      <c r="E289" s="2" t="n"/>
      <c r="F289" s="97" t="n">
        <v>8</v>
      </c>
      <c r="G289" s="97" t="n">
        <v>500000</v>
      </c>
      <c r="H289" s="97">
        <f>VLOOKUP(F289&amp;"|"&amp;G289,$O$3:$P$16,2,FALSE)</f>
        <v/>
      </c>
      <c r="I289" s="97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97" t="n">
        <v>18</v>
      </c>
      <c r="B290" s="97" t="n">
        <v>1000000</v>
      </c>
      <c r="C290" s="97">
        <f>VLOOKUP(A290&amp;"|"&amp;B290,$O$3:$P$17,2,FALSE)</f>
        <v/>
      </c>
      <c r="D290" s="97">
        <f>VLOOKUP(A290&amp;"|"&amp;B290,$Q$3:$R$17,2,FALSE)</f>
        <v/>
      </c>
      <c r="E290" s="2" t="n"/>
      <c r="F290" s="97" t="n">
        <v>11</v>
      </c>
      <c r="G290" s="97" t="n">
        <v>500000</v>
      </c>
      <c r="H290" s="97">
        <f>VLOOKUP(F290&amp;"|"&amp;G290,$O$3:$P$16,2,FALSE)</f>
        <v/>
      </c>
      <c r="I290" s="97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97" t="n"/>
      <c r="B291" s="97" t="n"/>
      <c r="C291" s="97" t="n"/>
      <c r="D291" s="97" t="n"/>
      <c r="E291" s="2" t="n"/>
      <c r="F291" s="97" t="n">
        <v>11</v>
      </c>
      <c r="G291" s="97" t="n">
        <v>500000</v>
      </c>
      <c r="H291" s="97">
        <f>VLOOKUP(F291&amp;"|"&amp;G291,$O$3:$P$16,2,FALSE)</f>
        <v/>
      </c>
      <c r="I291" s="97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97" t="n"/>
      <c r="B292" s="97" t="n"/>
      <c r="C292" s="97" t="n"/>
      <c r="D292" s="97" t="n"/>
      <c r="E292" s="2" t="n"/>
      <c r="F292" s="97" t="n"/>
      <c r="G292" s="97" t="n"/>
      <c r="H292" s="97" t="n"/>
      <c r="I292" s="9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81" t="inlineStr">
        <is>
          <t>TOTAL PAYABLE</t>
        </is>
      </c>
      <c r="B293" s="82" t="n"/>
      <c r="C293" s="83" t="n"/>
      <c r="D293" s="97">
        <f>SUM(D288:D292)</f>
        <v/>
      </c>
      <c r="E293" s="2" t="n"/>
      <c r="F293" s="97" t="inlineStr">
        <is>
          <t>Total Payable</t>
        </is>
      </c>
      <c r="G293" s="107" t="n"/>
      <c r="H293" s="108" t="n"/>
      <c r="I293" s="97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thickBot="1" thickTop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97" t="inlineStr">
        <is>
          <t>Name</t>
        </is>
      </c>
      <c r="B295" s="97" t="inlineStr">
        <is>
          <t>MUNJI</t>
        </is>
      </c>
      <c r="C295" s="97" t="inlineStr">
        <is>
          <t>RAMARAM</t>
        </is>
      </c>
      <c r="D295" s="9" t="n">
        <v>45844</v>
      </c>
      <c r="E295" s="2" t="n"/>
      <c r="F295" s="97" t="inlineStr">
        <is>
          <t>Name</t>
        </is>
      </c>
      <c r="G295" s="97" t="inlineStr">
        <is>
          <t>JAIRUPRAMJI</t>
        </is>
      </c>
      <c r="H295" s="97" t="inlineStr">
        <is>
          <t>RMTPUR</t>
        </is>
      </c>
      <c r="I295" s="9" t="n">
        <v>45844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97" t="inlineStr">
        <is>
          <t>Month</t>
        </is>
      </c>
      <c r="B296" s="97" t="inlineStr">
        <is>
          <t>Plan</t>
        </is>
      </c>
      <c r="C296" s="97" t="inlineStr">
        <is>
          <t>Commission</t>
        </is>
      </c>
      <c r="D296" s="97" t="inlineStr">
        <is>
          <t>Amount</t>
        </is>
      </c>
      <c r="E296" s="2" t="n"/>
      <c r="F296" s="97" t="inlineStr">
        <is>
          <t>Month</t>
        </is>
      </c>
      <c r="G296" s="97" t="inlineStr">
        <is>
          <t>Plan</t>
        </is>
      </c>
      <c r="H296" s="97" t="inlineStr">
        <is>
          <t>Commission</t>
        </is>
      </c>
      <c r="I296" s="97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97" t="n">
        <v>3</v>
      </c>
      <c r="B297" s="97" t="n">
        <v>2000000</v>
      </c>
      <c r="C297" s="97">
        <f>VLOOKUP(A297&amp;"|"&amp;B297,$O$3:$P$16,2,FALSE)</f>
        <v/>
      </c>
      <c r="D297" s="97">
        <f>VLOOKUP(A297&amp;"|"&amp;B297,$Q$3:$R$16,2,FALSE)</f>
        <v/>
      </c>
      <c r="E297" s="2" t="n"/>
      <c r="F297" s="97" t="n">
        <v>3</v>
      </c>
      <c r="G297" s="97" t="n">
        <v>2000000</v>
      </c>
      <c r="H297" s="97">
        <f>VLOOKUP(F297&amp;"|"&amp;G297,$O$3:$P$16,2,FALSE)</f>
        <v/>
      </c>
      <c r="I297" s="97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97" t="n">
        <v>11</v>
      </c>
      <c r="B298" s="97" t="n">
        <v>500000</v>
      </c>
      <c r="C298" s="97">
        <f>VLOOKUP(A298&amp;"|"&amp;B298,$O$3:$P$16,2,FALSE)</f>
        <v/>
      </c>
      <c r="D298" s="97">
        <f>VLOOKUP(A298&amp;"|"&amp;B298,$Q$3:$R$16,2,FALSE)</f>
        <v/>
      </c>
      <c r="E298" s="2" t="n"/>
      <c r="F298" s="97" t="n">
        <v>3</v>
      </c>
      <c r="G298" s="97" t="n">
        <v>1000000</v>
      </c>
      <c r="H298" s="97">
        <f>VLOOKUP(F298&amp;"|"&amp;G298,$O$3:$P$16,2,FALSE)</f>
        <v/>
      </c>
      <c r="I298" s="97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97" t="n">
        <v>14</v>
      </c>
      <c r="B299" s="97" t="n">
        <v>1000000</v>
      </c>
      <c r="C299" s="97">
        <f>VLOOKUP(A299&amp;"|"&amp;B299,$O$3:$P$17,2,FALSE)</f>
        <v/>
      </c>
      <c r="D299" s="97">
        <f>VLOOKUP(A299&amp;"|"&amp;B299,$Q$3:$R$17,2,FALSE)</f>
        <v/>
      </c>
      <c r="E299" s="2" t="n"/>
      <c r="F299" s="97" t="n"/>
      <c r="G299" s="97" t="n"/>
      <c r="H299" s="97" t="n"/>
      <c r="I299" s="9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97" t="n"/>
      <c r="B300" s="97" t="n"/>
      <c r="C300" s="97" t="n"/>
      <c r="D300" s="97" t="n"/>
      <c r="E300" s="2" t="n"/>
      <c r="F300" s="97" t="n"/>
      <c r="G300" s="97" t="n"/>
      <c r="H300" s="97" t="n"/>
      <c r="I300" s="9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97" t="n"/>
      <c r="B301" s="97" t="n"/>
      <c r="C301" s="97" t="n"/>
      <c r="D301" s="97" t="n"/>
      <c r="E301" s="2" t="n"/>
      <c r="F301" s="97" t="n"/>
      <c r="G301" s="97" t="n"/>
      <c r="H301" s="97" t="n"/>
      <c r="I301" s="9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97" t="inlineStr">
        <is>
          <t>Total Payable</t>
        </is>
      </c>
      <c r="B302" s="97" t="n"/>
      <c r="C302" s="97" t="n"/>
      <c r="D302" s="97">
        <f>SUM(D297:D301)</f>
        <v/>
      </c>
      <c r="E302" s="2" t="n"/>
      <c r="F302" s="97" t="inlineStr">
        <is>
          <t>Total Payable</t>
        </is>
      </c>
      <c r="G302" s="107" t="n"/>
      <c r="H302" s="108" t="n"/>
      <c r="I302" s="97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thickBot="1" thickTop="1">
      <c r="A303" s="2" t="n"/>
      <c r="B303" s="2" t="n"/>
      <c r="C303" s="2" t="inlineStr">
        <is>
          <t>           </t>
        </is>
      </c>
      <c r="D303" s="2" t="n"/>
      <c r="E303" s="2" t="n"/>
      <c r="F303" s="2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97" t="inlineStr">
        <is>
          <t>Name</t>
        </is>
      </c>
      <c r="B304" s="97" t="inlineStr">
        <is>
          <t>RAMESHJI</t>
        </is>
      </c>
      <c r="C304" s="97" t="inlineStr">
        <is>
          <t>ALWN COL</t>
        </is>
      </c>
      <c r="D304" s="9" t="n">
        <v>45844</v>
      </c>
      <c r="E304" s="2" t="n"/>
      <c r="F304" s="97" t="inlineStr">
        <is>
          <t>Name</t>
        </is>
      </c>
      <c r="G304" s="97" t="inlineStr">
        <is>
          <t>SURESHJI</t>
        </is>
      </c>
      <c r="H304" s="97" t="inlineStr">
        <is>
          <t>KAMAN</t>
        </is>
      </c>
      <c r="I304" s="9" t="n">
        <v>45844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97" t="inlineStr">
        <is>
          <t>Month</t>
        </is>
      </c>
      <c r="B305" s="97" t="inlineStr">
        <is>
          <t>Plan</t>
        </is>
      </c>
      <c r="C305" s="97" t="inlineStr">
        <is>
          <t>Commission</t>
        </is>
      </c>
      <c r="D305" s="97" t="inlineStr">
        <is>
          <t>Amount</t>
        </is>
      </c>
      <c r="E305" s="2" t="n"/>
      <c r="F305" s="97" t="inlineStr">
        <is>
          <t>Month</t>
        </is>
      </c>
      <c r="G305" s="97" t="inlineStr">
        <is>
          <t>Plan</t>
        </is>
      </c>
      <c r="H305" s="97" t="inlineStr">
        <is>
          <t>Commission</t>
        </is>
      </c>
      <c r="I305" s="97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97" t="n">
        <v>3</v>
      </c>
      <c r="B306" s="97" t="n">
        <v>1000000</v>
      </c>
      <c r="C306" s="97">
        <f>VLOOKUP(A306&amp;"|"&amp;B306,$O$3:$P$17,2,FALSE)</f>
        <v/>
      </c>
      <c r="D306" s="97">
        <f>VLOOKUP(A306&amp;"|"&amp;B306,$Q$3:$R$17,2,FALSE)</f>
        <v/>
      </c>
      <c r="E306" s="2" t="n"/>
      <c r="F306" s="97" t="n">
        <v>3</v>
      </c>
      <c r="G306" s="97" t="n">
        <v>1000000</v>
      </c>
      <c r="H306" s="97">
        <f>VLOOKUP(F306&amp;"|"&amp;G306,$O$3:$P$18,2,FALSE)</f>
        <v/>
      </c>
      <c r="I306" s="97">
        <f>VLOOKUP(F306&amp;"|"&amp;G306,$Q$3:$R$17,2,FALSE)</f>
        <v/>
      </c>
      <c r="J306" s="97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97" t="n">
        <v>18</v>
      </c>
      <c r="B307" s="97" t="n">
        <v>1000000</v>
      </c>
      <c r="C307" s="97">
        <f>VLOOKUP(A307&amp;"|"&amp;B307,$O$3:$P$16,2,FALSE)</f>
        <v/>
      </c>
      <c r="D307" s="97">
        <f>VLOOKUP(A307&amp;"|"&amp;B307,$Q$3:$R$16,2,FALSE)</f>
        <v/>
      </c>
      <c r="E307" s="2" t="n"/>
      <c r="F307" s="97" t="n"/>
      <c r="G307" s="97" t="n"/>
      <c r="H307" s="97" t="n"/>
      <c r="I307" s="9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97" t="n"/>
      <c r="B308" s="97" t="n"/>
      <c r="C308" s="97" t="n"/>
      <c r="D308" s="97" t="n"/>
      <c r="E308" s="2" t="n"/>
      <c r="F308" s="97" t="n"/>
      <c r="G308" s="97" t="n"/>
      <c r="H308" s="97" t="n"/>
      <c r="I308" s="9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97" t="n"/>
      <c r="B309" s="97" t="n"/>
      <c r="C309" s="97" t="n"/>
      <c r="D309" s="97" t="n"/>
      <c r="E309" s="2" t="n"/>
      <c r="F309" s="97" t="n"/>
      <c r="G309" s="97" t="n"/>
      <c r="H309" s="97" t="n"/>
      <c r="I309" s="9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97" t="n"/>
      <c r="B310" s="97" t="n"/>
      <c r="C310" s="97" t="n"/>
      <c r="D310" s="97" t="n"/>
      <c r="E310" s="2" t="n"/>
      <c r="F310" s="97" t="n"/>
      <c r="G310" s="97" t="n"/>
      <c r="H310" s="97" t="n"/>
      <c r="I310" s="9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97" t="inlineStr">
        <is>
          <t>Total Payable</t>
        </is>
      </c>
      <c r="B311" s="97" t="n"/>
      <c r="C311" s="97" t="n"/>
      <c r="D311" s="97">
        <f>SUM(D306:D310)</f>
        <v/>
      </c>
      <c r="E311" s="2" t="n"/>
      <c r="F311" s="97" t="inlineStr">
        <is>
          <t>Total Payable</t>
        </is>
      </c>
      <c r="G311" s="107" t="n"/>
      <c r="H311" s="108" t="n"/>
      <c r="I311" s="97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thickBot="1" thickTop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97" t="inlineStr">
        <is>
          <t>Name</t>
        </is>
      </c>
      <c r="B313" s="97" t="inlineStr">
        <is>
          <t>OM</t>
        </is>
      </c>
      <c r="C313" s="97" t="inlineStr">
        <is>
          <t>J GUTTA</t>
        </is>
      </c>
      <c r="D313" s="9" t="n">
        <v>45844</v>
      </c>
      <c r="E313" s="2" t="n"/>
      <c r="F313" s="97" t="inlineStr">
        <is>
          <t>Name</t>
        </is>
      </c>
      <c r="G313" s="97" t="inlineStr">
        <is>
          <t>NARAYANJI</t>
        </is>
      </c>
      <c r="H313" s="97" t="inlineStr">
        <is>
          <t>ALWAL</t>
        </is>
      </c>
      <c r="I313" s="9" t="n">
        <v>45844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97" t="inlineStr">
        <is>
          <t>Month</t>
        </is>
      </c>
      <c r="B314" s="97" t="inlineStr">
        <is>
          <t>Plan</t>
        </is>
      </c>
      <c r="C314" s="97" t="inlineStr">
        <is>
          <t>Commission</t>
        </is>
      </c>
      <c r="D314" s="97" t="inlineStr">
        <is>
          <t>Amount</t>
        </is>
      </c>
      <c r="E314" s="2" t="n"/>
      <c r="F314" s="97" t="inlineStr">
        <is>
          <t>Month</t>
        </is>
      </c>
      <c r="G314" s="97" t="inlineStr">
        <is>
          <t>Plan</t>
        </is>
      </c>
      <c r="H314" s="97" t="inlineStr">
        <is>
          <t>Commission</t>
        </is>
      </c>
      <c r="I314" s="97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97" t="n">
        <v>3</v>
      </c>
      <c r="B315" s="97" t="n">
        <v>500000</v>
      </c>
      <c r="C315" s="97">
        <f>VLOOKUP(A315&amp;"|"&amp;B315,$O$3:$P$16,2,FALSE)</f>
        <v/>
      </c>
      <c r="D315" s="97">
        <f>VLOOKUP(A315&amp;"|"&amp;B315,$Q$3:$R$16,2,FALSE)</f>
        <v/>
      </c>
      <c r="E315" s="2" t="n"/>
      <c r="F315" s="97" t="n">
        <v>14</v>
      </c>
      <c r="G315" s="97" t="n">
        <v>500000</v>
      </c>
      <c r="H315" s="97">
        <f>VLOOKUP(F315&amp;"|"&amp;G315,$O$3:$P$16,2,FALSE)</f>
        <v/>
      </c>
      <c r="I315" s="97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97" t="n">
        <v>8</v>
      </c>
      <c r="B316" s="97" t="n">
        <v>500000</v>
      </c>
      <c r="C316" s="97">
        <f>VLOOKUP(A316&amp;"|"&amp;B316,$O$3:$P$16,2,FALSE)</f>
        <v/>
      </c>
      <c r="D316" s="97">
        <f>VLOOKUP(A316&amp;"|"&amp;B316,$Q$3:$R$16,2,FALSE)</f>
        <v/>
      </c>
      <c r="E316" s="2" t="n"/>
      <c r="F316" s="97" t="n"/>
      <c r="G316" s="97" t="n"/>
      <c r="H316" s="97" t="n"/>
      <c r="I316" s="9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97" t="n"/>
      <c r="B317" s="97" t="n"/>
      <c r="C317" s="97" t="n"/>
      <c r="D317" s="97" t="n"/>
      <c r="E317" s="2" t="n"/>
      <c r="F317" s="97" t="n"/>
      <c r="G317" s="97" t="n"/>
      <c r="H317" s="97" t="n"/>
      <c r="I317" s="9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97" t="n"/>
      <c r="B318" s="97" t="n"/>
      <c r="C318" s="97" t="n"/>
      <c r="D318" s="97" t="n"/>
      <c r="E318" s="2" t="n"/>
      <c r="F318" s="97" t="n"/>
      <c r="G318" s="97" t="n"/>
      <c r="H318" s="97" t="n"/>
      <c r="I318" s="9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97" t="n"/>
      <c r="B319" s="97" t="n"/>
      <c r="C319" s="97" t="n"/>
      <c r="D319" s="97" t="n"/>
      <c r="E319" s="2" t="n"/>
      <c r="F319" s="97" t="n"/>
      <c r="G319" s="97" t="n"/>
      <c r="H319" s="97" t="n"/>
      <c r="I319" s="9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97" t="inlineStr">
        <is>
          <t>Total Payable</t>
        </is>
      </c>
      <c r="B320" s="97" t="n"/>
      <c r="C320" s="97" t="n"/>
      <c r="D320" s="97">
        <f>SUM(D315:D319)</f>
        <v/>
      </c>
      <c r="E320" s="2" t="n"/>
      <c r="F320" s="97" t="inlineStr">
        <is>
          <t>Total Payable</t>
        </is>
      </c>
      <c r="G320" s="107" t="n"/>
      <c r="H320" s="108" t="n"/>
      <c r="I320" s="97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thickBot="1" thickTop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97" t="inlineStr">
        <is>
          <t>Name</t>
        </is>
      </c>
      <c r="B322" s="97" t="inlineStr">
        <is>
          <t>BABULALJI</t>
        </is>
      </c>
      <c r="C322" s="97" t="inlineStr">
        <is>
          <t>CHILKA NGR</t>
        </is>
      </c>
      <c r="D322" s="9" t="n">
        <v>45844</v>
      </c>
      <c r="E322" s="2" t="n"/>
      <c r="F322" s="97" t="inlineStr">
        <is>
          <t>Name</t>
        </is>
      </c>
      <c r="G322" s="97" t="inlineStr">
        <is>
          <t>CHENJI</t>
        </is>
      </c>
      <c r="H322" s="97" t="inlineStr">
        <is>
          <t>BOLARAM</t>
        </is>
      </c>
      <c r="I322" s="9" t="n">
        <v>45844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97" t="inlineStr">
        <is>
          <t>Month</t>
        </is>
      </c>
      <c r="B323" s="97" t="inlineStr">
        <is>
          <t>Plan</t>
        </is>
      </c>
      <c r="C323" s="97" t="inlineStr">
        <is>
          <t>Commission</t>
        </is>
      </c>
      <c r="D323" s="97" t="inlineStr">
        <is>
          <t>Amount</t>
        </is>
      </c>
      <c r="E323" s="2" t="n"/>
      <c r="F323" s="97" t="inlineStr">
        <is>
          <t>Month</t>
        </is>
      </c>
      <c r="G323" s="97" t="inlineStr">
        <is>
          <t>Plan</t>
        </is>
      </c>
      <c r="H323" s="97" t="inlineStr">
        <is>
          <t>Commission</t>
        </is>
      </c>
      <c r="I323" s="97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97" t="n">
        <v>18</v>
      </c>
      <c r="B324" s="97" t="n">
        <v>500000</v>
      </c>
      <c r="C324" s="97">
        <f>VLOOKUP(A324&amp;"|"&amp;B324,$O$3:$P$16,2,FALSE)</f>
        <v/>
      </c>
      <c r="D324" s="97">
        <f>VLOOKUP(A324&amp;"|"&amp;B324,$Q$3:$R$16,2,FALSE)</f>
        <v/>
      </c>
      <c r="E324" s="2" t="n"/>
      <c r="F324" s="97" t="n">
        <v>8</v>
      </c>
      <c r="G324" s="97" t="n">
        <v>500000</v>
      </c>
      <c r="H324" s="97">
        <f>VLOOKUP(F324&amp;"|"&amp;G324,$O$3:$P$16,2,FALSE)</f>
        <v/>
      </c>
      <c r="I324" s="97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97" t="n"/>
      <c r="B325" s="97" t="n"/>
      <c r="C325" s="97" t="n"/>
      <c r="D325" s="97" t="n"/>
      <c r="E325" s="2" t="n"/>
      <c r="F325" s="97" t="n"/>
      <c r="G325" s="97" t="n"/>
      <c r="H325" s="97" t="n"/>
      <c r="I325" s="9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97" t="n"/>
      <c r="B326" s="97" t="n"/>
      <c r="C326" s="97" t="n"/>
      <c r="D326" s="97" t="n"/>
      <c r="E326" s="2" t="n"/>
      <c r="F326" s="97" t="n"/>
      <c r="G326" s="97" t="n"/>
      <c r="H326" s="97" t="n"/>
      <c r="I326" s="9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97" t="n"/>
      <c r="B327" s="97" t="n"/>
      <c r="C327" s="97" t="n"/>
      <c r="D327" s="97" t="n"/>
      <c r="E327" s="91" t="n"/>
      <c r="F327" s="97" t="n"/>
      <c r="G327" s="97" t="n"/>
      <c r="H327" s="97" t="n"/>
      <c r="I327" s="9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97" t="n"/>
      <c r="B328" s="97" t="n"/>
      <c r="C328" s="97" t="n"/>
      <c r="D328" s="97" t="n"/>
      <c r="E328" s="2" t="n"/>
      <c r="F328" s="97" t="n"/>
      <c r="G328" s="97" t="n"/>
      <c r="H328" s="97" t="n"/>
      <c r="I328" s="9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97" t="inlineStr">
        <is>
          <t>Total Payable</t>
        </is>
      </c>
      <c r="B329" s="97" t="n"/>
      <c r="C329" s="97" t="n"/>
      <c r="D329" s="97">
        <f>SUM(D324:D328)</f>
        <v/>
      </c>
      <c r="E329" s="2" t="n"/>
      <c r="F329" s="97" t="inlineStr">
        <is>
          <t>Total Payable</t>
        </is>
      </c>
      <c r="G329" s="107" t="n"/>
      <c r="H329" s="108" t="n"/>
      <c r="I329" s="97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thickBot="1" thickTop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97" t="inlineStr">
        <is>
          <t>Name</t>
        </is>
      </c>
      <c r="B331" s="97" t="inlineStr">
        <is>
          <t>MUKESHJI</t>
        </is>
      </c>
      <c r="C331" s="97" t="inlineStr">
        <is>
          <t>RAMARAM</t>
        </is>
      </c>
      <c r="D331" s="9" t="n">
        <v>45844</v>
      </c>
      <c r="E331" s="2" t="n"/>
      <c r="F331" s="97" t="inlineStr">
        <is>
          <t>Name</t>
        </is>
      </c>
      <c r="G331" s="97" t="inlineStr">
        <is>
          <t>MOHANJI</t>
        </is>
      </c>
      <c r="H331" s="97" t="inlineStr">
        <is>
          <t>YAMJAL</t>
        </is>
      </c>
      <c r="I331" s="9" t="n">
        <v>45844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97" t="inlineStr">
        <is>
          <t>Month</t>
        </is>
      </c>
      <c r="B332" s="97" t="inlineStr">
        <is>
          <t>Plan</t>
        </is>
      </c>
      <c r="C332" s="97" t="inlineStr">
        <is>
          <t>Commission</t>
        </is>
      </c>
      <c r="D332" s="97" t="inlineStr">
        <is>
          <t>Amount</t>
        </is>
      </c>
      <c r="E332" s="2" t="n"/>
      <c r="F332" s="97" t="inlineStr">
        <is>
          <t>Month</t>
        </is>
      </c>
      <c r="G332" s="97" t="inlineStr">
        <is>
          <t>Plan</t>
        </is>
      </c>
      <c r="H332" s="97" t="inlineStr">
        <is>
          <t>Commission</t>
        </is>
      </c>
      <c r="I332" s="97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97" t="n">
        <v>8</v>
      </c>
      <c r="B333" s="97" t="n">
        <v>500000</v>
      </c>
      <c r="C333" s="97">
        <f>VLOOKUP(A333&amp;"|"&amp;B333,$O$3:$P$16,2,FALSE)</f>
        <v/>
      </c>
      <c r="D333" s="97">
        <f>VLOOKUP(A333&amp;"|"&amp;B333,$Q$3:$R$16,2,FALSE)</f>
        <v/>
      </c>
      <c r="E333" s="2" t="n"/>
      <c r="F333" s="97" t="n">
        <v>8</v>
      </c>
      <c r="G333" s="97" t="n">
        <v>500000</v>
      </c>
      <c r="H333" s="97">
        <f>VLOOKUP(F333&amp;"|"&amp;G333,$O$3:$P$16,2,FALSE)</f>
        <v/>
      </c>
      <c r="I333" s="97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97" t="n">
        <v>11</v>
      </c>
      <c r="B334" s="97" t="n">
        <v>500000</v>
      </c>
      <c r="C334" s="97">
        <f>VLOOKUP(A334&amp;"|"&amp;B334,$O$3:$P$16,2,FALSE)</f>
        <v/>
      </c>
      <c r="D334" s="97">
        <f>VLOOKUP(A334&amp;"|"&amp;B334,$Q$3:$R$16,2,FALSE)</f>
        <v/>
      </c>
      <c r="E334" s="2" t="n"/>
      <c r="F334" s="97" t="n"/>
      <c r="G334" s="97" t="n"/>
      <c r="H334" s="97" t="n"/>
      <c r="I334" s="9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97" t="n"/>
      <c r="B335" s="97" t="n"/>
      <c r="C335" s="97" t="n"/>
      <c r="D335" s="97" t="n"/>
      <c r="E335" s="2" t="n"/>
      <c r="F335" s="97" t="n"/>
      <c r="G335" s="97" t="n"/>
      <c r="H335" s="97" t="n"/>
      <c r="I335" s="9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97" t="n"/>
      <c r="B336" s="97" t="n"/>
      <c r="C336" s="97" t="n"/>
      <c r="D336" s="97" t="n"/>
      <c r="E336" s="2" t="n"/>
      <c r="F336" s="97" t="n"/>
      <c r="G336" s="97" t="n"/>
      <c r="H336" s="97" t="n"/>
      <c r="I336" s="9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97" t="n"/>
      <c r="B337" s="97" t="n"/>
      <c r="C337" s="97" t="n"/>
      <c r="D337" s="97" t="n"/>
      <c r="E337" s="2" t="n"/>
      <c r="F337" s="97" t="n"/>
      <c r="G337" s="97" t="n"/>
      <c r="H337" s="97" t="n"/>
      <c r="I337" s="9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97" t="inlineStr">
        <is>
          <t>Total Payable</t>
        </is>
      </c>
      <c r="B338" s="97" t="n"/>
      <c r="C338" s="97" t="n"/>
      <c r="D338" s="97">
        <f>SUM(D333:D337)</f>
        <v/>
      </c>
      <c r="E338" s="91" t="n"/>
      <c r="F338" s="97" t="inlineStr">
        <is>
          <t>Total Payable</t>
        </is>
      </c>
      <c r="G338" s="107" t="n"/>
      <c r="H338" s="108" t="n"/>
      <c r="I338" s="97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thickBot="1" thickTop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97" t="inlineStr">
        <is>
          <t>Name</t>
        </is>
      </c>
      <c r="B340" s="97" t="inlineStr">
        <is>
          <t>MISRILALJI</t>
        </is>
      </c>
      <c r="C340" s="97" t="inlineStr">
        <is>
          <t>MEDCHAL</t>
        </is>
      </c>
      <c r="D340" s="9" t="n">
        <v>45844</v>
      </c>
      <c r="E340" s="2" t="n"/>
      <c r="F340" s="97" t="inlineStr">
        <is>
          <t>Name</t>
        </is>
      </c>
      <c r="G340" s="97" t="inlineStr">
        <is>
          <t>GOPJI</t>
        </is>
      </c>
      <c r="H340" s="97" t="inlineStr">
        <is>
          <t>KOTLAPUR</t>
        </is>
      </c>
      <c r="I340" s="9" t="n">
        <v>45844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97" t="inlineStr">
        <is>
          <t>Month</t>
        </is>
      </c>
      <c r="B341" s="97" t="inlineStr">
        <is>
          <t>Plan</t>
        </is>
      </c>
      <c r="C341" s="97" t="inlineStr">
        <is>
          <t>Commission</t>
        </is>
      </c>
      <c r="D341" s="97" t="inlineStr">
        <is>
          <t>Amount</t>
        </is>
      </c>
      <c r="E341" s="2" t="n"/>
      <c r="F341" s="97" t="inlineStr">
        <is>
          <t>Month</t>
        </is>
      </c>
      <c r="G341" s="97" t="inlineStr">
        <is>
          <t>Plan</t>
        </is>
      </c>
      <c r="H341" s="97" t="inlineStr">
        <is>
          <t>Commission</t>
        </is>
      </c>
      <c r="I341" s="97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97" t="n">
        <v>11</v>
      </c>
      <c r="B342" s="97" t="n">
        <v>500000</v>
      </c>
      <c r="C342" s="97">
        <f>VLOOKUP(A342&amp;"|"&amp;B342,$O$3:$P$16,2,FALSE)</f>
        <v/>
      </c>
      <c r="D342" s="97">
        <f>VLOOKUP(A342&amp;"|"&amp;B342,$Q$3:$R$16,2,FALSE)</f>
        <v/>
      </c>
      <c r="E342" s="2" t="n"/>
      <c r="F342" s="97" t="n">
        <v>18</v>
      </c>
      <c r="G342" s="97" t="n">
        <v>500000</v>
      </c>
      <c r="H342" s="97">
        <f>VLOOKUP(F342&amp;"|"&amp;G342,$O$3:$P$16,2,FALSE)</f>
        <v/>
      </c>
      <c r="I342" s="97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97" t="n"/>
      <c r="B343" s="97" t="n"/>
      <c r="C343" s="97" t="n"/>
      <c r="D343" s="97" t="n"/>
      <c r="E343" s="2" t="n"/>
      <c r="F343" s="97" t="n"/>
      <c r="G343" s="97" t="n"/>
      <c r="H343" s="97" t="n"/>
      <c r="I343" s="9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97" t="n"/>
      <c r="B344" s="97" t="n"/>
      <c r="C344" s="97" t="n"/>
      <c r="D344" s="97" t="n"/>
      <c r="E344" s="2" t="n"/>
      <c r="F344" s="97" t="n"/>
      <c r="G344" s="97" t="n"/>
      <c r="H344" s="97" t="n"/>
      <c r="I344" s="9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97" t="n"/>
      <c r="B345" s="97" t="n"/>
      <c r="C345" s="97" t="n"/>
      <c r="D345" s="97" t="n"/>
      <c r="E345" s="2" t="n"/>
      <c r="F345" s="97" t="n"/>
      <c r="G345" s="97" t="n"/>
      <c r="H345" s="97" t="n"/>
      <c r="I345" s="9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97" t="n"/>
      <c r="B346" s="97" t="n"/>
      <c r="C346" s="97" t="n"/>
      <c r="D346" s="97" t="n"/>
      <c r="E346" s="2" t="n"/>
      <c r="F346" s="97" t="n"/>
      <c r="G346" s="97" t="n"/>
      <c r="H346" s="97" t="n"/>
      <c r="I346" s="9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97" t="inlineStr">
        <is>
          <t>Total Payable</t>
        </is>
      </c>
      <c r="B347" s="97" t="n"/>
      <c r="C347" s="97" t="n"/>
      <c r="D347" s="97">
        <f>SUM(D342:D346)</f>
        <v/>
      </c>
      <c r="E347" s="2" t="n"/>
      <c r="F347" s="97" t="inlineStr">
        <is>
          <t>Total Payable</t>
        </is>
      </c>
      <c r="G347" s="107" t="n"/>
      <c r="H347" s="108" t="n"/>
      <c r="I347" s="97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91" t="n"/>
      <c r="B348" s="91" t="n"/>
      <c r="C348" s="91" t="n"/>
      <c r="D348" s="91" t="n"/>
      <c r="E348" s="2" t="n"/>
      <c r="F348" s="2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97" t="inlineStr">
        <is>
          <t>Name</t>
        </is>
      </c>
      <c r="B349" s="97" t="inlineStr">
        <is>
          <t>GOVIND</t>
        </is>
      </c>
      <c r="C349" s="97" t="inlineStr">
        <is>
          <t>PPR NGR</t>
        </is>
      </c>
      <c r="D349" s="9" t="n">
        <v>45844</v>
      </c>
      <c r="E349" s="2" t="n"/>
      <c r="F349" s="97" t="inlineStr">
        <is>
          <t>Name</t>
        </is>
      </c>
      <c r="G349" s="97" t="n"/>
      <c r="H349" s="97" t="n"/>
      <c r="I349" s="9" t="n">
        <v>45844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97" t="inlineStr">
        <is>
          <t>Month</t>
        </is>
      </c>
      <c r="B350" s="97" t="inlineStr">
        <is>
          <t>Plan</t>
        </is>
      </c>
      <c r="C350" s="97" t="inlineStr">
        <is>
          <t>Commission</t>
        </is>
      </c>
      <c r="D350" s="97" t="inlineStr">
        <is>
          <t>Amount</t>
        </is>
      </c>
      <c r="E350" s="2" t="n"/>
      <c r="F350" s="97" t="inlineStr">
        <is>
          <t>Month</t>
        </is>
      </c>
      <c r="G350" s="97" t="inlineStr">
        <is>
          <t>Plan</t>
        </is>
      </c>
      <c r="H350" s="97" t="inlineStr">
        <is>
          <t>Commission</t>
        </is>
      </c>
      <c r="I350" s="97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97" t="n">
        <v>14</v>
      </c>
      <c r="B351" s="97" t="n">
        <v>500000</v>
      </c>
      <c r="C351" s="97">
        <f>VLOOKUP(A351&amp;"|"&amp;B351,$O$3:$P$16,2,FALSE)</f>
        <v/>
      </c>
      <c r="D351" s="97">
        <f>VLOOKUP(A351&amp;"|"&amp;B351,$Q$3:$R$16,2,FALSE)</f>
        <v/>
      </c>
      <c r="E351" s="2" t="n"/>
      <c r="F351" s="97" t="n"/>
      <c r="G351" s="97" t="n"/>
      <c r="H351" s="97" t="n"/>
      <c r="I351" s="97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97" t="n"/>
      <c r="B352" s="97" t="n"/>
      <c r="C352" s="97" t="n"/>
      <c r="D352" s="97" t="n"/>
      <c r="E352" s="2" t="n"/>
      <c r="F352" s="97" t="n"/>
      <c r="G352" s="97" t="n"/>
      <c r="H352" s="97" t="n"/>
      <c r="I352" s="9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97" t="n"/>
      <c r="B353" s="97" t="n"/>
      <c r="C353" s="97" t="n"/>
      <c r="D353" s="97" t="n"/>
      <c r="E353" s="2" t="n"/>
      <c r="F353" s="97" t="n"/>
      <c r="G353" s="97" t="n"/>
      <c r="H353" s="97" t="n"/>
      <c r="I353" s="9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97" t="n"/>
      <c r="B354" s="97" t="n"/>
      <c r="C354" s="97" t="n"/>
      <c r="D354" s="97" t="n"/>
      <c r="E354" s="2" t="n"/>
      <c r="F354" s="97" t="n"/>
      <c r="G354" s="97" t="n"/>
      <c r="H354" s="97" t="n"/>
      <c r="I354" s="9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97" t="n"/>
      <c r="B355" s="97" t="n"/>
      <c r="C355" s="97" t="n"/>
      <c r="D355" s="97" t="n"/>
      <c r="E355" s="2" t="n"/>
      <c r="F355" s="97" t="n"/>
      <c r="G355" s="97" t="n"/>
      <c r="H355" s="97" t="n"/>
      <c r="I355" s="9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97" t="inlineStr">
        <is>
          <t>Total Payable</t>
        </is>
      </c>
      <c r="B356" s="97" t="n"/>
      <c r="C356" s="97" t="n"/>
      <c r="D356" s="97">
        <f>SUM(D351:D355)</f>
        <v/>
      </c>
      <c r="E356" s="2" t="n"/>
      <c r="F356" s="97" t="inlineStr">
        <is>
          <t>Total Payable</t>
        </is>
      </c>
      <c r="G356" s="107" t="n"/>
      <c r="H356" s="108" t="n"/>
      <c r="I356" s="97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91" t="n"/>
      <c r="B357" s="91" t="n"/>
      <c r="C357" s="91" t="n"/>
      <c r="D357" s="91" t="n"/>
      <c r="E357" s="2" t="n"/>
      <c r="F357" s="2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97" t="inlineStr">
        <is>
          <t>Name</t>
        </is>
      </c>
      <c r="B358" s="97" t="inlineStr">
        <is>
          <t>SOHANLALJI</t>
        </is>
      </c>
      <c r="C358" s="97" t="inlineStr">
        <is>
          <t>RR NGR</t>
        </is>
      </c>
      <c r="D358" s="9" t="n">
        <v>45844</v>
      </c>
      <c r="E358" s="2" t="n"/>
      <c r="F358" s="97" t="inlineStr">
        <is>
          <t>Name</t>
        </is>
      </c>
      <c r="G358" s="97" t="inlineStr">
        <is>
          <t>HIMTARAMJI</t>
        </is>
      </c>
      <c r="H358" s="97" t="inlineStr">
        <is>
          <t>SURARAM</t>
        </is>
      </c>
      <c r="I358" s="9" t="n">
        <v>45844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97" t="inlineStr">
        <is>
          <t>Month</t>
        </is>
      </c>
      <c r="B359" s="97" t="inlineStr">
        <is>
          <t>Plan</t>
        </is>
      </c>
      <c r="C359" s="97" t="inlineStr">
        <is>
          <t>Commission</t>
        </is>
      </c>
      <c r="D359" s="97" t="inlineStr">
        <is>
          <t>Amount</t>
        </is>
      </c>
      <c r="E359" s="2" t="n"/>
      <c r="F359" s="97" t="inlineStr">
        <is>
          <t>Month</t>
        </is>
      </c>
      <c r="G359" s="97" t="inlineStr">
        <is>
          <t>Plan</t>
        </is>
      </c>
      <c r="H359" s="97" t="inlineStr">
        <is>
          <t>Commission</t>
        </is>
      </c>
      <c r="I359" s="97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97" t="n">
        <v>3</v>
      </c>
      <c r="B360" s="97" t="n">
        <v>500000</v>
      </c>
      <c r="C360" s="97">
        <f>VLOOKUP(A360&amp;"|"&amp;B360,$O$3:$P$16,2,FALSE)</f>
        <v/>
      </c>
      <c r="D360" s="97">
        <f>VLOOKUP(A360&amp;"|"&amp;B360,$Q$3:$R$16,2,FALSE)</f>
        <v/>
      </c>
      <c r="E360" s="2" t="n"/>
      <c r="F360" s="97" t="n">
        <v>11</v>
      </c>
      <c r="G360" s="97" t="n">
        <v>500000</v>
      </c>
      <c r="H360" s="97">
        <f>VLOOKUP(F360&amp;"|"&amp;G360,$O$3:$P$16,2,FALSE)</f>
        <v/>
      </c>
      <c r="I360" s="97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97" t="n"/>
      <c r="B361" s="97" t="n"/>
      <c r="C361" s="97" t="n"/>
      <c r="D361" s="97" t="n"/>
      <c r="E361" s="2" t="n"/>
      <c r="F361" s="97" t="n"/>
      <c r="G361" s="97" t="n"/>
      <c r="H361" s="97" t="n"/>
      <c r="I361" s="9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97" t="n"/>
      <c r="B362" s="97" t="n"/>
      <c r="C362" s="97" t="n"/>
      <c r="D362" s="97" t="n"/>
      <c r="E362" s="2" t="n"/>
      <c r="F362" s="97" t="n"/>
      <c r="G362" s="97" t="n"/>
      <c r="H362" s="97" t="n"/>
      <c r="I362" s="9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97" t="n"/>
      <c r="B363" s="97" t="n"/>
      <c r="C363" s="97" t="n"/>
      <c r="D363" s="97" t="n"/>
      <c r="E363" s="2" t="n"/>
      <c r="F363" s="97" t="n"/>
      <c r="G363" s="97" t="n"/>
      <c r="H363" s="97" t="n"/>
      <c r="I363" s="9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97" t="n"/>
      <c r="B364" s="97" t="n"/>
      <c r="C364" s="97" t="n"/>
      <c r="D364" s="97" t="n"/>
      <c r="E364" s="2" t="n"/>
      <c r="F364" s="97" t="n"/>
      <c r="G364" s="97" t="n"/>
      <c r="H364" s="97" t="n"/>
      <c r="I364" s="9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97" t="inlineStr">
        <is>
          <t>Total Payable</t>
        </is>
      </c>
      <c r="B365" s="97" t="n"/>
      <c r="C365" s="97" t="n"/>
      <c r="D365" s="97">
        <f>SUM(D360:D364)</f>
        <v/>
      </c>
      <c r="E365" s="2" t="n"/>
      <c r="F365" s="97" t="inlineStr">
        <is>
          <t>Total Payable</t>
        </is>
      </c>
      <c r="G365" s="107" t="n"/>
      <c r="H365" s="108" t="n"/>
      <c r="I365" s="97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thickBot="1" thickTop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97" t="inlineStr">
        <is>
          <t>Name</t>
        </is>
      </c>
      <c r="B367" s="97" t="inlineStr">
        <is>
          <t>KISHANJI</t>
        </is>
      </c>
      <c r="C367" s="97" t="inlineStr">
        <is>
          <t>KAMAN</t>
        </is>
      </c>
      <c r="D367" s="9" t="n">
        <v>45844</v>
      </c>
      <c r="E367" s="2" t="n"/>
      <c r="F367" s="97" t="inlineStr">
        <is>
          <t>Name</t>
        </is>
      </c>
      <c r="G367" s="97" t="inlineStr">
        <is>
          <t>CHENJI</t>
        </is>
      </c>
      <c r="H367" s="97" t="inlineStr">
        <is>
          <t>SURARAM</t>
        </is>
      </c>
      <c r="I367" s="9" t="n">
        <v>45844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97" t="inlineStr">
        <is>
          <t>Month</t>
        </is>
      </c>
      <c r="B368" s="97" t="inlineStr">
        <is>
          <t>Plan</t>
        </is>
      </c>
      <c r="C368" s="97" t="inlineStr">
        <is>
          <t>Commission</t>
        </is>
      </c>
      <c r="D368" s="97" t="inlineStr">
        <is>
          <t>Amount</t>
        </is>
      </c>
      <c r="E368" s="2" t="n"/>
      <c r="F368" s="97" t="inlineStr">
        <is>
          <t>Month</t>
        </is>
      </c>
      <c r="G368" s="97" t="inlineStr">
        <is>
          <t>Plan</t>
        </is>
      </c>
      <c r="H368" s="97" t="inlineStr">
        <is>
          <t>Commission</t>
        </is>
      </c>
      <c r="I368" s="97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97" t="n">
        <v>3</v>
      </c>
      <c r="B369" s="97" t="n">
        <v>1000000</v>
      </c>
      <c r="C369" s="97">
        <f>VLOOKUP(A369&amp;"|"&amp;B369,$O$3:$P$16,2,FALSE)</f>
        <v/>
      </c>
      <c r="D369" s="97">
        <f>VLOOKUP(A369&amp;"|"&amp;B369,$Q$3:$R$16,2,FALSE)</f>
        <v/>
      </c>
      <c r="E369" s="2" t="n"/>
      <c r="F369" s="97" t="n">
        <v>11</v>
      </c>
      <c r="G369" s="97" t="n">
        <v>500000</v>
      </c>
      <c r="H369" s="97">
        <f>VLOOKUP(F369&amp;"|"&amp;G369,$O$3:$P$16,2,FALSE)</f>
        <v/>
      </c>
      <c r="I369" s="97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97" t="n">
        <v>18</v>
      </c>
      <c r="B370" s="97" t="n">
        <v>500000</v>
      </c>
      <c r="C370" s="97">
        <f>VLOOKUP(A370&amp;"|"&amp;B370,$O$3:$P$16,2,FALSE)</f>
        <v/>
      </c>
      <c r="D370" s="97">
        <f>VLOOKUP(A370&amp;"|"&amp;B370,$Q$3:$R$16,2,FALSE)</f>
        <v/>
      </c>
      <c r="E370" s="4" t="n"/>
      <c r="F370" s="97" t="n"/>
      <c r="G370" s="97" t="n"/>
      <c r="H370" s="97" t="n"/>
      <c r="I370" s="9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97" t="n"/>
      <c r="B371" s="97" t="n"/>
      <c r="C371" s="97" t="n"/>
      <c r="D371" s="97" t="n"/>
      <c r="E371" s="4" t="n"/>
      <c r="F371" s="97" t="n"/>
      <c r="G371" s="97" t="n"/>
      <c r="H371" s="97" t="n"/>
      <c r="I371" s="9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97" t="n"/>
      <c r="B372" s="97" t="n"/>
      <c r="C372" s="97" t="n"/>
      <c r="D372" s="97" t="n"/>
      <c r="E372" s="4" t="n"/>
      <c r="F372" s="97" t="n"/>
      <c r="G372" s="97" t="n"/>
      <c r="H372" s="97" t="n"/>
      <c r="I372" s="9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97" t="n"/>
      <c r="B373" s="97" t="n"/>
      <c r="C373" s="97" t="n"/>
      <c r="D373" s="97" t="n"/>
      <c r="E373" s="4" t="n"/>
      <c r="F373" s="97" t="n"/>
      <c r="G373" s="97" t="n"/>
      <c r="H373" s="97" t="n"/>
      <c r="I373" s="9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97" t="inlineStr">
        <is>
          <t>Total Payable</t>
        </is>
      </c>
      <c r="B374" s="97" t="n"/>
      <c r="C374" s="97" t="n"/>
      <c r="D374" s="97">
        <f>SUM(D369:D373)</f>
        <v/>
      </c>
      <c r="E374" s="4" t="n"/>
      <c r="F374" s="97" t="inlineStr">
        <is>
          <t>Total Payable</t>
        </is>
      </c>
      <c r="G374" s="107" t="n"/>
      <c r="H374" s="108" t="n"/>
      <c r="I374" s="97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thickBot="1" thickTop="1">
      <c r="A375" s="2" t="n"/>
      <c r="B375" s="2" t="n"/>
      <c r="C375" s="2" t="n"/>
      <c r="D375" s="2" t="n"/>
      <c r="E375" s="4" t="n"/>
      <c r="F375" s="2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97" t="inlineStr">
        <is>
          <t>Name</t>
        </is>
      </c>
      <c r="B376" s="97" t="inlineStr">
        <is>
          <t>RAMESHJI</t>
        </is>
      </c>
      <c r="C376" s="97" t="inlineStr">
        <is>
          <t>SHAPUR</t>
        </is>
      </c>
      <c r="D376" s="9" t="n">
        <v>45844</v>
      </c>
      <c r="E376" s="4" t="n"/>
      <c r="F376" s="97" t="inlineStr">
        <is>
          <t>Name</t>
        </is>
      </c>
      <c r="G376" s="97" t="inlineStr">
        <is>
          <t>OMJI</t>
        </is>
      </c>
      <c r="H376" s="97" t="inlineStr">
        <is>
          <t>SEC</t>
        </is>
      </c>
      <c r="I376" s="9" t="n">
        <v>45844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97" t="inlineStr">
        <is>
          <t>Month</t>
        </is>
      </c>
      <c r="B377" s="97" t="inlineStr">
        <is>
          <t>Plan</t>
        </is>
      </c>
      <c r="C377" s="97" t="inlineStr">
        <is>
          <t>Commission</t>
        </is>
      </c>
      <c r="D377" s="97" t="inlineStr">
        <is>
          <t>Amount</t>
        </is>
      </c>
      <c r="E377" s="4" t="n"/>
      <c r="F377" s="97" t="inlineStr">
        <is>
          <t>Month</t>
        </is>
      </c>
      <c r="G377" s="97" t="inlineStr">
        <is>
          <t>Plan</t>
        </is>
      </c>
      <c r="H377" s="97" t="inlineStr">
        <is>
          <t>Commission</t>
        </is>
      </c>
      <c r="I377" s="97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97" t="n">
        <v>3</v>
      </c>
      <c r="B378" s="97" t="n">
        <v>500000</v>
      </c>
      <c r="C378" s="97">
        <f>VLOOKUP(A378&amp;"|"&amp;B378,$O$3:$P$17,2,FALSE)</f>
        <v/>
      </c>
      <c r="D378" s="97">
        <f>VLOOKUP(A378&amp;"|"&amp;B378,$Q$3:$R$17,2,FALSE)</f>
        <v/>
      </c>
      <c r="E378" s="4" t="n"/>
      <c r="F378" s="97" t="n">
        <v>3</v>
      </c>
      <c r="G378" s="97" t="n">
        <v>500000</v>
      </c>
      <c r="H378" s="97">
        <f>VLOOKUP(F378&amp;"|"&amp;G378,$O$3:$P$17,2,FALSE)</f>
        <v/>
      </c>
      <c r="I378" s="97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97" t="n"/>
      <c r="B379" s="97" t="n"/>
      <c r="C379" s="97" t="n"/>
      <c r="D379" s="97" t="n"/>
      <c r="E379" s="4" t="n"/>
      <c r="F379" s="97" t="n"/>
      <c r="G379" s="97" t="n"/>
      <c r="H379" s="97" t="n"/>
      <c r="I379" s="9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97" t="n"/>
      <c r="B380" s="97" t="n"/>
      <c r="C380" s="97" t="n"/>
      <c r="D380" s="97" t="n"/>
      <c r="E380" s="4" t="n"/>
      <c r="F380" s="97" t="n"/>
      <c r="G380" s="97" t="n"/>
      <c r="H380" s="97" t="n"/>
      <c r="I380" s="9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97" t="n"/>
      <c r="B381" s="97" t="n"/>
      <c r="C381" s="97" t="n"/>
      <c r="D381" s="97" t="n"/>
      <c r="E381" s="4" t="n"/>
      <c r="F381" s="97" t="n"/>
      <c r="G381" s="97" t="n"/>
      <c r="H381" s="97" t="n"/>
      <c r="I381" s="9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97" t="n"/>
      <c r="B382" s="97" t="n"/>
      <c r="C382" s="97" t="n"/>
      <c r="D382" s="97" t="n"/>
      <c r="E382" s="4" t="n"/>
      <c r="F382" s="97" t="n"/>
      <c r="G382" s="97" t="n"/>
      <c r="H382" s="97" t="n"/>
      <c r="I382" s="9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97" t="inlineStr">
        <is>
          <t>Total Payable</t>
        </is>
      </c>
      <c r="B383" s="97" t="n"/>
      <c r="C383" s="97" t="n"/>
      <c r="D383" s="97">
        <f>SUM(D378:D382)</f>
        <v/>
      </c>
      <c r="E383" s="4" t="n"/>
      <c r="F383" s="97" t="inlineStr">
        <is>
          <t>Total Payable</t>
        </is>
      </c>
      <c r="G383" s="107" t="n"/>
      <c r="H383" s="108" t="n"/>
      <c r="I383" s="97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thickBot="1" thickTop="1">
      <c r="A384" s="2" t="n"/>
      <c r="B384" s="2" t="n"/>
      <c r="C384" s="2" t="n"/>
      <c r="D384" s="2" t="n"/>
      <c r="E384" s="4" t="n"/>
      <c r="F384" s="2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97" t="inlineStr">
        <is>
          <t>Name</t>
        </is>
      </c>
      <c r="B385" s="97" t="inlineStr">
        <is>
          <t>MISRILALJI</t>
        </is>
      </c>
      <c r="C385" s="97" t="inlineStr">
        <is>
          <t>SEC</t>
        </is>
      </c>
      <c r="D385" s="9" t="n">
        <v>45844</v>
      </c>
      <c r="E385" s="4" t="n"/>
      <c r="F385" s="97" t="inlineStr">
        <is>
          <t>Name</t>
        </is>
      </c>
      <c r="G385" s="97" t="inlineStr">
        <is>
          <t>MOTIJI</t>
        </is>
      </c>
      <c r="H385" s="97" t="inlineStr">
        <is>
          <t>MUSAPET</t>
        </is>
      </c>
      <c r="I385" s="9" t="n">
        <v>45844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97" t="inlineStr">
        <is>
          <t>Month</t>
        </is>
      </c>
      <c r="B386" s="97" t="inlineStr">
        <is>
          <t>Plan</t>
        </is>
      </c>
      <c r="C386" s="97" t="inlineStr">
        <is>
          <t>Commission</t>
        </is>
      </c>
      <c r="D386" s="97" t="inlineStr">
        <is>
          <t>Amount</t>
        </is>
      </c>
      <c r="E386" s="4" t="n"/>
      <c r="F386" s="97" t="inlineStr">
        <is>
          <t>Month</t>
        </is>
      </c>
      <c r="G386" s="97" t="inlineStr">
        <is>
          <t>Plan</t>
        </is>
      </c>
      <c r="H386" s="97" t="inlineStr">
        <is>
          <t>Commission</t>
        </is>
      </c>
      <c r="I386" s="97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97" t="n">
        <v>14</v>
      </c>
      <c r="B387" s="97" t="n">
        <v>1000000</v>
      </c>
      <c r="C387" s="97">
        <f>VLOOKUP(A387&amp;"|"&amp;B387,$O$3:$P$16,2,FALSE)</f>
        <v/>
      </c>
      <c r="D387" s="97">
        <f>VLOOKUP(A387&amp;"|"&amp;B387,$Q$3:$R$16,2,FALSE)</f>
        <v/>
      </c>
      <c r="E387" s="4" t="n"/>
      <c r="F387" s="97" t="n">
        <v>8</v>
      </c>
      <c r="G387" s="97" t="n">
        <v>500000</v>
      </c>
      <c r="H387" s="97">
        <f>VLOOKUP(F387&amp;"|"&amp;G387,$O$3:$P$16,2,FALSE)</f>
        <v/>
      </c>
      <c r="I387" s="97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97" t="n">
        <v>14.1</v>
      </c>
      <c r="B388" s="97" t="n">
        <v>1000000</v>
      </c>
      <c r="C388" s="97">
        <f>VLOOKUP(A388&amp;"|"&amp;B388,$O$3:$P$16,2,FALSE)</f>
        <v/>
      </c>
      <c r="D388" s="97">
        <f>VLOOKUP(A388&amp;"|"&amp;B388,$Q$3:$R$16,2,FALSE)</f>
        <v/>
      </c>
      <c r="E388" s="4" t="n"/>
      <c r="F388" s="97" t="n"/>
      <c r="G388" s="97" t="n"/>
      <c r="H388" s="97" t="n"/>
      <c r="I388" s="9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97" t="n"/>
      <c r="B389" s="97" t="n"/>
      <c r="C389" s="97" t="n"/>
      <c r="D389" s="97" t="n"/>
      <c r="E389" s="4" t="n"/>
      <c r="F389" s="97" t="n"/>
      <c r="G389" s="97" t="n"/>
      <c r="H389" s="97" t="n"/>
      <c r="I389" s="9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97" t="n"/>
      <c r="B390" s="97" t="n"/>
      <c r="C390" s="97" t="n"/>
      <c r="D390" s="97" t="n"/>
      <c r="E390" s="4" t="n"/>
      <c r="F390" s="97" t="n"/>
      <c r="G390" s="97" t="n"/>
      <c r="H390" s="97" t="n"/>
      <c r="I390" s="9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97" t="n"/>
      <c r="B391" s="97" t="n"/>
      <c r="C391" s="97" t="n"/>
      <c r="D391" s="97" t="n"/>
      <c r="E391" s="4" t="n"/>
      <c r="F391" s="97" t="n"/>
      <c r="G391" s="97" t="n"/>
      <c r="H391" s="97" t="n"/>
      <c r="I391" s="9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81" t="inlineStr">
        <is>
          <t>TOTAL PAYABLE</t>
        </is>
      </c>
      <c r="B392" s="82" t="n"/>
      <c r="C392" s="83" t="n"/>
      <c r="D392" s="97">
        <f>SUM(D387:D391)</f>
        <v/>
      </c>
      <c r="E392" s="4" t="n"/>
      <c r="F392" s="97" t="inlineStr">
        <is>
          <t>Total Payable</t>
        </is>
      </c>
      <c r="G392" s="107" t="n"/>
      <c r="H392" s="108" t="n"/>
      <c r="I392" s="97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2" t="n"/>
      <c r="B393" s="2" t="n"/>
      <c r="C393" s="2" t="n"/>
      <c r="D393" s="91" t="n"/>
      <c r="E393" s="4" t="n"/>
      <c r="F393" s="2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97" t="inlineStr">
        <is>
          <t>Name</t>
        </is>
      </c>
      <c r="B394" s="97" t="inlineStr">
        <is>
          <t>BAGDARAMJI</t>
        </is>
      </c>
      <c r="C394" s="97" t="inlineStr">
        <is>
          <t>GANDHINGR</t>
        </is>
      </c>
      <c r="D394" s="9" t="n">
        <v>45844</v>
      </c>
      <c r="E394" s="4" t="n"/>
      <c r="F394" s="97" t="inlineStr">
        <is>
          <t>Name</t>
        </is>
      </c>
      <c r="G394" s="97" t="inlineStr">
        <is>
          <t>KANJI</t>
        </is>
      </c>
      <c r="H394" s="97" t="inlineStr">
        <is>
          <t>SANGA RDY</t>
        </is>
      </c>
      <c r="I394" s="9" t="n">
        <v>45844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97" t="inlineStr">
        <is>
          <t>Month</t>
        </is>
      </c>
      <c r="B395" s="97" t="inlineStr">
        <is>
          <t>Plan</t>
        </is>
      </c>
      <c r="C395" s="97" t="inlineStr">
        <is>
          <t>Commission</t>
        </is>
      </c>
      <c r="D395" s="97" t="inlineStr">
        <is>
          <t>Amount</t>
        </is>
      </c>
      <c r="E395" s="4" t="n"/>
      <c r="F395" s="97" t="inlineStr">
        <is>
          <t>Month</t>
        </is>
      </c>
      <c r="G395" s="97" t="inlineStr">
        <is>
          <t>Plan</t>
        </is>
      </c>
      <c r="H395" s="97" t="inlineStr">
        <is>
          <t>Commission</t>
        </is>
      </c>
      <c r="I395" s="97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97" t="n">
        <v>14</v>
      </c>
      <c r="B396" s="97" t="n">
        <v>1000000</v>
      </c>
      <c r="C396" s="97">
        <f>VLOOKUP(A396&amp;"|"&amp;B396,$O$3:$P$16,2,FALSE)</f>
        <v/>
      </c>
      <c r="D396" s="97">
        <f>VLOOKUP(A396&amp;"|"&amp;B396,$Q$3:$R$16,2,FALSE)</f>
        <v/>
      </c>
      <c r="E396" s="4" t="n"/>
      <c r="F396" s="97" t="n">
        <v>3</v>
      </c>
      <c r="G396" s="97" t="n">
        <v>1000000</v>
      </c>
      <c r="H396" s="97">
        <f>VLOOKUP(F396&amp;"|"&amp;G396,$O$3:$P$16,2,FALSE)</f>
        <v/>
      </c>
      <c r="I396" s="97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97" t="n"/>
      <c r="B397" s="97" t="n"/>
      <c r="C397" s="97" t="n"/>
      <c r="D397" s="97" t="n"/>
      <c r="E397" s="4" t="n"/>
      <c r="F397" s="97" t="n"/>
      <c r="G397" s="97" t="n"/>
      <c r="H397" s="97" t="n"/>
      <c r="I397" s="9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97" t="n"/>
      <c r="B398" s="97" t="n"/>
      <c r="C398" s="97" t="n"/>
      <c r="D398" s="97" t="n"/>
      <c r="E398" s="4" t="n"/>
      <c r="F398" s="97" t="n"/>
      <c r="G398" s="97" t="n"/>
      <c r="H398" s="97" t="n"/>
      <c r="I398" s="9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97" t="n"/>
      <c r="B399" s="97" t="n"/>
      <c r="C399" s="97" t="n"/>
      <c r="D399" s="97" t="n"/>
      <c r="E399" s="4" t="n"/>
      <c r="F399" s="97" t="n"/>
      <c r="G399" s="97" t="n"/>
      <c r="H399" s="97" t="n"/>
      <c r="I399" s="9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97" t="n"/>
      <c r="B400" s="97" t="n"/>
      <c r="C400" s="97" t="n"/>
      <c r="D400" s="97" t="n"/>
      <c r="E400" s="4" t="n"/>
      <c r="F400" s="97" t="n"/>
      <c r="G400" s="97" t="n"/>
      <c r="H400" s="97" t="n"/>
      <c r="I400" s="9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81" t="inlineStr">
        <is>
          <t>TOTAL PAYABLE</t>
        </is>
      </c>
      <c r="B401" s="82" t="n"/>
      <c r="C401" s="83" t="n"/>
      <c r="D401" s="97">
        <f>SUM(D396:D400)</f>
        <v/>
      </c>
      <c r="E401" s="4" t="n"/>
      <c r="F401" s="97" t="inlineStr">
        <is>
          <t>Total Payable</t>
        </is>
      </c>
      <c r="G401" s="107" t="n"/>
      <c r="H401" s="108" t="n"/>
      <c r="I401" s="97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2" t="n"/>
      <c r="B402" s="2" t="n"/>
      <c r="C402" s="2" t="n"/>
      <c r="D402" s="2" t="n"/>
      <c r="E402" s="4" t="n"/>
      <c r="F402" s="91" t="n"/>
      <c r="G402" s="91" t="n"/>
      <c r="H402" s="91" t="n"/>
      <c r="I402" s="9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12" t="inlineStr">
        <is>
          <t>Name</t>
        </is>
      </c>
      <c r="B403" s="12" t="inlineStr">
        <is>
          <t>NEMARANJI</t>
        </is>
      </c>
      <c r="C403" s="12" t="inlineStr">
        <is>
          <t>INDERSUM</t>
        </is>
      </c>
      <c r="D403" s="9" t="n">
        <v>45844</v>
      </c>
      <c r="E403" s="4" t="n"/>
      <c r="F403" s="97" t="inlineStr">
        <is>
          <t>Name</t>
        </is>
      </c>
      <c r="G403" s="97" t="inlineStr">
        <is>
          <t>BUDARAMJI</t>
        </is>
      </c>
      <c r="H403" s="97" t="inlineStr">
        <is>
          <t>PADMA NR</t>
        </is>
      </c>
      <c r="I403" s="9" t="n">
        <v>45844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97" t="inlineStr">
        <is>
          <t>Month</t>
        </is>
      </c>
      <c r="B404" s="97" t="inlineStr">
        <is>
          <t>Plan</t>
        </is>
      </c>
      <c r="C404" s="97" t="inlineStr">
        <is>
          <t>Commission</t>
        </is>
      </c>
      <c r="D404" s="97" t="inlineStr">
        <is>
          <t>Amount</t>
        </is>
      </c>
      <c r="E404" s="4" t="n"/>
      <c r="F404" s="97" t="inlineStr">
        <is>
          <t>Month</t>
        </is>
      </c>
      <c r="G404" s="97" t="inlineStr">
        <is>
          <t>Plan</t>
        </is>
      </c>
      <c r="H404" s="97" t="inlineStr">
        <is>
          <t>Commission</t>
        </is>
      </c>
      <c r="I404" s="97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97" t="n">
        <v>14.1</v>
      </c>
      <c r="B405" s="97" t="n">
        <v>1000000</v>
      </c>
      <c r="C405" s="97">
        <f>VLOOKUP(A405&amp;"|"&amp;B405,$O$3:$P$16,2,FALSE)</f>
        <v/>
      </c>
      <c r="D405" s="97">
        <f>VLOOKUP(A405&amp;"|"&amp;B405,$Q$3:$R$16,2,FALSE)</f>
        <v/>
      </c>
      <c r="E405" s="4" t="n"/>
      <c r="F405" s="97" t="n">
        <v>14</v>
      </c>
      <c r="G405" s="97" t="n">
        <v>500000</v>
      </c>
      <c r="H405" s="97">
        <f>VLOOKUP(F405&amp;"|"&amp;G405,$O$3:$P$16,2,FALSE)</f>
        <v/>
      </c>
      <c r="I405" s="97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97" t="n"/>
      <c r="B406" s="97" t="n"/>
      <c r="C406" s="97" t="n"/>
      <c r="D406" s="97" t="n"/>
      <c r="E406" s="4" t="n"/>
      <c r="F406" s="97" t="n">
        <v>18</v>
      </c>
      <c r="G406" s="97" t="n">
        <v>500000</v>
      </c>
      <c r="H406" s="97">
        <f>VLOOKUP(F406&amp;"|"&amp;G406,$O$3:$P$16,2,FALSE)</f>
        <v/>
      </c>
      <c r="I406" s="97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97" t="n"/>
      <c r="B407" s="97" t="n"/>
      <c r="C407" s="97" t="n"/>
      <c r="D407" s="97" t="n"/>
      <c r="E407" s="4" t="n"/>
      <c r="F407" s="97" t="n"/>
      <c r="G407" s="97" t="n"/>
      <c r="H407" s="97" t="n"/>
      <c r="I407" s="9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97" t="n"/>
      <c r="B408" s="97" t="n"/>
      <c r="C408" s="97" t="n"/>
      <c r="D408" s="97" t="n"/>
      <c r="E408" s="4" t="n"/>
      <c r="F408" s="97" t="n"/>
      <c r="G408" s="97" t="n"/>
      <c r="H408" s="97" t="n"/>
      <c r="I408" s="9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97" t="n"/>
      <c r="B409" s="97" t="n"/>
      <c r="C409" s="97" t="n"/>
      <c r="D409" s="97" t="n"/>
      <c r="E409" s="4" t="n"/>
      <c r="F409" s="97" t="n"/>
      <c r="G409" s="97" t="n"/>
      <c r="H409" s="97" t="n"/>
      <c r="I409" s="9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81" t="inlineStr">
        <is>
          <t>TOTAL PAYABLE</t>
        </is>
      </c>
      <c r="B410" s="82" t="n"/>
      <c r="C410" s="83" t="n"/>
      <c r="D410" s="97">
        <f>SUM(D405:D409)</f>
        <v/>
      </c>
      <c r="E410" s="4" t="n"/>
      <c r="F410" s="97" t="inlineStr">
        <is>
          <t>Total Payable</t>
        </is>
      </c>
      <c r="G410" s="107" t="n"/>
      <c r="H410" s="108" t="n"/>
      <c r="I410" s="97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thickBot="1" thickTop="1">
      <c r="A411" s="2" t="n"/>
      <c r="B411" s="2" t="n"/>
      <c r="C411" s="2" t="n"/>
      <c r="D411" s="2" t="n"/>
      <c r="E411" s="4" t="n"/>
      <c r="F411" s="2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12" t="inlineStr">
        <is>
          <t>Name</t>
        </is>
      </c>
      <c r="B412" s="12" t="inlineStr">
        <is>
          <t>HEMANTJI</t>
        </is>
      </c>
      <c r="C412" s="12" t="inlineStr">
        <is>
          <t>SURARAM</t>
        </is>
      </c>
      <c r="D412" s="9" t="n">
        <v>45844</v>
      </c>
      <c r="E412" s="4" t="n"/>
      <c r="F412" s="97" t="inlineStr">
        <is>
          <t>Name</t>
        </is>
      </c>
      <c r="G412" s="97" t="inlineStr">
        <is>
          <t>KEWALJI</t>
        </is>
      </c>
      <c r="H412" s="97" t="inlineStr">
        <is>
          <t>GOMARAM</t>
        </is>
      </c>
      <c r="I412" s="9" t="n">
        <v>45844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97" t="inlineStr">
        <is>
          <t>Month</t>
        </is>
      </c>
      <c r="B413" s="97" t="inlineStr">
        <is>
          <t>Plan</t>
        </is>
      </c>
      <c r="C413" s="97" t="inlineStr">
        <is>
          <t>Commission</t>
        </is>
      </c>
      <c r="D413" s="97" t="inlineStr">
        <is>
          <t>Amount</t>
        </is>
      </c>
      <c r="E413" s="4" t="n"/>
      <c r="F413" s="97" t="inlineStr">
        <is>
          <t>Month</t>
        </is>
      </c>
      <c r="G413" s="97" t="inlineStr">
        <is>
          <t>Plan</t>
        </is>
      </c>
      <c r="H413" s="97" t="inlineStr">
        <is>
          <t>Commission</t>
        </is>
      </c>
      <c r="I413" s="97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97" t="n">
        <v>3</v>
      </c>
      <c r="B414" s="97" t="n">
        <v>500000</v>
      </c>
      <c r="C414" s="97">
        <f>VLOOKUP(A414&amp;"|"&amp;B414,$O$3:$P$17,2,FALSE)</f>
        <v/>
      </c>
      <c r="D414" s="97">
        <f>VLOOKUP(A414&amp;"|"&amp;B414,$Q$3:$R$17,2,FALSE)</f>
        <v/>
      </c>
      <c r="E414" s="4" t="n"/>
      <c r="F414" s="97" t="n">
        <v>3</v>
      </c>
      <c r="G414" s="97" t="n">
        <v>1000000</v>
      </c>
      <c r="H414" s="97">
        <f>VLOOKUP(F414&amp;"|"&amp;G414,$O$3:$P$16,2,FALSE)</f>
        <v/>
      </c>
      <c r="I414" s="97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97" t="n"/>
      <c r="B415" s="97" t="n"/>
      <c r="C415" s="97" t="n"/>
      <c r="D415" s="97" t="n"/>
      <c r="E415" s="4" t="n"/>
      <c r="F415" s="97" t="n">
        <v>18</v>
      </c>
      <c r="G415" s="97" t="n">
        <v>500000</v>
      </c>
      <c r="H415" s="97">
        <f>VLOOKUP(F415&amp;"|"&amp;G415,$O$3:$P$16,2,FALSE)</f>
        <v/>
      </c>
      <c r="I415" s="97">
        <f>VLOOKUP(F415&amp;"|"&amp;G415,$Q$3:$R$16,2,FALSE)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97" t="n"/>
      <c r="B416" s="97" t="n"/>
      <c r="C416" s="97" t="n"/>
      <c r="D416" s="97" t="n"/>
      <c r="E416" s="4" t="n"/>
      <c r="F416" s="97" t="n"/>
      <c r="G416" s="97" t="n"/>
      <c r="H416" s="97" t="n"/>
      <c r="I416" s="9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97" t="n"/>
      <c r="B417" s="97" t="n"/>
      <c r="C417" s="97" t="n"/>
      <c r="D417" s="97" t="n"/>
      <c r="E417" s="4" t="n"/>
      <c r="F417" s="97" t="n"/>
      <c r="G417" s="97" t="n"/>
      <c r="H417" s="97" t="n"/>
      <c r="I417" s="9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97" t="n"/>
      <c r="B418" s="97" t="n"/>
      <c r="C418" s="97" t="n"/>
      <c r="D418" s="97" t="n"/>
      <c r="E418" s="4" t="n"/>
      <c r="F418" s="97" t="n"/>
      <c r="G418" s="97" t="n"/>
      <c r="H418" s="97" t="n"/>
      <c r="I418" s="9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81" t="inlineStr">
        <is>
          <t>TOTAL PAYABLE</t>
        </is>
      </c>
      <c r="B419" s="82" t="n"/>
      <c r="C419" s="83" t="n"/>
      <c r="D419" s="97">
        <f>SUM(D414:D418)</f>
        <v/>
      </c>
      <c r="E419" s="4" t="n"/>
      <c r="F419" s="97" t="inlineStr">
        <is>
          <t>Total Payable</t>
        </is>
      </c>
      <c r="G419" s="107" t="n"/>
      <c r="H419" s="108" t="n"/>
      <c r="I419" s="97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thickBot="1" thickTop="1">
      <c r="A420" s="2" t="n"/>
      <c r="B420" s="2" t="n"/>
      <c r="C420" s="2" t="n"/>
      <c r="D420" s="2" t="n"/>
      <c r="E420" s="4" t="n"/>
      <c r="F420" s="2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12" t="inlineStr">
        <is>
          <t>Name</t>
        </is>
      </c>
      <c r="B421" s="12" t="inlineStr">
        <is>
          <t>RAJUJI</t>
        </is>
      </c>
      <c r="C421" s="12" t="inlineStr">
        <is>
          <t>SHAPUR</t>
        </is>
      </c>
      <c r="D421" s="9" t="n">
        <v>45844</v>
      </c>
      <c r="E421" s="4" t="n"/>
      <c r="F421" s="12" t="inlineStr">
        <is>
          <t>Name</t>
        </is>
      </c>
      <c r="G421" s="12" t="inlineStr">
        <is>
          <t>SESHARAMJI</t>
        </is>
      </c>
      <c r="H421" s="12" t="inlineStr">
        <is>
          <t>J GUTTA</t>
        </is>
      </c>
      <c r="I421" s="9" t="n">
        <v>45844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97" t="inlineStr">
        <is>
          <t>Month</t>
        </is>
      </c>
      <c r="B422" s="97" t="inlineStr">
        <is>
          <t>Plan</t>
        </is>
      </c>
      <c r="C422" s="97" t="inlineStr">
        <is>
          <t>Commission</t>
        </is>
      </c>
      <c r="D422" s="97" t="inlineStr">
        <is>
          <t>Amount</t>
        </is>
      </c>
      <c r="E422" s="4" t="n"/>
      <c r="F422" s="97" t="inlineStr">
        <is>
          <t>Month</t>
        </is>
      </c>
      <c r="G422" s="97" t="inlineStr">
        <is>
          <t>Plan</t>
        </is>
      </c>
      <c r="H422" s="97" t="inlineStr">
        <is>
          <t>Commission</t>
        </is>
      </c>
      <c r="I422" s="97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97" t="n">
        <v>3.1</v>
      </c>
      <c r="B423" s="97" t="n">
        <v>1000000</v>
      </c>
      <c r="C423" s="97">
        <f>VLOOKUP(A423&amp;"|"&amp;B423,$O$3:$P$17,2,FALSE)</f>
        <v/>
      </c>
      <c r="D423" s="97">
        <f>VLOOKUP(A423&amp;"|"&amp;B423,$Q$3:$R$17,2,FALSE)</f>
        <v/>
      </c>
      <c r="E423" s="4" t="n"/>
      <c r="F423" s="97" t="n">
        <v>3</v>
      </c>
      <c r="G423" s="97" t="n">
        <v>2000000</v>
      </c>
      <c r="H423" s="97">
        <f>VLOOKUP(F423&amp;"|"&amp;G423,$O$3:$P$16,2,FALSE)</f>
        <v/>
      </c>
      <c r="I423" s="97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97" t="n"/>
      <c r="B424" s="97" t="n"/>
      <c r="C424" s="97" t="n"/>
      <c r="D424" s="97" t="n"/>
      <c r="E424" s="4" t="n"/>
      <c r="F424" s="97" t="n"/>
      <c r="G424" s="97" t="n"/>
      <c r="H424" s="97" t="n"/>
      <c r="I424" s="9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97" t="n"/>
      <c r="B425" s="97" t="n"/>
      <c r="C425" s="97" t="n"/>
      <c r="D425" s="97" t="n"/>
      <c r="E425" s="4" t="n"/>
      <c r="F425" s="97" t="n"/>
      <c r="G425" s="97" t="n"/>
      <c r="H425" s="97" t="n"/>
      <c r="I425" s="9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97" t="n"/>
      <c r="B426" s="97" t="n"/>
      <c r="C426" s="97" t="n"/>
      <c r="D426" s="97" t="n"/>
      <c r="E426" s="4" t="n"/>
      <c r="F426" s="97" t="n"/>
      <c r="G426" s="97" t="n"/>
      <c r="H426" s="97" t="n"/>
      <c r="I426" s="9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97" t="n"/>
      <c r="B427" s="97" t="n"/>
      <c r="C427" s="97" t="n"/>
      <c r="D427" s="97" t="n"/>
      <c r="E427" s="4" t="n"/>
      <c r="F427" s="97" t="n"/>
      <c r="G427" s="97" t="n"/>
      <c r="H427" s="97" t="n"/>
      <c r="I427" s="9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81" t="inlineStr">
        <is>
          <t>TOTAL PAYABLE</t>
        </is>
      </c>
      <c r="B428" s="82" t="n"/>
      <c r="C428" s="83" t="n"/>
      <c r="D428" s="97">
        <f>SUM(D423:D427)</f>
        <v/>
      </c>
      <c r="E428" s="4" t="n"/>
      <c r="F428" s="114" t="inlineStr">
        <is>
          <t>TOTAL PAYABLE</t>
        </is>
      </c>
      <c r="G428" s="107" t="n"/>
      <c r="H428" s="108" t="n"/>
      <c r="I428" s="97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thickBot="1" thickTop="1">
      <c r="A429" s="2" t="n"/>
      <c r="B429" s="2" t="n"/>
      <c r="C429" s="2" t="n"/>
      <c r="D429" s="2" t="n"/>
      <c r="E429" s="4" t="n"/>
      <c r="F429" s="2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12" t="inlineStr">
        <is>
          <t>Name</t>
        </is>
      </c>
      <c r="B430" s="12" t="inlineStr">
        <is>
          <t>GOUTAMJI</t>
        </is>
      </c>
      <c r="C430" s="12" t="inlineStr">
        <is>
          <t>RAMARAM</t>
        </is>
      </c>
      <c r="D430" s="9" t="n">
        <v>45844</v>
      </c>
      <c r="E430" s="4" t="n"/>
      <c r="F430" s="12" t="inlineStr">
        <is>
          <t>Name</t>
        </is>
      </c>
      <c r="G430" s="12" t="inlineStr">
        <is>
          <t>PRAKASHJI</t>
        </is>
      </c>
      <c r="H430" s="12" t="inlineStr">
        <is>
          <t>INDARSAM</t>
        </is>
      </c>
      <c r="I430" s="9" t="n">
        <v>45844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97" t="inlineStr">
        <is>
          <t>Month</t>
        </is>
      </c>
      <c r="B431" s="97" t="inlineStr">
        <is>
          <t>Plan</t>
        </is>
      </c>
      <c r="C431" s="97" t="inlineStr">
        <is>
          <t>Commission</t>
        </is>
      </c>
      <c r="D431" s="97" t="inlineStr">
        <is>
          <t>Amount</t>
        </is>
      </c>
      <c r="E431" s="4" t="n"/>
      <c r="F431" s="97" t="inlineStr">
        <is>
          <t>Month</t>
        </is>
      </c>
      <c r="G431" s="97" t="inlineStr">
        <is>
          <t>Plan</t>
        </is>
      </c>
      <c r="H431" s="97" t="inlineStr">
        <is>
          <t>Commission</t>
        </is>
      </c>
      <c r="I431" s="97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97" t="n">
        <v>3</v>
      </c>
      <c r="B432" s="97" t="n">
        <v>1000000</v>
      </c>
      <c r="C432" s="97">
        <f>VLOOKUP(A432&amp;"|"&amp;B432,$O$3:$P$16,2,FALSE)</f>
        <v/>
      </c>
      <c r="D432" s="97">
        <f>VLOOKUP(A432&amp;"|"&amp;B432,$Q$3:$R$16,2,FALSE)</f>
        <v/>
      </c>
      <c r="E432" s="4" t="n"/>
      <c r="F432" s="97" t="n">
        <v>3</v>
      </c>
      <c r="G432" s="97" t="n">
        <v>1000000</v>
      </c>
      <c r="H432" s="97">
        <f>VLOOKUP(F432&amp;"|"&amp;G432,$O$3:$P$16,2,FALSE)</f>
        <v/>
      </c>
      <c r="I432" s="97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97" t="n"/>
      <c r="B433" s="97" t="n"/>
      <c r="C433" s="97" t="n"/>
      <c r="D433" s="97" t="n"/>
      <c r="E433" s="4" t="n"/>
      <c r="F433" s="97" t="n"/>
      <c r="G433" s="97" t="n"/>
      <c r="H433" s="97" t="n"/>
      <c r="I433" s="9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97" t="n"/>
      <c r="B434" s="97" t="n"/>
      <c r="C434" s="97" t="n"/>
      <c r="D434" s="97" t="n"/>
      <c r="E434" s="4" t="n"/>
      <c r="F434" s="97" t="n"/>
      <c r="G434" s="97" t="n"/>
      <c r="H434" s="97" t="n"/>
      <c r="I434" s="9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97" t="n"/>
      <c r="B435" s="97" t="n"/>
      <c r="C435" s="97" t="n"/>
      <c r="D435" s="97" t="n"/>
      <c r="E435" s="4" t="n"/>
      <c r="F435" s="97" t="n"/>
      <c r="G435" s="97" t="n"/>
      <c r="H435" s="97" t="n"/>
      <c r="I435" s="9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97" t="n"/>
      <c r="B436" s="97" t="n"/>
      <c r="C436" s="97" t="n"/>
      <c r="D436" s="97" t="n"/>
      <c r="E436" s="4" t="n"/>
      <c r="F436" s="97" t="n"/>
      <c r="G436" s="97" t="n"/>
      <c r="H436" s="97" t="n"/>
      <c r="I436" s="9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81" t="inlineStr">
        <is>
          <t>TOTAL PAYABLE</t>
        </is>
      </c>
      <c r="B437" s="82" t="n"/>
      <c r="C437" s="83" t="n"/>
      <c r="D437" s="97">
        <f>SUM(D432:D436)</f>
        <v/>
      </c>
      <c r="E437" s="4" t="n"/>
      <c r="F437" s="114" t="inlineStr">
        <is>
          <t>TOTAL PAYABLE</t>
        </is>
      </c>
      <c r="G437" s="107" t="n"/>
      <c r="H437" s="108" t="n"/>
      <c r="I437" s="97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2" t="n"/>
      <c r="B438" s="6" t="n"/>
      <c r="C438" s="2" t="n"/>
      <c r="D438" s="91" t="n"/>
      <c r="E438" s="4" t="n"/>
      <c r="F438" s="2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12" t="inlineStr">
        <is>
          <t>Name</t>
        </is>
      </c>
      <c r="B439" s="12" t="inlineStr">
        <is>
          <t>BHERARAMJI</t>
        </is>
      </c>
      <c r="C439" s="12" t="inlineStr">
        <is>
          <t>SURARAM</t>
        </is>
      </c>
      <c r="D439" s="9" t="n">
        <v>45844</v>
      </c>
      <c r="E439" s="4" t="n"/>
      <c r="F439" s="12" t="inlineStr">
        <is>
          <t>Name</t>
        </is>
      </c>
      <c r="G439" s="12" t="inlineStr">
        <is>
          <t>TARJI (R J)</t>
        </is>
      </c>
      <c r="H439" s="12" t="inlineStr">
        <is>
          <t>SURARAM</t>
        </is>
      </c>
      <c r="I439" s="9" t="n">
        <v>45844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97" t="inlineStr">
        <is>
          <t>Month</t>
        </is>
      </c>
      <c r="B440" s="97" t="inlineStr">
        <is>
          <t>Plan</t>
        </is>
      </c>
      <c r="C440" s="97" t="inlineStr">
        <is>
          <t>Commission</t>
        </is>
      </c>
      <c r="D440" s="97" t="inlineStr">
        <is>
          <t>Amount</t>
        </is>
      </c>
      <c r="E440" s="4" t="n"/>
      <c r="F440" s="97" t="inlineStr">
        <is>
          <t>Month</t>
        </is>
      </c>
      <c r="G440" s="97" t="inlineStr">
        <is>
          <t>Plan</t>
        </is>
      </c>
      <c r="H440" s="97" t="inlineStr">
        <is>
          <t>Commission</t>
        </is>
      </c>
      <c r="I440" s="97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97" t="n">
        <v>18</v>
      </c>
      <c r="B441" s="97" t="n">
        <v>500000</v>
      </c>
      <c r="C441" s="97">
        <f>VLOOKUP(A441&amp;"|"&amp;B441,$O$3:$P$16,2,FALSE)</f>
        <v/>
      </c>
      <c r="D441" s="97">
        <f>VLOOKUP(A441&amp;"|"&amp;B441,$Q$3:$R$16,2,FALSE)</f>
        <v/>
      </c>
      <c r="E441" s="4" t="n"/>
      <c r="F441" s="97" t="n">
        <v>3</v>
      </c>
      <c r="G441" s="97" t="n">
        <v>2000000</v>
      </c>
      <c r="H441" s="97">
        <f>VLOOKUP(F441&amp;"|"&amp;G441,$O$3:$P$16,2,FALSE)</f>
        <v/>
      </c>
      <c r="I441" s="97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97" t="n"/>
      <c r="B442" s="97" t="n"/>
      <c r="C442" s="97" t="n"/>
      <c r="D442" s="97" t="n"/>
      <c r="E442" s="4" t="n"/>
      <c r="F442" s="97" t="n"/>
      <c r="G442" s="97" t="n"/>
      <c r="H442" s="97" t="n"/>
      <c r="I442" s="9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97" t="n"/>
      <c r="B443" s="97" t="n"/>
      <c r="C443" s="97" t="n"/>
      <c r="D443" s="97" t="n"/>
      <c r="E443" s="4" t="n"/>
      <c r="F443" s="97" t="n"/>
      <c r="G443" s="97" t="n"/>
      <c r="H443" s="97" t="n"/>
      <c r="I443" s="9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97" t="n"/>
      <c r="B444" s="97" t="n"/>
      <c r="C444" s="97" t="n"/>
      <c r="D444" s="97" t="n"/>
      <c r="E444" s="4" t="n"/>
      <c r="F444" s="97" t="n"/>
      <c r="G444" s="97" t="n"/>
      <c r="H444" s="97" t="n"/>
      <c r="I444" s="9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97" t="n"/>
      <c r="B445" s="97" t="n"/>
      <c r="C445" s="97" t="n"/>
      <c r="D445" s="97" t="n"/>
      <c r="E445" s="4" t="n"/>
      <c r="F445" s="97" t="n"/>
      <c r="G445" s="97" t="n"/>
      <c r="H445" s="97" t="n"/>
      <c r="I445" s="9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81" t="inlineStr">
        <is>
          <t>TOTAL PAYABLE</t>
        </is>
      </c>
      <c r="B446" s="82" t="n"/>
      <c r="C446" s="83" t="n"/>
      <c r="D446" s="97">
        <f>SUM(D441:D445)</f>
        <v/>
      </c>
      <c r="E446" s="4" t="n"/>
      <c r="F446" s="114" t="inlineStr">
        <is>
          <t>TOTAL PAYABLE</t>
        </is>
      </c>
      <c r="G446" s="107" t="n"/>
      <c r="H446" s="108" t="n"/>
      <c r="I446" s="97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2" t="n"/>
      <c r="B447" s="2" t="n"/>
      <c r="C447" s="2" t="n"/>
      <c r="D447" s="2" t="n"/>
      <c r="E447" s="4" t="n"/>
      <c r="F447" s="2" t="n"/>
      <c r="G447" s="6" t="n"/>
      <c r="H447" s="2" t="n"/>
      <c r="I447" s="9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12" t="inlineStr">
        <is>
          <t>Name</t>
        </is>
      </c>
      <c r="B448" s="12" t="inlineStr">
        <is>
          <t>MISRILALJI</t>
        </is>
      </c>
      <c r="C448" s="12" t="inlineStr">
        <is>
          <t>GUTTA</t>
        </is>
      </c>
      <c r="D448" s="9" t="n">
        <v>45844</v>
      </c>
      <c r="E448" s="4" t="n"/>
      <c r="F448" s="12" t="inlineStr">
        <is>
          <t>Name</t>
        </is>
      </c>
      <c r="G448" s="12" t="inlineStr">
        <is>
          <t>RAKESHDASHJI</t>
        </is>
      </c>
      <c r="H448" s="12" t="inlineStr">
        <is>
          <t>GUTTA</t>
        </is>
      </c>
      <c r="I448" s="9" t="n">
        <v>45844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97" t="inlineStr">
        <is>
          <t>Month</t>
        </is>
      </c>
      <c r="B449" s="97" t="inlineStr">
        <is>
          <t>Plan</t>
        </is>
      </c>
      <c r="C449" s="97" t="inlineStr">
        <is>
          <t>Commission</t>
        </is>
      </c>
      <c r="D449" s="97" t="inlineStr">
        <is>
          <t>Amount</t>
        </is>
      </c>
      <c r="E449" s="4" t="n"/>
      <c r="F449" s="97" t="inlineStr">
        <is>
          <t>Month</t>
        </is>
      </c>
      <c r="G449" s="97" t="inlineStr">
        <is>
          <t>Plan</t>
        </is>
      </c>
      <c r="H449" s="97" t="inlineStr">
        <is>
          <t>Commission</t>
        </is>
      </c>
      <c r="I449" s="97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97" t="n">
        <v>18</v>
      </c>
      <c r="B450" s="97" t="n">
        <v>500000</v>
      </c>
      <c r="C450" s="97">
        <f>VLOOKUP(A450&amp;"|"&amp;B450,$O$3:$P$16,2,FALSE)</f>
        <v/>
      </c>
      <c r="D450" s="97">
        <f>VLOOKUP(A450&amp;"|"&amp;B450,$Q$3:$R$16,2,FALSE)</f>
        <v/>
      </c>
      <c r="E450" s="4" t="n"/>
      <c r="F450" s="97" t="n">
        <v>18</v>
      </c>
      <c r="G450" s="97" t="n">
        <v>500000</v>
      </c>
      <c r="H450" s="97">
        <f>VLOOKUP(F450&amp;"|"&amp;G450,$O$3:$P$19,2,FALSE)</f>
        <v/>
      </c>
      <c r="I450" s="97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97" t="n"/>
      <c r="B451" s="97" t="n"/>
      <c r="C451" s="97" t="n"/>
      <c r="D451" s="97" t="n"/>
      <c r="E451" s="4" t="n"/>
      <c r="F451" s="97" t="n"/>
      <c r="G451" s="97" t="n"/>
      <c r="H451" s="97" t="n"/>
      <c r="I451" s="9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97" t="n"/>
      <c r="B452" s="97" t="n"/>
      <c r="C452" s="97" t="n"/>
      <c r="D452" s="97" t="n"/>
      <c r="E452" s="4" t="n"/>
      <c r="F452" s="97" t="n"/>
      <c r="G452" s="97" t="n"/>
      <c r="H452" s="97" t="n"/>
      <c r="I452" s="9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97" t="n"/>
      <c r="B453" s="97" t="n"/>
      <c r="C453" s="97" t="n"/>
      <c r="D453" s="97" t="n"/>
      <c r="E453" s="4" t="n"/>
      <c r="F453" s="97" t="n"/>
      <c r="G453" s="97" t="n"/>
      <c r="H453" s="97" t="n"/>
      <c r="I453" s="9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97" t="n"/>
      <c r="B454" s="97" t="n"/>
      <c r="C454" s="97" t="n"/>
      <c r="D454" s="97" t="n"/>
      <c r="E454" s="4" t="n"/>
      <c r="F454" s="97" t="n"/>
      <c r="G454" s="97" t="n"/>
      <c r="H454" s="97" t="n"/>
      <c r="I454" s="9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81" t="inlineStr">
        <is>
          <t>TOTAL PAYABLE</t>
        </is>
      </c>
      <c r="B455" s="82" t="n"/>
      <c r="C455" s="83" t="n"/>
      <c r="D455" s="97">
        <f>SUM(D450:D454)</f>
        <v/>
      </c>
      <c r="E455" s="4" t="n"/>
      <c r="F455" s="114" t="inlineStr">
        <is>
          <t>TOTAL PAYABLE</t>
        </is>
      </c>
      <c r="G455" s="107" t="n"/>
      <c r="H455" s="108" t="n"/>
      <c r="I455" s="97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thickBot="1" thickTop="1">
      <c r="A456" s="2" t="n"/>
      <c r="B456" s="2" t="n"/>
      <c r="C456" s="2" t="n"/>
      <c r="D456" s="2" t="n"/>
      <c r="E456" s="4" t="n"/>
      <c r="F456" s="2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12" t="inlineStr">
        <is>
          <t>Name</t>
        </is>
      </c>
      <c r="B457" s="12" t="inlineStr">
        <is>
          <t>RAMESHJI</t>
        </is>
      </c>
      <c r="C457" s="12" t="inlineStr">
        <is>
          <t>BOOK GUTA</t>
        </is>
      </c>
      <c r="D457" s="9" t="n">
        <v>45844</v>
      </c>
      <c r="E457" s="4" t="n"/>
      <c r="F457" s="12" t="inlineStr">
        <is>
          <t>Name</t>
        </is>
      </c>
      <c r="G457" s="12" t="inlineStr">
        <is>
          <t>HEERJI</t>
        </is>
      </c>
      <c r="H457" s="12" t="inlineStr">
        <is>
          <t>HANUMAN NG</t>
        </is>
      </c>
      <c r="I457" s="9" t="n">
        <v>45844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97" t="inlineStr">
        <is>
          <t>Month</t>
        </is>
      </c>
      <c r="B458" s="97" t="inlineStr">
        <is>
          <t>Plan</t>
        </is>
      </c>
      <c r="C458" s="97" t="inlineStr">
        <is>
          <t>Commission</t>
        </is>
      </c>
      <c r="D458" s="97" t="inlineStr">
        <is>
          <t>Amount</t>
        </is>
      </c>
      <c r="E458" s="4" t="n"/>
      <c r="F458" s="97" t="inlineStr">
        <is>
          <t>Month</t>
        </is>
      </c>
      <c r="G458" s="97" t="inlineStr">
        <is>
          <t>Plan</t>
        </is>
      </c>
      <c r="H458" s="97" t="inlineStr">
        <is>
          <t>Commission</t>
        </is>
      </c>
      <c r="I458" s="97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97" t="n">
        <v>14</v>
      </c>
      <c r="B459" s="97" t="n">
        <v>500000</v>
      </c>
      <c r="C459" s="97">
        <f>VLOOKUP(A459&amp;"|"&amp;B459,$O$3:$P$16,2,FALSE)</f>
        <v/>
      </c>
      <c r="D459" s="97">
        <f>VLOOKUP(A459&amp;"|"&amp;B459,$Q$3:$R$16,2,FALSE)</f>
        <v/>
      </c>
      <c r="E459" s="4" t="n"/>
      <c r="F459" s="97" t="n">
        <v>3</v>
      </c>
      <c r="G459" s="97" t="n">
        <v>1000000</v>
      </c>
      <c r="H459" s="97">
        <f>VLOOKUP(F459&amp;"|"&amp;G459,$O$3:$P$17,2,FALSE)</f>
        <v/>
      </c>
      <c r="I459" s="97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97" t="n">
        <v>3</v>
      </c>
      <c r="B460" s="97" t="n">
        <v>1000000</v>
      </c>
      <c r="C460" s="97">
        <f>VLOOKUP(A460&amp;"|"&amp;B460,$O$3:$P$16,2,FALSE)</f>
        <v/>
      </c>
      <c r="D460" s="97">
        <f>VLOOKUP(A460&amp;"|"&amp;B460,$Q$3:$R$16,2,FALSE)</f>
        <v/>
      </c>
      <c r="E460" s="4" t="n"/>
      <c r="F460" s="97" t="n"/>
      <c r="G460" s="97" t="n"/>
      <c r="H460" s="97" t="n"/>
      <c r="I460" s="9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97" t="n"/>
      <c r="B461" s="97" t="n"/>
      <c r="C461" s="97" t="n"/>
      <c r="D461" s="97" t="n"/>
      <c r="E461" s="4" t="n"/>
      <c r="F461" s="97" t="n"/>
      <c r="G461" s="97" t="n"/>
      <c r="H461" s="97" t="n"/>
      <c r="I461" s="9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97" t="n"/>
      <c r="B462" s="97" t="n"/>
      <c r="C462" s="97" t="n"/>
      <c r="D462" s="97" t="n"/>
      <c r="E462" s="4" t="n"/>
      <c r="F462" s="97" t="n"/>
      <c r="G462" s="97" t="n"/>
      <c r="H462" s="97" t="n"/>
      <c r="I462" s="9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97" t="n"/>
      <c r="B463" s="97" t="n"/>
      <c r="C463" s="97" t="n"/>
      <c r="D463" s="97" t="n"/>
      <c r="E463" s="4" t="n"/>
      <c r="F463" s="97" t="n"/>
      <c r="G463" s="97" t="n"/>
      <c r="H463" s="97" t="n"/>
      <c r="I463" s="9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81" t="inlineStr">
        <is>
          <t>TOTAL PAYABLE</t>
        </is>
      </c>
      <c r="B464" s="82" t="n"/>
      <c r="C464" s="83" t="n"/>
      <c r="D464" s="97">
        <f>SUM(D459:D463)</f>
        <v/>
      </c>
      <c r="E464" s="4" t="n"/>
      <c r="F464" s="114" t="inlineStr">
        <is>
          <t>TOTAL PAYABLE</t>
        </is>
      </c>
      <c r="G464" s="107" t="n"/>
      <c r="H464" s="108" t="n"/>
      <c r="I464" s="97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thickBot="1" thickTop="1">
      <c r="A465" s="2" t="n"/>
      <c r="B465" s="2" t="n"/>
      <c r="C465" s="2" t="n"/>
      <c r="D465" s="2" t="n"/>
      <c r="E465" s="4" t="n"/>
      <c r="F465" s="2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12" t="inlineStr">
        <is>
          <t>Name</t>
        </is>
      </c>
      <c r="B466" s="12" t="inlineStr">
        <is>
          <t>VALARAMJI</t>
        </is>
      </c>
      <c r="C466" s="12" t="inlineStr">
        <is>
          <t>CHINTAL</t>
        </is>
      </c>
      <c r="D466" s="9" t="n">
        <v>45844</v>
      </c>
      <c r="E466" s="4" t="n"/>
      <c r="F466" s="12" t="inlineStr">
        <is>
          <t>Name</t>
        </is>
      </c>
      <c r="G466" s="12" t="inlineStr">
        <is>
          <t>NEMARAMJI</t>
        </is>
      </c>
      <c r="H466" s="12" t="inlineStr">
        <is>
          <t>KOMPALY</t>
        </is>
      </c>
      <c r="I466" s="9" t="n">
        <v>45844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97" t="inlineStr">
        <is>
          <t>Month</t>
        </is>
      </c>
      <c r="B467" s="97" t="inlineStr">
        <is>
          <t>Plan</t>
        </is>
      </c>
      <c r="C467" s="97" t="inlineStr">
        <is>
          <t>Commission</t>
        </is>
      </c>
      <c r="D467" s="97" t="inlineStr">
        <is>
          <t>Amount</t>
        </is>
      </c>
      <c r="E467" s="4" t="n"/>
      <c r="F467" s="97" t="inlineStr">
        <is>
          <t>Month</t>
        </is>
      </c>
      <c r="G467" s="97" t="inlineStr">
        <is>
          <t>Plan</t>
        </is>
      </c>
      <c r="H467" s="97" t="inlineStr">
        <is>
          <t>Commission</t>
        </is>
      </c>
      <c r="I467" s="97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97" t="n">
        <v>14</v>
      </c>
      <c r="B468" s="97" t="n">
        <v>1000000</v>
      </c>
      <c r="C468" s="97">
        <f>VLOOKUP(A468&amp;"|"&amp;B468,$O$3:$P$16,2,FALSE)</f>
        <v/>
      </c>
      <c r="D468" s="97">
        <f>VLOOKUP(A468&amp;"|"&amp;B468,$Q$3:$R$16,2,FALSE)</f>
        <v/>
      </c>
      <c r="E468" s="4" t="n"/>
      <c r="F468" s="97" t="n">
        <v>14</v>
      </c>
      <c r="G468" s="97" t="n">
        <v>1000000</v>
      </c>
      <c r="H468" s="97">
        <f>VLOOKUP(F468&amp;"|"&amp;G468,$O$3:$P$16,2,FALSE)</f>
        <v/>
      </c>
      <c r="I468" s="97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97" t="n">
        <v>18</v>
      </c>
      <c r="B469" s="97" t="n">
        <v>1000000</v>
      </c>
      <c r="C469" s="97">
        <f>VLOOKUP(A469&amp;"|"&amp;B469,$O$3:$P$17,2,FALSE)</f>
        <v/>
      </c>
      <c r="D469" s="97">
        <f>VLOOKUP(A469&amp;"|"&amp;B469,$Q$3:$R$17,2,FALSE)</f>
        <v/>
      </c>
      <c r="E469" s="4" t="n"/>
      <c r="F469" s="97" t="n"/>
      <c r="G469" s="97" t="n"/>
      <c r="H469" s="97" t="n"/>
      <c r="I469" s="9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97" t="n"/>
      <c r="B470" s="97" t="n"/>
      <c r="C470" s="97" t="n"/>
      <c r="D470" s="97" t="n"/>
      <c r="E470" s="4" t="n"/>
      <c r="F470" s="97" t="n"/>
      <c r="G470" s="97" t="n"/>
      <c r="H470" s="97" t="n"/>
      <c r="I470" s="9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97" t="n"/>
      <c r="B471" s="97" t="n"/>
      <c r="C471" s="97" t="n"/>
      <c r="D471" s="97" t="n"/>
      <c r="E471" s="4" t="n"/>
      <c r="F471" s="97" t="n"/>
      <c r="G471" s="97" t="n"/>
      <c r="H471" s="97" t="n"/>
      <c r="I471" s="9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97" t="n"/>
      <c r="B472" s="97" t="n"/>
      <c r="C472" s="97" t="n"/>
      <c r="D472" s="97" t="n"/>
      <c r="E472" s="4" t="n"/>
      <c r="F472" s="97" t="n"/>
      <c r="G472" s="97" t="n"/>
      <c r="H472" s="97" t="n"/>
      <c r="I472" s="9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81" t="inlineStr">
        <is>
          <t>TOTAL PAYABLE</t>
        </is>
      </c>
      <c r="B473" s="82" t="n"/>
      <c r="C473" s="83" t="n"/>
      <c r="D473" s="97">
        <f>SUM(D468:D472)</f>
        <v/>
      </c>
      <c r="E473" s="4" t="n"/>
      <c r="F473" s="114" t="inlineStr">
        <is>
          <t>TOTAL PAYABLE</t>
        </is>
      </c>
      <c r="G473" s="107" t="n"/>
      <c r="H473" s="108" t="n"/>
      <c r="I473" s="97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thickBot="1" thickTop="1">
      <c r="A474" s="2" t="n"/>
      <c r="B474" s="2" t="n"/>
      <c r="C474" s="2" t="n"/>
      <c r="D474" s="2" t="n"/>
      <c r="E474" s="4" t="n"/>
      <c r="F474" s="2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12" t="inlineStr">
        <is>
          <t>Name</t>
        </is>
      </c>
      <c r="B475" s="12" t="inlineStr">
        <is>
          <t>NARAYANLALJI</t>
        </is>
      </c>
      <c r="C475" s="12" t="inlineStr">
        <is>
          <t>SURARAM</t>
        </is>
      </c>
      <c r="D475" s="9" t="n">
        <v>45844</v>
      </c>
      <c r="E475" s="4" t="n"/>
      <c r="F475" s="12" t="inlineStr">
        <is>
          <t>Name</t>
        </is>
      </c>
      <c r="G475" s="12" t="inlineStr">
        <is>
          <t>ASHOKJI</t>
        </is>
      </c>
      <c r="H475" s="12" t="inlineStr">
        <is>
          <t>SUCHITRA</t>
        </is>
      </c>
      <c r="I475" s="9" t="n">
        <v>45844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97" t="inlineStr">
        <is>
          <t>Month</t>
        </is>
      </c>
      <c r="B476" s="97" t="inlineStr">
        <is>
          <t>Plan</t>
        </is>
      </c>
      <c r="C476" s="97" t="inlineStr">
        <is>
          <t>Commission</t>
        </is>
      </c>
      <c r="D476" s="97" t="inlineStr">
        <is>
          <t>Amount</t>
        </is>
      </c>
      <c r="E476" s="4" t="n"/>
      <c r="F476" s="97" t="inlineStr">
        <is>
          <t>Month</t>
        </is>
      </c>
      <c r="G476" s="97" t="inlineStr">
        <is>
          <t>Plan</t>
        </is>
      </c>
      <c r="H476" s="97" t="inlineStr">
        <is>
          <t>Commission</t>
        </is>
      </c>
      <c r="I476" s="97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97" t="n">
        <v>14</v>
      </c>
      <c r="B477" s="97" t="n">
        <v>500000</v>
      </c>
      <c r="C477" s="97">
        <f>VLOOKUP(A477&amp;"|"&amp;B477,$O$3:$P$16,2,FALSE)</f>
        <v/>
      </c>
      <c r="D477" s="97">
        <f>VLOOKUP(A477&amp;"|"&amp;B477,$Q$3:$R$16,2,FALSE)</f>
        <v/>
      </c>
      <c r="E477" s="4" t="n"/>
      <c r="F477" s="97" t="n">
        <v>18.1</v>
      </c>
      <c r="G477" s="97" t="n">
        <v>500000</v>
      </c>
      <c r="H477" s="97">
        <f>VLOOKUP(F477&amp;"|"&amp;G477,$O$3:$P$16,2,FALSE)</f>
        <v/>
      </c>
      <c r="I477" s="97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97" t="n"/>
      <c r="B478" s="97" t="n"/>
      <c r="C478" s="97" t="n"/>
      <c r="D478" s="97" t="n"/>
      <c r="E478" s="4" t="n"/>
      <c r="F478" s="97" t="n"/>
      <c r="G478" s="97" t="n"/>
      <c r="H478" s="97" t="n"/>
      <c r="I478" s="9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97" t="n"/>
      <c r="B479" s="97" t="n"/>
      <c r="C479" s="97" t="n"/>
      <c r="D479" s="97" t="n"/>
      <c r="E479" s="4" t="n"/>
      <c r="F479" s="97" t="n"/>
      <c r="G479" s="97" t="n"/>
      <c r="H479" s="97" t="n"/>
      <c r="I479" s="9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97" t="n"/>
      <c r="B480" s="97" t="n"/>
      <c r="C480" s="97" t="n"/>
      <c r="D480" s="97" t="n"/>
      <c r="E480" s="4" t="n"/>
      <c r="F480" s="97" t="n"/>
      <c r="G480" s="97" t="n"/>
      <c r="H480" s="97" t="n"/>
      <c r="I480" s="9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97" t="n"/>
      <c r="B481" s="97" t="n"/>
      <c r="C481" s="97" t="n"/>
      <c r="D481" s="97" t="n"/>
      <c r="E481" s="4" t="n"/>
      <c r="F481" s="97" t="n"/>
      <c r="G481" s="97" t="n"/>
      <c r="H481" s="97" t="n"/>
      <c r="I481" s="9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81" t="inlineStr">
        <is>
          <t>TOTAL PAYABLE</t>
        </is>
      </c>
      <c r="B482" s="82" t="n"/>
      <c r="C482" s="83" t="n"/>
      <c r="D482" s="97">
        <f>SUM(D477:D481)</f>
        <v/>
      </c>
      <c r="E482" s="4" t="n"/>
      <c r="F482" s="114" t="inlineStr">
        <is>
          <t>TOTAL PAYABLE</t>
        </is>
      </c>
      <c r="G482" s="107" t="n"/>
      <c r="H482" s="108" t="n"/>
      <c r="I482" s="97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2" t="n"/>
      <c r="B483" s="6" t="n"/>
      <c r="C483" s="2" t="n"/>
      <c r="D483" s="91" t="n"/>
      <c r="E483" s="4" t="n"/>
      <c r="F483" s="2" t="n"/>
      <c r="G483" s="6" t="n"/>
      <c r="H483" s="2" t="n"/>
      <c r="I483" s="9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12" t="inlineStr">
        <is>
          <t>Name</t>
        </is>
      </c>
      <c r="B484" s="12" t="inlineStr">
        <is>
          <t>VENKAT REDDY</t>
        </is>
      </c>
      <c r="C484" s="12" t="inlineStr">
        <is>
          <t>SURARAM</t>
        </is>
      </c>
      <c r="D484" s="9" t="n">
        <v>45844</v>
      </c>
      <c r="E484" s="4" t="n"/>
      <c r="F484" s="12" t="inlineStr">
        <is>
          <t>Name</t>
        </is>
      </c>
      <c r="G484" s="12" t="inlineStr">
        <is>
          <t>PEMARAMJI</t>
        </is>
      </c>
      <c r="H484" s="12" t="inlineStr">
        <is>
          <t>SURARAM</t>
        </is>
      </c>
      <c r="I484" s="9" t="n">
        <v>45844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97" t="inlineStr">
        <is>
          <t>Month</t>
        </is>
      </c>
      <c r="B485" s="97" t="inlineStr">
        <is>
          <t>Plan</t>
        </is>
      </c>
      <c r="C485" s="97" t="inlineStr">
        <is>
          <t>Commission</t>
        </is>
      </c>
      <c r="D485" s="97" t="inlineStr">
        <is>
          <t>Amount</t>
        </is>
      </c>
      <c r="E485" s="4" t="n"/>
      <c r="F485" s="97" t="inlineStr">
        <is>
          <t>Month</t>
        </is>
      </c>
      <c r="G485" s="97" t="inlineStr">
        <is>
          <t>Plan</t>
        </is>
      </c>
      <c r="H485" s="97" t="inlineStr">
        <is>
          <t>Commission</t>
        </is>
      </c>
      <c r="I485" s="97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97" t="n">
        <v>11</v>
      </c>
      <c r="B486" s="97" t="n">
        <v>500000</v>
      </c>
      <c r="C486" s="97">
        <f>VLOOKUP(A486&amp;"|"&amp;B486,$O$3:$P$16,2,FALSE)</f>
        <v/>
      </c>
      <c r="D486" s="97">
        <f>VLOOKUP(A486&amp;"|"&amp;B486,$Q$3:$R$16,2,FALSE)</f>
        <v/>
      </c>
      <c r="E486" s="4" t="n"/>
      <c r="F486" s="97" t="n">
        <v>3</v>
      </c>
      <c r="G486" s="97" t="n">
        <v>500000</v>
      </c>
      <c r="H486" s="97">
        <f>VLOOKUP(F486&amp;"|"&amp;G486,$O$3:$P$16,2,FALSE)</f>
        <v/>
      </c>
      <c r="I486" s="97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97" t="n">
        <v>11</v>
      </c>
      <c r="B487" s="97" t="n">
        <v>500000</v>
      </c>
      <c r="C487" s="97">
        <f>VLOOKUP(A487&amp;"|"&amp;B487,$O$3:$P$16,2,FALSE)</f>
        <v/>
      </c>
      <c r="D487" s="97">
        <f>VLOOKUP(A487&amp;"|"&amp;B487,$Q$3:$R$16,2,FALSE)</f>
        <v/>
      </c>
      <c r="E487" s="4" t="n"/>
      <c r="F487" s="97" t="n"/>
      <c r="G487" s="97" t="n"/>
      <c r="H487" s="97" t="n"/>
      <c r="I487" s="9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97" t="n"/>
      <c r="B488" s="97" t="n"/>
      <c r="C488" s="97" t="n"/>
      <c r="D488" s="97" t="n"/>
      <c r="E488" s="4" t="n"/>
      <c r="F488" s="97" t="n"/>
      <c r="G488" s="97" t="n"/>
      <c r="H488" s="97" t="n"/>
      <c r="I488" s="9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97" t="n"/>
      <c r="B489" s="97" t="n"/>
      <c r="C489" s="97" t="n"/>
      <c r="D489" s="97" t="n"/>
      <c r="E489" s="4" t="n"/>
      <c r="F489" s="97" t="n"/>
      <c r="G489" s="97" t="n"/>
      <c r="H489" s="97" t="n"/>
      <c r="I489" s="9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97" t="n"/>
      <c r="B490" s="97" t="n"/>
      <c r="C490" s="97" t="n"/>
      <c r="D490" s="97" t="n"/>
      <c r="E490" s="4" t="n"/>
      <c r="F490" s="97" t="n"/>
      <c r="G490" s="97" t="n"/>
      <c r="H490" s="97" t="n"/>
      <c r="I490" s="9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81" t="inlineStr">
        <is>
          <t>TOTAL PAYABLE</t>
        </is>
      </c>
      <c r="B491" s="82" t="n"/>
      <c r="C491" s="83" t="n"/>
      <c r="D491" s="97">
        <f>SUM(D486:D490)</f>
        <v/>
      </c>
      <c r="E491" s="4" t="n"/>
      <c r="F491" s="114" t="inlineStr">
        <is>
          <t>TOTAL PAYABLE</t>
        </is>
      </c>
      <c r="G491" s="107" t="n"/>
      <c r="H491" s="108" t="n"/>
      <c r="I491" s="97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thickBot="1" thickTop="1">
      <c r="A492" s="2" t="n"/>
      <c r="B492" s="2" t="n"/>
      <c r="C492" s="2" t="n"/>
      <c r="D492" s="2" t="n"/>
      <c r="E492" s="4" t="n"/>
      <c r="F492" s="2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12" t="inlineStr">
        <is>
          <t>Name</t>
        </is>
      </c>
      <c r="B493" s="12" t="inlineStr">
        <is>
          <t>CHANDARAMJI</t>
        </is>
      </c>
      <c r="C493" s="12" t="inlineStr">
        <is>
          <t>SURARAM</t>
        </is>
      </c>
      <c r="D493" s="9" t="n">
        <v>45844</v>
      </c>
      <c r="E493" s="4" t="n"/>
      <c r="F493" s="12" t="inlineStr">
        <is>
          <t>Name</t>
        </is>
      </c>
      <c r="G493" s="12" t="inlineStr">
        <is>
          <t>VINJARAMJI</t>
        </is>
      </c>
      <c r="H493" s="12" t="inlineStr">
        <is>
          <t>R R NAGAR</t>
        </is>
      </c>
      <c r="I493" s="9" t="n">
        <v>45844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97" t="inlineStr">
        <is>
          <t>Month</t>
        </is>
      </c>
      <c r="B494" s="97" t="inlineStr">
        <is>
          <t>Plan</t>
        </is>
      </c>
      <c r="C494" s="97" t="inlineStr">
        <is>
          <t>Commission</t>
        </is>
      </c>
      <c r="D494" s="97" t="inlineStr">
        <is>
          <t>Amount</t>
        </is>
      </c>
      <c r="E494" s="4" t="n"/>
      <c r="F494" s="97" t="inlineStr">
        <is>
          <t>Month</t>
        </is>
      </c>
      <c r="G494" s="97" t="inlineStr">
        <is>
          <t>Plan</t>
        </is>
      </c>
      <c r="H494" s="97" t="inlineStr">
        <is>
          <t>Commission</t>
        </is>
      </c>
      <c r="I494" s="97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97" t="n">
        <v>8</v>
      </c>
      <c r="B495" s="97" t="n">
        <v>500000</v>
      </c>
      <c r="C495" s="97">
        <f>VLOOKUP(A495&amp;"|"&amp;B495,$O$3:$P$16,2,FALSE)</f>
        <v/>
      </c>
      <c r="D495" s="97">
        <f>VLOOKUP(A495&amp;"|"&amp;B495,$Q$3:$R$16,2,FALSE)</f>
        <v/>
      </c>
      <c r="E495" s="4" t="n"/>
      <c r="F495" s="97" t="n">
        <v>8</v>
      </c>
      <c r="G495" s="97" t="n">
        <v>500000</v>
      </c>
      <c r="H495" s="97">
        <f>VLOOKUP(F495&amp;"|"&amp;G495,$O$3:$P$16,2,FALSE)</f>
        <v/>
      </c>
      <c r="I495" s="97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97" t="n"/>
      <c r="B496" s="97" t="n"/>
      <c r="C496" s="97" t="n"/>
      <c r="D496" s="97" t="n"/>
      <c r="E496" s="4" t="n"/>
      <c r="F496" s="97" t="n">
        <v>8</v>
      </c>
      <c r="G496" s="97" t="n">
        <v>500000</v>
      </c>
      <c r="H496" s="97">
        <f>VLOOKUP(F496&amp;"|"&amp;G496,$O$3:$P$16,2,FALSE)</f>
        <v/>
      </c>
      <c r="I496" s="97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97" t="n"/>
      <c r="B497" s="97" t="n"/>
      <c r="C497" s="97" t="n"/>
      <c r="D497" s="97" t="n"/>
      <c r="E497" s="4" t="n"/>
      <c r="F497" s="97" t="n">
        <v>3</v>
      </c>
      <c r="G497" s="97" t="n">
        <v>500000</v>
      </c>
      <c r="H497" s="97">
        <f>VLOOKUP(F497&amp;"|"&amp;G497,$O$3:$P$17,2,FALSE)</f>
        <v/>
      </c>
      <c r="I497" s="97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97" t="n"/>
      <c r="B498" s="97" t="n"/>
      <c r="C498" s="97" t="n"/>
      <c r="D498" s="97" t="n"/>
      <c r="E498" s="4" t="n"/>
      <c r="F498" s="97" t="n">
        <v>18</v>
      </c>
      <c r="G498" s="97" t="n">
        <v>1000000</v>
      </c>
      <c r="H498" s="97">
        <f>VLOOKUP(F498&amp;"|"&amp;G498,$O$3:$P$17,2,FALSE)</f>
        <v/>
      </c>
      <c r="I498" s="97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97" t="n"/>
      <c r="B499" s="97" t="n"/>
      <c r="C499" s="97" t="n"/>
      <c r="D499" s="97" t="n"/>
      <c r="E499" s="4" t="n"/>
      <c r="F499" s="97" t="n"/>
      <c r="G499" s="97" t="n"/>
      <c r="H499" s="97" t="n"/>
      <c r="I499" s="9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81" t="inlineStr">
        <is>
          <t>TOTAL PAYABLE</t>
        </is>
      </c>
      <c r="B500" s="82" t="n"/>
      <c r="C500" s="83" t="n"/>
      <c r="D500" s="97">
        <f>SUM(D495:D499)</f>
        <v/>
      </c>
      <c r="E500" s="4" t="n"/>
      <c r="F500" s="114" t="inlineStr">
        <is>
          <t>TOTAL PAYABLE</t>
        </is>
      </c>
      <c r="G500" s="107" t="n"/>
      <c r="H500" s="108" t="n"/>
      <c r="I500" s="97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12" t="inlineStr">
        <is>
          <t>Name</t>
        </is>
      </c>
      <c r="B502" s="12" t="inlineStr">
        <is>
          <t>CHAMPALALJI</t>
        </is>
      </c>
      <c r="C502" s="12" t="inlineStr">
        <is>
          <t>RNGRD</t>
        </is>
      </c>
      <c r="D502" s="9" t="n">
        <v>45844</v>
      </c>
      <c r="E502" s="4" t="n"/>
      <c r="F502" s="12" t="inlineStr">
        <is>
          <t>NAME</t>
        </is>
      </c>
      <c r="G502" s="12" t="inlineStr">
        <is>
          <t>VENKTESHVAR</t>
        </is>
      </c>
      <c r="H502" s="12" t="inlineStr">
        <is>
          <t>AB C0</t>
        </is>
      </c>
      <c r="I502" s="9" t="n">
        <v>45844</v>
      </c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97" t="inlineStr">
        <is>
          <t>Month</t>
        </is>
      </c>
      <c r="B503" s="97" t="inlineStr">
        <is>
          <t>Plan</t>
        </is>
      </c>
      <c r="C503" s="97" t="inlineStr">
        <is>
          <t>Commission</t>
        </is>
      </c>
      <c r="D503" s="97" t="inlineStr">
        <is>
          <t>Amount</t>
        </is>
      </c>
      <c r="E503" s="4" t="n"/>
      <c r="F503" s="97" t="inlineStr">
        <is>
          <t>Month</t>
        </is>
      </c>
      <c r="G503" s="97" t="inlineStr">
        <is>
          <t>Plan</t>
        </is>
      </c>
      <c r="H503" s="97" t="inlineStr">
        <is>
          <t>Commission</t>
        </is>
      </c>
      <c r="I503" s="97" t="inlineStr">
        <is>
          <t>Amount</t>
        </is>
      </c>
    </row>
    <row r="504" ht="20.25" customHeight="1" thickBot="1" thickTop="1">
      <c r="A504" s="97" t="n">
        <v>3</v>
      </c>
      <c r="B504" s="97" t="n">
        <v>2000000</v>
      </c>
      <c r="C504" s="97">
        <f>VLOOKUP(A504&amp;"|"&amp;B504,$O$3:$P$16,2,FALSE)</f>
        <v/>
      </c>
      <c r="D504" s="97">
        <f>VLOOKUP(A504&amp;"|"&amp;B504,$Q$3:$R$16,2,FALSE)</f>
        <v/>
      </c>
      <c r="E504" s="4" t="n"/>
      <c r="F504" s="97" t="n">
        <v>3</v>
      </c>
      <c r="G504" s="97" t="n">
        <v>500000</v>
      </c>
      <c r="H504" s="97">
        <f>VLOOKUP(F504&amp;"|"&amp;G504,$O$3:$P$17,2,FALSE)</f>
        <v/>
      </c>
      <c r="I504" s="97">
        <f>VLOOKUP(F504&amp;"|"&amp;G504,$Q$3:$R$17,2,FALSE)</f>
        <v/>
      </c>
    </row>
    <row r="505" ht="20.25" customHeight="1" thickBot="1" thickTop="1">
      <c r="A505" s="97" t="n"/>
      <c r="B505" s="97" t="n"/>
      <c r="C505" s="97" t="n"/>
      <c r="D505" s="97" t="n"/>
      <c r="E505" s="4" t="n"/>
      <c r="F505" s="97" t="n"/>
      <c r="G505" s="97" t="n"/>
      <c r="H505" s="97" t="n"/>
      <c r="I505" s="97" t="n"/>
    </row>
    <row r="506" ht="20.25" customHeight="1" thickBot="1" thickTop="1">
      <c r="A506" s="97" t="n"/>
      <c r="B506" s="97" t="n"/>
      <c r="C506" s="97" t="n"/>
      <c r="D506" s="97" t="n"/>
      <c r="E506" s="4" t="n"/>
      <c r="F506" s="97" t="n"/>
      <c r="G506" s="97" t="n"/>
      <c r="H506" s="97" t="n"/>
      <c r="I506" s="97" t="n"/>
    </row>
    <row r="507" ht="20.25" customHeight="1" thickBot="1" thickTop="1">
      <c r="A507" s="97" t="n"/>
      <c r="B507" s="97" t="n"/>
      <c r="C507" s="97" t="n"/>
      <c r="D507" s="97" t="n"/>
      <c r="E507" s="4" t="n"/>
      <c r="F507" s="97" t="n"/>
      <c r="G507" s="97" t="n"/>
      <c r="H507" s="97" t="n"/>
      <c r="I507" s="97" t="n"/>
    </row>
    <row r="508" ht="20.25" customHeight="1" thickBot="1" thickTop="1">
      <c r="A508" s="97" t="n"/>
      <c r="B508" s="97" t="n"/>
      <c r="C508" s="97" t="n"/>
      <c r="D508" s="97" t="n"/>
      <c r="E508" s="4" t="n"/>
      <c r="F508" s="97" t="n"/>
      <c r="G508" s="97" t="n"/>
      <c r="H508" s="97" t="n"/>
      <c r="I508" s="97" t="n"/>
    </row>
    <row r="509" ht="20.25" customHeight="1" thickBot="1" thickTop="1">
      <c r="A509" s="81" t="inlineStr">
        <is>
          <t>TOTAL PAYABLE</t>
        </is>
      </c>
      <c r="B509" s="82" t="n"/>
      <c r="C509" s="83" t="n"/>
      <c r="D509" s="97">
        <f>SUM(D504:D508)</f>
        <v/>
      </c>
      <c r="E509" s="4" t="n"/>
      <c r="F509" s="81" t="inlineStr">
        <is>
          <t>TOTAL PAYABLE</t>
        </is>
      </c>
      <c r="G509" s="82" t="n"/>
      <c r="H509" s="83" t="n"/>
      <c r="I509" s="97">
        <f>SUM(I504:I508)</f>
        <v/>
      </c>
    </row>
    <row r="510" ht="16.5" customHeight="1" thickBot="1" thickTop="1"/>
    <row r="511" ht="20.25" customHeight="1" thickBot="1" thickTop="1">
      <c r="A511" s="12" t="inlineStr">
        <is>
          <t>Name</t>
        </is>
      </c>
      <c r="B511" s="12" t="inlineStr">
        <is>
          <t>KEWALJI</t>
        </is>
      </c>
      <c r="C511" s="12" t="inlineStr">
        <is>
          <t>KAMMAN</t>
        </is>
      </c>
      <c r="D511" s="9" t="n">
        <v>45844</v>
      </c>
      <c r="E511" s="4" t="n"/>
      <c r="F511" s="12" t="inlineStr">
        <is>
          <t>NAME</t>
        </is>
      </c>
      <c r="G511" s="12" t="inlineStr">
        <is>
          <t>PRAKASHJI</t>
        </is>
      </c>
      <c r="H511" s="12" t="inlineStr">
        <is>
          <t>AMINPUR</t>
        </is>
      </c>
      <c r="I511" s="9" t="n">
        <v>45844</v>
      </c>
    </row>
    <row r="512" ht="20.25" customHeight="1" thickBot="1" thickTop="1">
      <c r="A512" s="97" t="inlineStr">
        <is>
          <t>Month</t>
        </is>
      </c>
      <c r="B512" s="97" t="inlineStr">
        <is>
          <t>Plan</t>
        </is>
      </c>
      <c r="C512" s="97" t="inlineStr">
        <is>
          <t>Commission</t>
        </is>
      </c>
      <c r="D512" s="97" t="inlineStr">
        <is>
          <t>Amount</t>
        </is>
      </c>
      <c r="E512" s="4" t="n"/>
      <c r="F512" s="97" t="inlineStr">
        <is>
          <t>Month</t>
        </is>
      </c>
      <c r="G512" s="97" t="inlineStr">
        <is>
          <t>Plan</t>
        </is>
      </c>
      <c r="H512" s="97" t="inlineStr">
        <is>
          <t>Commission</t>
        </is>
      </c>
      <c r="I512" s="97" t="inlineStr">
        <is>
          <t>Amount</t>
        </is>
      </c>
    </row>
    <row r="513" ht="20.25" customHeight="1" thickBot="1" thickTop="1">
      <c r="A513" s="97" t="n">
        <v>3</v>
      </c>
      <c r="B513" s="97" t="n">
        <v>500000</v>
      </c>
      <c r="C513" s="97">
        <f>VLOOKUP(A513&amp;"|"&amp;B513,$O$3:$P$17,2,FALSE)</f>
        <v/>
      </c>
      <c r="D513" s="97">
        <f>VLOOKUP(A513&amp;"|"&amp;B513,$Q$3:$R$17,2,FALSE)</f>
        <v/>
      </c>
      <c r="E513" s="4" t="n"/>
      <c r="F513" s="97" t="n">
        <v>3</v>
      </c>
      <c r="G513" s="97" t="n">
        <v>500000</v>
      </c>
      <c r="H513" s="97">
        <f>VLOOKUP(F513&amp;"|"&amp;G513,$O$3:$P$17,2,FALSE)</f>
        <v/>
      </c>
      <c r="I513" s="97">
        <f>VLOOKUP(F513&amp;"|"&amp;G513,$Q$3:$R$17,2,FALSE)</f>
        <v/>
      </c>
    </row>
    <row r="514" ht="20.25" customHeight="1" thickBot="1" thickTop="1">
      <c r="A514" s="97" t="n"/>
      <c r="B514" s="97" t="n"/>
      <c r="C514" s="97" t="n"/>
      <c r="D514" s="97" t="n"/>
      <c r="E514" s="4" t="n"/>
      <c r="F514" s="97" t="n"/>
      <c r="G514" s="97" t="n"/>
      <c r="H514" s="97" t="n"/>
      <c r="I514" s="97" t="n"/>
    </row>
    <row r="515" ht="20.25" customHeight="1" thickBot="1" thickTop="1">
      <c r="A515" s="97" t="n"/>
      <c r="B515" s="97" t="n"/>
      <c r="C515" s="97" t="n"/>
      <c r="D515" s="97" t="n"/>
      <c r="E515" s="4" t="n"/>
      <c r="F515" s="97" t="n"/>
      <c r="G515" s="97" t="n"/>
      <c r="H515" s="97" t="n"/>
      <c r="I515" s="97" t="n"/>
    </row>
    <row r="516" ht="20.25" customHeight="1" thickBot="1" thickTop="1">
      <c r="A516" s="97" t="n"/>
      <c r="B516" s="97" t="n"/>
      <c r="C516" s="97" t="n"/>
      <c r="D516" s="97" t="n"/>
      <c r="E516" s="4" t="n"/>
      <c r="F516" s="97" t="n"/>
      <c r="G516" s="97" t="n"/>
      <c r="H516" s="97" t="n"/>
      <c r="I516" s="97" t="n"/>
    </row>
    <row r="517" ht="20.25" customHeight="1" thickBot="1" thickTop="1">
      <c r="A517" s="97" t="n"/>
      <c r="B517" s="97" t="n"/>
      <c r="C517" s="97" t="n"/>
      <c r="D517" s="97" t="n"/>
      <c r="E517" s="4" t="n"/>
      <c r="F517" s="97" t="n"/>
      <c r="G517" s="97" t="n"/>
      <c r="H517" s="97" t="n"/>
      <c r="I517" s="97" t="n"/>
    </row>
    <row r="518" ht="20.25" customHeight="1" thickBot="1" thickTop="1">
      <c r="A518" s="81" t="inlineStr">
        <is>
          <t>TOTAL PAYABLE</t>
        </is>
      </c>
      <c r="B518" s="82" t="n"/>
      <c r="C518" s="83" t="n"/>
      <c r="D518" s="97">
        <f>SUM(D513:D517)</f>
        <v/>
      </c>
      <c r="E518" s="4" t="n"/>
      <c r="F518" s="114" t="inlineStr">
        <is>
          <t>TOTAL</t>
        </is>
      </c>
      <c r="G518" s="107" t="n"/>
      <c r="H518" s="108" t="n"/>
      <c r="I518" s="97">
        <f>SUM(I513:I517)</f>
        <v/>
      </c>
    </row>
    <row r="519" ht="16.5" customHeight="1" thickBot="1" thickTop="1"/>
    <row r="520" ht="20.25" customHeight="1" thickBot="1" thickTop="1">
      <c r="A520" s="12" t="inlineStr">
        <is>
          <t>NAME</t>
        </is>
      </c>
      <c r="B520" s="12" t="inlineStr">
        <is>
          <t>NIRMALJI</t>
        </is>
      </c>
      <c r="C520" s="12" t="inlineStr">
        <is>
          <t>KKPALLY</t>
        </is>
      </c>
      <c r="D520" s="9" t="n">
        <v>45844</v>
      </c>
      <c r="F520" s="12" t="inlineStr">
        <is>
          <t>NAME</t>
        </is>
      </c>
      <c r="G520" s="12" t="inlineStr">
        <is>
          <t>THANARAMJI</t>
        </is>
      </c>
      <c r="H520" s="12" t="inlineStr">
        <is>
          <t>SRIKAKULAM B</t>
        </is>
      </c>
      <c r="I520" s="9" t="n">
        <v>45844</v>
      </c>
    </row>
    <row r="521" ht="20.25" customHeight="1" thickBot="1" thickTop="1">
      <c r="A521" s="97" t="inlineStr">
        <is>
          <t>Month</t>
        </is>
      </c>
      <c r="B521" s="97" t="inlineStr">
        <is>
          <t>Plan</t>
        </is>
      </c>
      <c r="C521" s="97" t="inlineStr">
        <is>
          <t>Commission</t>
        </is>
      </c>
      <c r="D521" s="97" t="inlineStr">
        <is>
          <t>Amount</t>
        </is>
      </c>
      <c r="F521" s="97" t="inlineStr">
        <is>
          <t>Month</t>
        </is>
      </c>
      <c r="G521" s="97" t="inlineStr">
        <is>
          <t>Plan</t>
        </is>
      </c>
      <c r="H521" s="97" t="inlineStr">
        <is>
          <t>Commission</t>
        </is>
      </c>
      <c r="I521" s="97" t="inlineStr">
        <is>
          <t>Amount</t>
        </is>
      </c>
    </row>
    <row r="522" ht="20.25" customHeight="1" thickBot="1" thickTop="1">
      <c r="A522" s="97" t="n">
        <v>14</v>
      </c>
      <c r="B522" s="97" t="n">
        <v>500000</v>
      </c>
      <c r="C522" s="97">
        <f>VLOOKUP(A522&amp;"|"&amp;B522,$O$3:$P$17,2,FALSE)</f>
        <v/>
      </c>
      <c r="D522" s="97">
        <f>VLOOKUP(A522&amp;"|"&amp;B522,$Q$3:$R$17,2,FALSE)</f>
        <v/>
      </c>
      <c r="F522" s="97" t="n">
        <v>3</v>
      </c>
      <c r="G522" s="97" t="n">
        <v>1000000</v>
      </c>
      <c r="H522" s="97">
        <f>VLOOKUP(F522&amp;"|"&amp;G522,$O$3:$P$17,2,FALSE)</f>
        <v/>
      </c>
      <c r="I522" s="97">
        <f>VLOOKUP(F522&amp;"|"&amp;G522,$Q$3:$R$17,2,FALSE)</f>
        <v/>
      </c>
    </row>
    <row r="523" ht="20.25" customHeight="1" thickBot="1" thickTop="1">
      <c r="A523" s="97" t="n"/>
      <c r="B523" s="97" t="n"/>
      <c r="C523" s="97" t="n"/>
      <c r="D523" s="97" t="n"/>
      <c r="F523" s="97" t="n">
        <v>3</v>
      </c>
      <c r="G523" s="97" t="n">
        <v>1000000</v>
      </c>
      <c r="H523" s="97">
        <f>VLOOKUP(F523&amp;"|"&amp;G523,$O$3:$P$17,2,FALSE)</f>
        <v/>
      </c>
      <c r="I523" s="97">
        <f>VLOOKUP(F523&amp;"|"&amp;G523,$Q$3:$R$17,2,FALSE)</f>
        <v/>
      </c>
    </row>
    <row r="524" ht="20.25" customHeight="1" thickBot="1" thickTop="1">
      <c r="A524" s="97" t="n"/>
      <c r="B524" s="97" t="n"/>
      <c r="C524" s="97" t="n"/>
      <c r="D524" s="97" t="n"/>
      <c r="F524" s="97" t="n"/>
      <c r="G524" s="97" t="n"/>
      <c r="H524" s="97" t="n"/>
      <c r="I524" s="97" t="n"/>
    </row>
    <row r="525" ht="20.25" customHeight="1" thickBot="1" thickTop="1">
      <c r="A525" s="97" t="n"/>
      <c r="B525" s="97" t="n"/>
      <c r="C525" s="97" t="n"/>
      <c r="D525" s="97" t="n"/>
      <c r="F525" s="97" t="n"/>
      <c r="G525" s="97" t="n"/>
      <c r="H525" s="97" t="n"/>
      <c r="I525" s="97" t="n"/>
    </row>
    <row r="526" ht="20.25" customHeight="1" thickBot="1" thickTop="1">
      <c r="A526" s="97" t="n"/>
      <c r="B526" s="97" t="n"/>
      <c r="C526" s="97" t="n"/>
      <c r="D526" s="97" t="n"/>
      <c r="F526" s="97" t="n"/>
      <c r="G526" s="97" t="n"/>
      <c r="H526" s="97" t="n"/>
      <c r="I526" s="97" t="n"/>
    </row>
    <row r="527" ht="20.25" customHeight="1" thickBot="1" thickTop="1">
      <c r="A527" s="81" t="inlineStr">
        <is>
          <t>TOTAL PAYABLE</t>
        </is>
      </c>
      <c r="B527" s="82" t="n"/>
      <c r="C527" s="83" t="n"/>
      <c r="D527" s="97">
        <f>SUM(D522:D526)</f>
        <v/>
      </c>
      <c r="F527" s="114" t="inlineStr">
        <is>
          <t>TOTAL</t>
        </is>
      </c>
      <c r="G527" s="107" t="n"/>
      <c r="H527" s="108" t="n"/>
      <c r="I527" s="97">
        <f>SUM(I522:I526)</f>
        <v/>
      </c>
    </row>
    <row r="528" ht="16.5" customHeight="1" thickBot="1" thickTop="1"/>
    <row r="529" ht="20.25" customHeight="1" thickBot="1" thickTop="1">
      <c r="A529" s="12" t="inlineStr">
        <is>
          <t>NAME</t>
        </is>
      </c>
      <c r="B529" s="12" t="inlineStr">
        <is>
          <t>NARAYANJI</t>
        </is>
      </c>
      <c r="C529" s="12" t="inlineStr">
        <is>
          <t>RR ROAD</t>
        </is>
      </c>
      <c r="D529" s="9" t="n">
        <v>45844</v>
      </c>
    </row>
    <row r="530" ht="20.25" customHeight="1" thickBot="1" thickTop="1">
      <c r="A530" s="97" t="inlineStr">
        <is>
          <t>Month</t>
        </is>
      </c>
      <c r="B530" s="97" t="inlineStr">
        <is>
          <t>Plan</t>
        </is>
      </c>
      <c r="C530" s="97" t="inlineStr">
        <is>
          <t>Commission</t>
        </is>
      </c>
      <c r="D530" s="97" t="inlineStr">
        <is>
          <t>Amount</t>
        </is>
      </c>
    </row>
    <row r="531" ht="20.25" customHeight="1" thickBot="1" thickTop="1">
      <c r="A531" s="97" t="n">
        <v>3</v>
      </c>
      <c r="B531" s="97" t="n">
        <v>2000000</v>
      </c>
      <c r="C531" s="97">
        <f>VLOOKUP(A531&amp;"|"&amp;B531,$O$3:$P$17,2,FALSE)</f>
        <v/>
      </c>
      <c r="D531" s="97">
        <f>VLOOKUP(A531&amp;"|"&amp;B531,$Q$3:$R$17,2,FALSE)</f>
        <v/>
      </c>
    </row>
    <row r="532" ht="20.25" customHeight="1" thickBot="1" thickTop="1">
      <c r="A532" s="97" t="n"/>
      <c r="B532" s="97" t="n"/>
      <c r="C532" s="97" t="n"/>
      <c r="D532" s="97" t="n"/>
    </row>
    <row r="533" ht="20.25" customHeight="1" thickBot="1" thickTop="1">
      <c r="A533" s="97" t="n"/>
      <c r="B533" s="97" t="n"/>
      <c r="C533" s="97" t="n"/>
      <c r="D533" s="97" t="n"/>
    </row>
    <row r="534" ht="20.25" customHeight="1" thickBot="1" thickTop="1">
      <c r="A534" s="97" t="n"/>
      <c r="B534" s="97" t="n"/>
      <c r="C534" s="97" t="n"/>
      <c r="D534" s="97" t="n"/>
    </row>
    <row r="535" ht="20.25" customHeight="1" thickBot="1" thickTop="1">
      <c r="A535" s="97" t="n"/>
      <c r="B535" s="97" t="n"/>
      <c r="C535" s="97" t="n"/>
      <c r="D535" s="97" t="n"/>
    </row>
    <row r="536" ht="20.25" customHeight="1" thickBot="1" thickTop="1">
      <c r="A536" s="81" t="inlineStr">
        <is>
          <t>TOTAL PAYABLE</t>
        </is>
      </c>
      <c r="B536" s="82" t="n"/>
      <c r="C536" s="83" t="n"/>
      <c r="D536" s="97">
        <f>SUM(D531:D535)</f>
        <v/>
      </c>
    </row>
    <row r="537" ht="15.75" customHeight="1" thickTop="1"/>
  </sheetData>
  <mergeCells count="64">
    <mergeCell ref="F94:H94"/>
    <mergeCell ref="F374:H374"/>
    <mergeCell ref="F238:H238"/>
    <mergeCell ref="F85:H85"/>
    <mergeCell ref="F356:H356"/>
    <mergeCell ref="F35:H35"/>
    <mergeCell ref="F383:H383"/>
    <mergeCell ref="F8:H8"/>
    <mergeCell ref="F26:H26"/>
    <mergeCell ref="F17:H17"/>
    <mergeCell ref="F302:H302"/>
    <mergeCell ref="F62:H62"/>
    <mergeCell ref="F247:H247"/>
    <mergeCell ref="A26:C26"/>
    <mergeCell ref="F464:H464"/>
    <mergeCell ref="F491:H491"/>
    <mergeCell ref="F121:H121"/>
    <mergeCell ref="F274:H274"/>
    <mergeCell ref="F401:H401"/>
    <mergeCell ref="A8:C8"/>
    <mergeCell ref="F71:H71"/>
    <mergeCell ref="F211:H211"/>
    <mergeCell ref="F184:H184"/>
    <mergeCell ref="A17:C17"/>
    <mergeCell ref="F311:H311"/>
    <mergeCell ref="F220:H220"/>
    <mergeCell ref="A62:C62"/>
    <mergeCell ref="F347:H347"/>
    <mergeCell ref="F500:H500"/>
    <mergeCell ref="A53:C53"/>
    <mergeCell ref="F229:H229"/>
    <mergeCell ref="A35:C35"/>
    <mergeCell ref="F130:H130"/>
    <mergeCell ref="F338:H338"/>
    <mergeCell ref="F518:H518"/>
    <mergeCell ref="F166:H166"/>
    <mergeCell ref="F293:H293"/>
    <mergeCell ref="A44:C44"/>
    <mergeCell ref="F148:H148"/>
    <mergeCell ref="F446:H446"/>
    <mergeCell ref="F157:H157"/>
    <mergeCell ref="F175:H175"/>
    <mergeCell ref="F437:H437"/>
    <mergeCell ref="F284:H284"/>
    <mergeCell ref="F44:H44"/>
    <mergeCell ref="F53:H53"/>
    <mergeCell ref="F455:H455"/>
    <mergeCell ref="F482:H482"/>
    <mergeCell ref="F265:H265"/>
    <mergeCell ref="F103:H103"/>
    <mergeCell ref="F473:H473"/>
    <mergeCell ref="F256:H256"/>
    <mergeCell ref="F112:H112"/>
    <mergeCell ref="F392:H392"/>
    <mergeCell ref="F410:H410"/>
    <mergeCell ref="F193:H193"/>
    <mergeCell ref="F419:H419"/>
    <mergeCell ref="F202:H202"/>
    <mergeCell ref="F329:H329"/>
    <mergeCell ref="F527:H527"/>
    <mergeCell ref="F320:H320"/>
    <mergeCell ref="F365:H365"/>
    <mergeCell ref="F139:H139"/>
    <mergeCell ref="F428:H4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2025-12-14T07:50:07Z</dcterms:created>
  <dcterms:modified xsi:type="dcterms:W3CDTF">2026-03-01T13:34:15Z</dcterms:modified>
  <cp:lastModifiedBy>pc</cp:lastModifiedBy>
  <cp:lastPrinted>2026-01-04T08:30:58Z</cp:lastPrinted>
</cp:coreProperties>
</file>